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019964\Downloads\"/>
    </mc:Choice>
  </mc:AlternateContent>
  <xr:revisionPtr revIDLastSave="0" documentId="13_ncr:1_{10D938DF-9E66-455D-AC0E-6E92F5DA59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bale-T1" sheetId="1" r:id="rId1"/>
    <sheet name="Rabale-T2" sheetId="2" r:id="rId2"/>
  </sheets>
  <definedNames>
    <definedName name="_xlnm._FilterDatabase" localSheetId="0" hidden="1">'Rabale-T1'!$A$22:$IV$22</definedName>
    <definedName name="_xlnm._FilterDatabase" localSheetId="1" hidden="1">'Rabale-T2'!$A$29:$BY$29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  <c r="H75" i="1"/>
  <c r="R36" i="2"/>
  <c r="R35" i="2"/>
  <c r="R34" i="2"/>
  <c r="R33" i="2"/>
  <c r="N23" i="1"/>
  <c r="S37" i="2" l="1"/>
  <c r="W86" i="1" l="1"/>
  <c r="J86" i="1"/>
  <c r="G86" i="1"/>
  <c r="W91" i="1"/>
  <c r="W90" i="1"/>
  <c r="W89" i="1"/>
  <c r="W88" i="1"/>
  <c r="F2" i="2" l="1"/>
  <c r="D2" i="2"/>
  <c r="C2" i="2"/>
  <c r="B2" i="2"/>
  <c r="Q29" i="1" l="1"/>
  <c r="G39" i="2" l="1"/>
  <c r="G38" i="2"/>
  <c r="G36" i="2"/>
  <c r="G35" i="2"/>
  <c r="G34" i="2"/>
  <c r="G33" i="2"/>
  <c r="G32" i="2"/>
  <c r="G31" i="2"/>
  <c r="G30" i="2"/>
  <c r="J31" i="2"/>
  <c r="J32" i="2"/>
  <c r="J33" i="2"/>
  <c r="J34" i="2"/>
  <c r="J35" i="2"/>
  <c r="J36" i="2"/>
  <c r="J37" i="2"/>
  <c r="J38" i="2"/>
  <c r="J39" i="2"/>
  <c r="J30" i="2"/>
  <c r="S39" i="2" l="1"/>
  <c r="S38" i="2"/>
  <c r="AP37" i="2"/>
  <c r="AO37" i="2"/>
  <c r="AN37" i="2"/>
  <c r="AM37" i="2"/>
  <c r="AF37" i="2"/>
  <c r="Z37" i="2"/>
  <c r="V37" i="2"/>
  <c r="G37" i="2"/>
  <c r="S36" i="2"/>
  <c r="S35" i="2"/>
  <c r="S34" i="2"/>
  <c r="S33" i="2"/>
  <c r="S31" i="2"/>
  <c r="AD27" i="2"/>
  <c r="E17" i="2"/>
  <c r="F17" i="2" s="1"/>
  <c r="H16" i="2"/>
  <c r="F16" i="2"/>
  <c r="D16" i="2"/>
  <c r="E16" i="2" s="1"/>
  <c r="F15" i="2"/>
  <c r="D15" i="2"/>
  <c r="E15" i="2" s="1"/>
  <c r="F14" i="2"/>
  <c r="D14" i="2"/>
  <c r="E14" i="2" s="1"/>
  <c r="F13" i="2"/>
  <c r="D13" i="2"/>
  <c r="E13" i="2" s="1"/>
  <c r="F12" i="2"/>
  <c r="E12" i="2"/>
  <c r="D12" i="2"/>
  <c r="F11" i="2"/>
  <c r="D11" i="2"/>
  <c r="E11" i="2" s="1"/>
  <c r="F10" i="2"/>
  <c r="D10" i="2"/>
  <c r="E10" i="2" s="1"/>
  <c r="D9" i="2"/>
  <c r="X27" i="2"/>
  <c r="D8" i="2"/>
  <c r="K7" i="2"/>
  <c r="D7" i="2"/>
  <c r="F7" i="2"/>
  <c r="J6" i="2"/>
  <c r="F6" i="2"/>
  <c r="E6" i="2"/>
  <c r="D6" i="2"/>
  <c r="J5" i="2"/>
  <c r="K6" i="2" s="1"/>
  <c r="D5" i="2"/>
  <c r="J4" i="2"/>
  <c r="K5" i="2" s="1"/>
  <c r="F4" i="2"/>
  <c r="E4" i="2"/>
  <c r="D4" i="2"/>
  <c r="D3" i="2"/>
  <c r="I14" i="2" s="1"/>
  <c r="J87" i="1"/>
  <c r="W85" i="1"/>
  <c r="J85" i="1"/>
  <c r="W84" i="1"/>
  <c r="G84" i="1"/>
  <c r="W83" i="1"/>
  <c r="S83" i="1"/>
  <c r="J83" i="1"/>
  <c r="W82" i="1"/>
  <c r="S82" i="1"/>
  <c r="J82" i="1"/>
  <c r="G82" i="1"/>
  <c r="W81" i="1"/>
  <c r="S81" i="1"/>
  <c r="J81" i="1"/>
  <c r="G81" i="1"/>
  <c r="W80" i="1"/>
  <c r="S80" i="1"/>
  <c r="O80" i="1"/>
  <c r="J80" i="1"/>
  <c r="W79" i="1"/>
  <c r="S79" i="1"/>
  <c r="J79" i="1"/>
  <c r="W78" i="1"/>
  <c r="S78" i="1"/>
  <c r="O78" i="1"/>
  <c r="J78" i="1"/>
  <c r="W77" i="1"/>
  <c r="S77" i="1"/>
  <c r="J77" i="1"/>
  <c r="W76" i="1"/>
  <c r="S76" i="1"/>
  <c r="J76" i="1"/>
  <c r="AE75" i="1"/>
  <c r="J75" i="1"/>
  <c r="BJ74" i="1"/>
  <c r="AQ74" i="1"/>
  <c r="AP74" i="1"/>
  <c r="AO74" i="1"/>
  <c r="AN74" i="1"/>
  <c r="AM74" i="1"/>
  <c r="Z74" i="1"/>
  <c r="Y74" i="1"/>
  <c r="S74" i="1"/>
  <c r="O74" i="1"/>
  <c r="V74" i="1" s="1"/>
  <c r="N74" i="1"/>
  <c r="M74" i="1"/>
  <c r="J74" i="1"/>
  <c r="G74" i="1"/>
  <c r="BK73" i="1"/>
  <c r="BJ73" i="1"/>
  <c r="AQ73" i="1"/>
  <c r="AO73" i="1"/>
  <c r="BI73" i="1" s="1"/>
  <c r="AN73" i="1"/>
  <c r="AM73" i="1"/>
  <c r="AL73" i="1"/>
  <c r="AP73" i="1" s="1"/>
  <c r="W73" i="1"/>
  <c r="V73" i="1"/>
  <c r="S73" i="1"/>
  <c r="U73" i="1" s="1"/>
  <c r="M73" i="1"/>
  <c r="N73" i="1" s="1"/>
  <c r="J73" i="1"/>
  <c r="G73" i="1"/>
  <c r="AQ72" i="1"/>
  <c r="AP72" i="1"/>
  <c r="AO72" i="1"/>
  <c r="Y72" i="1"/>
  <c r="AN72" i="1" s="1"/>
  <c r="W72" i="1"/>
  <c r="S72" i="1"/>
  <c r="U72" i="1" s="1"/>
  <c r="O72" i="1"/>
  <c r="V72" i="1" s="1"/>
  <c r="N72" i="1"/>
  <c r="M72" i="1"/>
  <c r="AM72" i="1" s="1"/>
  <c r="J72" i="1"/>
  <c r="G72" i="1"/>
  <c r="BK71" i="1"/>
  <c r="BJ71" i="1"/>
  <c r="AQ71" i="1"/>
  <c r="AP71" i="1"/>
  <c r="AO71" i="1"/>
  <c r="Z71" i="1"/>
  <c r="Y71" i="1"/>
  <c r="W71" i="1"/>
  <c r="S71" i="1"/>
  <c r="U71" i="1" s="1"/>
  <c r="O71" i="1"/>
  <c r="V71" i="1" s="1"/>
  <c r="M71" i="1"/>
  <c r="J71" i="1"/>
  <c r="G71" i="1"/>
  <c r="AQ70" i="1"/>
  <c r="AP70" i="1"/>
  <c r="AO70" i="1"/>
  <c r="AF70" i="1"/>
  <c r="Z70" i="1"/>
  <c r="Y70" i="1"/>
  <c r="AN70" i="1" s="1"/>
  <c r="W70" i="1"/>
  <c r="S70" i="1"/>
  <c r="O70" i="1"/>
  <c r="V70" i="1" s="1"/>
  <c r="N70" i="1"/>
  <c r="M70" i="1"/>
  <c r="AM70" i="1" s="1"/>
  <c r="J70" i="1"/>
  <c r="G70" i="1"/>
  <c r="AQ69" i="1"/>
  <c r="AO69" i="1"/>
  <c r="AM69" i="1"/>
  <c r="AL69" i="1"/>
  <c r="AP69" i="1" s="1"/>
  <c r="AF69" i="1"/>
  <c r="Z69" i="1"/>
  <c r="Y69" i="1"/>
  <c r="AN69" i="1" s="1"/>
  <c r="W69" i="1"/>
  <c r="S69" i="1"/>
  <c r="U69" i="1" s="1"/>
  <c r="O69" i="1"/>
  <c r="V69" i="1" s="1"/>
  <c r="M69" i="1"/>
  <c r="N69" i="1" s="1"/>
  <c r="J69" i="1"/>
  <c r="G69" i="1"/>
  <c r="AQ68" i="1"/>
  <c r="AP68" i="1"/>
  <c r="AO68" i="1"/>
  <c r="AN68" i="1"/>
  <c r="AF68" i="1"/>
  <c r="Z68" i="1"/>
  <c r="Y68" i="1"/>
  <c r="W68" i="1"/>
  <c r="S68" i="1"/>
  <c r="U68" i="1" s="1"/>
  <c r="O68" i="1"/>
  <c r="V68" i="1" s="1"/>
  <c r="M68" i="1"/>
  <c r="J68" i="1"/>
  <c r="G68" i="1"/>
  <c r="BR67" i="1"/>
  <c r="BN67" i="1"/>
  <c r="AQ67" i="1"/>
  <c r="AP67" i="1"/>
  <c r="AO67" i="1"/>
  <c r="AM67" i="1"/>
  <c r="AF67" i="1"/>
  <c r="Z67" i="1"/>
  <c r="Y67" i="1"/>
  <c r="AN67" i="1" s="1"/>
  <c r="W67" i="1"/>
  <c r="S67" i="1"/>
  <c r="O67" i="1"/>
  <c r="M67" i="1"/>
  <c r="N67" i="1" s="1"/>
  <c r="J67" i="1"/>
  <c r="G67" i="1"/>
  <c r="BK66" i="1"/>
  <c r="BJ66" i="1"/>
  <c r="AO66" i="1"/>
  <c r="BI66" i="1" s="1"/>
  <c r="AN66" i="1"/>
  <c r="AL66" i="1"/>
  <c r="AP66" i="1" s="1"/>
  <c r="AF66" i="1"/>
  <c r="Z66" i="1"/>
  <c r="W66" i="1"/>
  <c r="S66" i="1"/>
  <c r="O66" i="1"/>
  <c r="V66" i="1" s="1"/>
  <c r="BR66" i="1" s="1"/>
  <c r="M66" i="1"/>
  <c r="J66" i="1"/>
  <c r="G66" i="1"/>
  <c r="S65" i="1"/>
  <c r="O65" i="1"/>
  <c r="V65" i="1" s="1"/>
  <c r="BN65" i="1" s="1"/>
  <c r="J65" i="1"/>
  <c r="G65" i="1"/>
  <c r="BI64" i="1"/>
  <c r="AM64" i="1"/>
  <c r="Z64" i="1"/>
  <c r="W64" i="1"/>
  <c r="BJ64" i="1" s="1"/>
  <c r="BT64" i="1" s="1"/>
  <c r="S64" i="1"/>
  <c r="O64" i="1"/>
  <c r="V64" i="1" s="1"/>
  <c r="BR64" i="1" s="1"/>
  <c r="N64" i="1"/>
  <c r="M64" i="1"/>
  <c r="J64" i="1"/>
  <c r="G64" i="1"/>
  <c r="BK63" i="1"/>
  <c r="BI63" i="1"/>
  <c r="AM63" i="1"/>
  <c r="AL63" i="1"/>
  <c r="Z63" i="1"/>
  <c r="W63" i="1"/>
  <c r="BJ63" i="1" s="1"/>
  <c r="BT63" i="1" s="1"/>
  <c r="S63" i="1"/>
  <c r="U63" i="1" s="1"/>
  <c r="O63" i="1"/>
  <c r="V63" i="1" s="1"/>
  <c r="M63" i="1"/>
  <c r="N63" i="1" s="1"/>
  <c r="J63" i="1"/>
  <c r="G63" i="1"/>
  <c r="AP62" i="1"/>
  <c r="AO62" i="1"/>
  <c r="Z62" i="1"/>
  <c r="Y62" i="1"/>
  <c r="AN62" i="1" s="1"/>
  <c r="S62" i="1"/>
  <c r="O62" i="1"/>
  <c r="V62" i="1" s="1"/>
  <c r="M62" i="1"/>
  <c r="AM62" i="1" s="1"/>
  <c r="J62" i="1"/>
  <c r="G62" i="1"/>
  <c r="AQ61" i="1"/>
  <c r="AP61" i="1"/>
  <c r="AO61" i="1"/>
  <c r="AM61" i="1"/>
  <c r="Z61" i="1"/>
  <c r="Y61" i="1"/>
  <c r="W61" i="1"/>
  <c r="S61" i="1"/>
  <c r="U61" i="1" s="1"/>
  <c r="O61" i="1"/>
  <c r="V61" i="1" s="1"/>
  <c r="BR61" i="1" s="1"/>
  <c r="N61" i="1"/>
  <c r="M61" i="1"/>
  <c r="J61" i="1"/>
  <c r="G61" i="1"/>
  <c r="AQ60" i="1"/>
  <c r="AP60" i="1"/>
  <c r="AO60" i="1"/>
  <c r="Z60" i="1"/>
  <c r="Y60" i="1"/>
  <c r="W60" i="1"/>
  <c r="S60" i="1"/>
  <c r="X60" i="1" s="1"/>
  <c r="AN60" i="1" s="1"/>
  <c r="O60" i="1"/>
  <c r="V60" i="1" s="1"/>
  <c r="N60" i="1"/>
  <c r="M60" i="1"/>
  <c r="AM60" i="1" s="1"/>
  <c r="J60" i="1"/>
  <c r="G60" i="1"/>
  <c r="BK59" i="1"/>
  <c r="BJ59" i="1"/>
  <c r="AP59" i="1"/>
  <c r="AO59" i="1"/>
  <c r="AN59" i="1"/>
  <c r="Z59" i="1"/>
  <c r="S59" i="1"/>
  <c r="O59" i="1"/>
  <c r="V59" i="1" s="1"/>
  <c r="M59" i="1"/>
  <c r="J59" i="1"/>
  <c r="G59" i="1"/>
  <c r="BK58" i="1"/>
  <c r="BJ58" i="1"/>
  <c r="AO58" i="1"/>
  <c r="AL58" i="1"/>
  <c r="AP58" i="1" s="1"/>
  <c r="AI58" i="1"/>
  <c r="AF58" i="1"/>
  <c r="Z58" i="1"/>
  <c r="W58" i="1"/>
  <c r="S58" i="1"/>
  <c r="U58" i="1" s="1"/>
  <c r="O58" i="1"/>
  <c r="V58" i="1" s="1"/>
  <c r="BR58" i="1" s="1"/>
  <c r="N58" i="1"/>
  <c r="M58" i="1"/>
  <c r="AM58" i="1" s="1"/>
  <c r="J58" i="1"/>
  <c r="G58" i="1"/>
  <c r="BK57" i="1"/>
  <c r="BJ57" i="1"/>
  <c r="AP57" i="1"/>
  <c r="AO57" i="1"/>
  <c r="AF57" i="1"/>
  <c r="Z57" i="1"/>
  <c r="Y57" i="1"/>
  <c r="W57" i="1"/>
  <c r="S57" i="1"/>
  <c r="X57" i="1" s="1"/>
  <c r="AN57" i="1" s="1"/>
  <c r="O57" i="1"/>
  <c r="V57" i="1" s="1"/>
  <c r="N57" i="1"/>
  <c r="M57" i="1"/>
  <c r="AM57" i="1" s="1"/>
  <c r="J57" i="1"/>
  <c r="G57" i="1"/>
  <c r="AQ56" i="1"/>
  <c r="AO56" i="1"/>
  <c r="AM56" i="1"/>
  <c r="AL56" i="1"/>
  <c r="AP56" i="1" s="1"/>
  <c r="AF56" i="1"/>
  <c r="Z56" i="1"/>
  <c r="Y56" i="1"/>
  <c r="AN56" i="1" s="1"/>
  <c r="W56" i="1"/>
  <c r="V56" i="1"/>
  <c r="S56" i="1"/>
  <c r="U56" i="1" s="1"/>
  <c r="N56" i="1"/>
  <c r="M56" i="1"/>
  <c r="J56" i="1"/>
  <c r="G56" i="1"/>
  <c r="AP55" i="1"/>
  <c r="AO55" i="1"/>
  <c r="AL55" i="1"/>
  <c r="AI55" i="1"/>
  <c r="AF55" i="1"/>
  <c r="Z55" i="1"/>
  <c r="W55" i="1"/>
  <c r="S55" i="1"/>
  <c r="O55" i="1"/>
  <c r="V55" i="1" s="1"/>
  <c r="N55" i="1"/>
  <c r="M55" i="1"/>
  <c r="AM55" i="1" s="1"/>
  <c r="J55" i="1"/>
  <c r="G55" i="1"/>
  <c r="AQ54" i="1"/>
  <c r="AP54" i="1"/>
  <c r="AO54" i="1"/>
  <c r="AN54" i="1"/>
  <c r="Z54" i="1"/>
  <c r="Y54" i="1"/>
  <c r="W54" i="1"/>
  <c r="S54" i="1"/>
  <c r="U54" i="1" s="1"/>
  <c r="O54" i="1"/>
  <c r="V54" i="1" s="1"/>
  <c r="M54" i="1"/>
  <c r="J54" i="1"/>
  <c r="G54" i="1"/>
  <c r="BK53" i="1"/>
  <c r="BJ53" i="1"/>
  <c r="AO53" i="1"/>
  <c r="AN53" i="1"/>
  <c r="AM53" i="1"/>
  <c r="AL53" i="1"/>
  <c r="AP53" i="1" s="1"/>
  <c r="AI53" i="1"/>
  <c r="AF53" i="1"/>
  <c r="Z53" i="1"/>
  <c r="W53" i="1"/>
  <c r="S53" i="1"/>
  <c r="O53" i="1"/>
  <c r="N53" i="1"/>
  <c r="M53" i="1"/>
  <c r="J53" i="1"/>
  <c r="G53" i="1"/>
  <c r="AQ52" i="1"/>
  <c r="AP52" i="1"/>
  <c r="AO52" i="1"/>
  <c r="AN52" i="1"/>
  <c r="AM52" i="1"/>
  <c r="AF52" i="1"/>
  <c r="Z52" i="1"/>
  <c r="W52" i="1"/>
  <c r="BJ52" i="1" s="1"/>
  <c r="S52" i="1"/>
  <c r="O52" i="1"/>
  <c r="N52" i="1"/>
  <c r="M52" i="1"/>
  <c r="J52" i="1"/>
  <c r="G52" i="1"/>
  <c r="BK51" i="1"/>
  <c r="BJ51" i="1"/>
  <c r="AP51" i="1"/>
  <c r="AO51" i="1"/>
  <c r="AN51" i="1"/>
  <c r="AF51" i="1"/>
  <c r="Z51" i="1"/>
  <c r="W51" i="1"/>
  <c r="S51" i="1"/>
  <c r="O51" i="1"/>
  <c r="V51" i="1" s="1"/>
  <c r="M51" i="1"/>
  <c r="J51" i="1"/>
  <c r="G51" i="1"/>
  <c r="AP50" i="1"/>
  <c r="AO50" i="1"/>
  <c r="AN50" i="1"/>
  <c r="AF50" i="1"/>
  <c r="Z50" i="1"/>
  <c r="Y50" i="1"/>
  <c r="W50" i="1"/>
  <c r="S50" i="1"/>
  <c r="U50" i="1" s="1"/>
  <c r="O50" i="1"/>
  <c r="V50" i="1" s="1"/>
  <c r="M50" i="1"/>
  <c r="J50" i="1"/>
  <c r="G50" i="1"/>
  <c r="AP49" i="1"/>
  <c r="AO49" i="1"/>
  <c r="BI49" i="1" s="1"/>
  <c r="AN49" i="1"/>
  <c r="AM49" i="1"/>
  <c r="Z49" i="1"/>
  <c r="W49" i="1"/>
  <c r="S49" i="1"/>
  <c r="O49" i="1"/>
  <c r="V49" i="1" s="1"/>
  <c r="BN49" i="1" s="1"/>
  <c r="N49" i="1"/>
  <c r="M49" i="1"/>
  <c r="G49" i="1"/>
  <c r="BK48" i="1"/>
  <c r="BJ48" i="1"/>
  <c r="AP48" i="1"/>
  <c r="AO48" i="1"/>
  <c r="BI48" i="1" s="1"/>
  <c r="AN48" i="1"/>
  <c r="Z48" i="1"/>
  <c r="W48" i="1"/>
  <c r="S48" i="1"/>
  <c r="O48" i="1"/>
  <c r="V48" i="1" s="1"/>
  <c r="M48" i="1"/>
  <c r="AM48" i="1" s="1"/>
  <c r="J48" i="1"/>
  <c r="G48" i="1"/>
  <c r="AP47" i="1"/>
  <c r="AO47" i="1"/>
  <c r="AN47" i="1"/>
  <c r="AM47" i="1"/>
  <c r="Z47" i="1"/>
  <c r="W47" i="1"/>
  <c r="S47" i="1"/>
  <c r="U47" i="1" s="1"/>
  <c r="O47" i="1"/>
  <c r="V47" i="1" s="1"/>
  <c r="N47" i="1"/>
  <c r="M47" i="1"/>
  <c r="G47" i="1"/>
  <c r="W46" i="1"/>
  <c r="S46" i="1"/>
  <c r="O46" i="1"/>
  <c r="V46" i="1" s="1"/>
  <c r="J46" i="1"/>
  <c r="G46" i="1"/>
  <c r="BK45" i="1"/>
  <c r="BJ45" i="1"/>
  <c r="AP45" i="1"/>
  <c r="AO45" i="1"/>
  <c r="AN45" i="1"/>
  <c r="Z45" i="1"/>
  <c r="W45" i="1"/>
  <c r="S45" i="1"/>
  <c r="O45" i="1"/>
  <c r="V45" i="1" s="1"/>
  <c r="BN45" i="1" s="1"/>
  <c r="M45" i="1"/>
  <c r="J45" i="1"/>
  <c r="G45" i="1"/>
  <c r="AP44" i="1"/>
  <c r="AO44" i="1"/>
  <c r="BI44" i="1" s="1"/>
  <c r="AN44" i="1"/>
  <c r="AL44" i="1"/>
  <c r="AI44" i="1"/>
  <c r="AF44" i="1"/>
  <c r="Z44" i="1"/>
  <c r="W44" i="1"/>
  <c r="S44" i="1"/>
  <c r="U44" i="1" s="1"/>
  <c r="O44" i="1"/>
  <c r="V44" i="1" s="1"/>
  <c r="M44" i="1"/>
  <c r="AM44" i="1" s="1"/>
  <c r="J44" i="1"/>
  <c r="G44" i="1"/>
  <c r="AQ43" i="1"/>
  <c r="AP43" i="1"/>
  <c r="AO43" i="1"/>
  <c r="AM43" i="1"/>
  <c r="AF43" i="1"/>
  <c r="Z43" i="1"/>
  <c r="W43" i="1"/>
  <c r="S43" i="1"/>
  <c r="X43" i="1" s="1"/>
  <c r="AN43" i="1" s="1"/>
  <c r="O43" i="1"/>
  <c r="V43" i="1" s="1"/>
  <c r="N43" i="1"/>
  <c r="M43" i="1"/>
  <c r="J43" i="1"/>
  <c r="G43" i="1"/>
  <c r="AQ42" i="1"/>
  <c r="AP42" i="1"/>
  <c r="AO42" i="1"/>
  <c r="AF42" i="1"/>
  <c r="Z42" i="1"/>
  <c r="Y42" i="1"/>
  <c r="W42" i="1"/>
  <c r="S42" i="1"/>
  <c r="O42" i="1"/>
  <c r="V42" i="1" s="1"/>
  <c r="BN42" i="1" s="1"/>
  <c r="M42" i="1"/>
  <c r="AM42" i="1" s="1"/>
  <c r="J42" i="1"/>
  <c r="G42" i="1"/>
  <c r="BK41" i="1"/>
  <c r="BJ41" i="1"/>
  <c r="AQ41" i="1"/>
  <c r="AP41" i="1"/>
  <c r="AO41" i="1"/>
  <c r="BI41" i="1" s="1"/>
  <c r="AN41" i="1"/>
  <c r="AM41" i="1"/>
  <c r="AF41" i="1"/>
  <c r="Z41" i="1"/>
  <c r="W41" i="1"/>
  <c r="S41" i="1"/>
  <c r="U41" i="1" s="1"/>
  <c r="O41" i="1"/>
  <c r="V41" i="1" s="1"/>
  <c r="N41" i="1"/>
  <c r="M41" i="1"/>
  <c r="J41" i="1"/>
  <c r="G41" i="1"/>
  <c r="AQ40" i="1"/>
  <c r="AP40" i="1"/>
  <c r="AO40" i="1"/>
  <c r="AF40" i="1"/>
  <c r="Z40" i="1"/>
  <c r="Y40" i="1"/>
  <c r="AN40" i="1" s="1"/>
  <c r="S40" i="1"/>
  <c r="O40" i="1"/>
  <c r="V40" i="1" s="1"/>
  <c r="BR40" i="1" s="1"/>
  <c r="M40" i="1"/>
  <c r="AM40" i="1" s="1"/>
  <c r="J40" i="1"/>
  <c r="G40" i="1"/>
  <c r="AP39" i="1"/>
  <c r="AO39" i="1"/>
  <c r="AN39" i="1"/>
  <c r="AM39" i="1"/>
  <c r="AF39" i="1"/>
  <c r="Z39" i="1"/>
  <c r="S39" i="1"/>
  <c r="O39" i="1"/>
  <c r="V39" i="1" s="1"/>
  <c r="N39" i="1"/>
  <c r="M39" i="1"/>
  <c r="J39" i="1"/>
  <c r="G39" i="1"/>
  <c r="AQ38" i="1"/>
  <c r="AP38" i="1"/>
  <c r="AO38" i="1"/>
  <c r="AN38" i="1"/>
  <c r="AF38" i="1"/>
  <c r="Z38" i="1"/>
  <c r="S38" i="1"/>
  <c r="O38" i="1"/>
  <c r="V38" i="1" s="1"/>
  <c r="BR38" i="1" s="1"/>
  <c r="M38" i="1"/>
  <c r="J38" i="1"/>
  <c r="G38" i="1"/>
  <c r="AQ37" i="1"/>
  <c r="AP37" i="1"/>
  <c r="AO37" i="1"/>
  <c r="AN37" i="1"/>
  <c r="AM37" i="1"/>
  <c r="AF37" i="1"/>
  <c r="Z37" i="1"/>
  <c r="S37" i="1"/>
  <c r="O37" i="1"/>
  <c r="V37" i="1" s="1"/>
  <c r="N37" i="1"/>
  <c r="J37" i="1"/>
  <c r="G37" i="1"/>
  <c r="AQ36" i="1"/>
  <c r="AP36" i="1"/>
  <c r="AO36" i="1"/>
  <c r="AN36" i="1"/>
  <c r="AM36" i="1"/>
  <c r="AF36" i="1"/>
  <c r="Z36" i="1"/>
  <c r="S36" i="1"/>
  <c r="O36" i="1"/>
  <c r="V36" i="1" s="1"/>
  <c r="BR36" i="1" s="1"/>
  <c r="M36" i="1"/>
  <c r="N36" i="1" s="1"/>
  <c r="J36" i="1"/>
  <c r="G36" i="1"/>
  <c r="AQ35" i="1"/>
  <c r="AP35" i="1"/>
  <c r="AO35" i="1"/>
  <c r="AN35" i="1"/>
  <c r="AF35" i="1"/>
  <c r="Z35" i="1"/>
  <c r="S35" i="1"/>
  <c r="O35" i="1"/>
  <c r="V35" i="1" s="1"/>
  <c r="M35" i="1"/>
  <c r="N35" i="1" s="1"/>
  <c r="J35" i="1"/>
  <c r="G35" i="1"/>
  <c r="AP34" i="1"/>
  <c r="AO34" i="1"/>
  <c r="AN34" i="1"/>
  <c r="AM34" i="1"/>
  <c r="AF34" i="1"/>
  <c r="Y34" i="1"/>
  <c r="W34" i="1"/>
  <c r="S34" i="1"/>
  <c r="U34" i="1" s="1"/>
  <c r="O34" i="1"/>
  <c r="V34" i="1" s="1"/>
  <c r="BL34" i="1" s="1"/>
  <c r="N34" i="1"/>
  <c r="M34" i="1"/>
  <c r="J34" i="1"/>
  <c r="G34" i="1"/>
  <c r="BK33" i="1"/>
  <c r="BJ33" i="1"/>
  <c r="AQ33" i="1"/>
  <c r="AP33" i="1"/>
  <c r="AO33" i="1"/>
  <c r="AF33" i="1"/>
  <c r="Y33" i="1"/>
  <c r="AN33" i="1" s="1"/>
  <c r="W33" i="1"/>
  <c r="S33" i="1"/>
  <c r="U33" i="1" s="1"/>
  <c r="O33" i="1"/>
  <c r="V33" i="1" s="1"/>
  <c r="BN33" i="1" s="1"/>
  <c r="M33" i="1"/>
  <c r="AM33" i="1" s="1"/>
  <c r="J33" i="1"/>
  <c r="G33" i="1"/>
  <c r="BJ32" i="1"/>
  <c r="AP32" i="1"/>
  <c r="AO32" i="1"/>
  <c r="AN32" i="1"/>
  <c r="AM32" i="1"/>
  <c r="AF32" i="1"/>
  <c r="Z32" i="1"/>
  <c r="O32" i="1"/>
  <c r="U32" i="1" s="1"/>
  <c r="BK32" i="1" s="1"/>
  <c r="N32" i="1"/>
  <c r="J32" i="1"/>
  <c r="G32" i="1"/>
  <c r="AQ31" i="1"/>
  <c r="AP31" i="1"/>
  <c r="AO31" i="1"/>
  <c r="AN31" i="1"/>
  <c r="AF31" i="1"/>
  <c r="Z31" i="1"/>
  <c r="Y31" i="1"/>
  <c r="S31" i="1"/>
  <c r="O31" i="1"/>
  <c r="V31" i="1" s="1"/>
  <c r="BN31" i="1" s="1"/>
  <c r="M31" i="1"/>
  <c r="J31" i="1"/>
  <c r="G31" i="1"/>
  <c r="AQ30" i="1"/>
  <c r="AP30" i="1"/>
  <c r="AO30" i="1"/>
  <c r="AM30" i="1"/>
  <c r="AF30" i="1"/>
  <c r="Z30" i="1"/>
  <c r="Y30" i="1"/>
  <c r="S30" i="1"/>
  <c r="X30" i="1" s="1"/>
  <c r="O30" i="1"/>
  <c r="V30" i="1" s="1"/>
  <c r="BR30" i="1" s="1"/>
  <c r="M30" i="1"/>
  <c r="N30" i="1" s="1"/>
  <c r="J30" i="1"/>
  <c r="G30" i="1"/>
  <c r="BK29" i="1"/>
  <c r="BJ29" i="1"/>
  <c r="AP29" i="1"/>
  <c r="AO29" i="1"/>
  <c r="BI29" i="1" s="1"/>
  <c r="AM29" i="1"/>
  <c r="AF29" i="1"/>
  <c r="Z29" i="1"/>
  <c r="Y29" i="1"/>
  <c r="AN29" i="1" s="1"/>
  <c r="W29" i="1"/>
  <c r="S29" i="1"/>
  <c r="O29" i="1"/>
  <c r="V29" i="1" s="1"/>
  <c r="BN29" i="1" s="1"/>
  <c r="N29" i="1"/>
  <c r="M29" i="1"/>
  <c r="J29" i="1"/>
  <c r="G29" i="1"/>
  <c r="BK28" i="1"/>
  <c r="BJ28" i="1"/>
  <c r="AP28" i="1"/>
  <c r="AO28" i="1"/>
  <c r="AF28" i="1"/>
  <c r="Z28" i="1"/>
  <c r="Y28" i="1"/>
  <c r="AN28" i="1" s="1"/>
  <c r="W28" i="1"/>
  <c r="Q28" i="1"/>
  <c r="S28" i="1" s="1"/>
  <c r="O28" i="1"/>
  <c r="N28" i="1"/>
  <c r="M28" i="1"/>
  <c r="AM28" i="1" s="1"/>
  <c r="J28" i="1"/>
  <c r="G28" i="1"/>
  <c r="AO27" i="1"/>
  <c r="BI27" i="1" s="1"/>
  <c r="AN27" i="1"/>
  <c r="AM27" i="1"/>
  <c r="AL27" i="1"/>
  <c r="AP27" i="1" s="1"/>
  <c r="AI27" i="1"/>
  <c r="AF27" i="1"/>
  <c r="Z27" i="1"/>
  <c r="Y27" i="1"/>
  <c r="W27" i="1"/>
  <c r="BJ27" i="1" s="1"/>
  <c r="Q27" i="1"/>
  <c r="S27" i="1" s="1"/>
  <c r="O27" i="1"/>
  <c r="M27" i="1"/>
  <c r="N27" i="1" s="1"/>
  <c r="J27" i="1"/>
  <c r="G27" i="1"/>
  <c r="AQ26" i="1"/>
  <c r="AP26" i="1"/>
  <c r="AO26" i="1"/>
  <c r="AF26" i="1"/>
  <c r="Z26" i="1"/>
  <c r="Y26" i="1"/>
  <c r="AN26" i="1" s="1"/>
  <c r="S26" i="1"/>
  <c r="O26" i="1"/>
  <c r="V26" i="1" s="1"/>
  <c r="BL26" i="1" s="1"/>
  <c r="N26" i="1"/>
  <c r="M26" i="1"/>
  <c r="AM26" i="1" s="1"/>
  <c r="J26" i="1"/>
  <c r="G26" i="1"/>
  <c r="AQ25" i="1"/>
  <c r="AP25" i="1"/>
  <c r="AO25" i="1"/>
  <c r="AF25" i="1"/>
  <c r="Z25" i="1"/>
  <c r="Y25" i="1"/>
  <c r="AN25" i="1" s="1"/>
  <c r="S25" i="1"/>
  <c r="O25" i="1"/>
  <c r="V25" i="1" s="1"/>
  <c r="M25" i="1"/>
  <c r="AM25" i="1" s="1"/>
  <c r="G25" i="1"/>
  <c r="AP24" i="1"/>
  <c r="AO24" i="1"/>
  <c r="AN24" i="1"/>
  <c r="AF24" i="1"/>
  <c r="Z24" i="1"/>
  <c r="S24" i="1"/>
  <c r="O24" i="1"/>
  <c r="V24" i="1" s="1"/>
  <c r="N24" i="1"/>
  <c r="M24" i="1"/>
  <c r="AM24" i="1" s="1"/>
  <c r="J24" i="1"/>
  <c r="G24" i="1"/>
  <c r="BK23" i="1"/>
  <c r="BJ23" i="1"/>
  <c r="AQ23" i="1"/>
  <c r="AP23" i="1"/>
  <c r="AO23" i="1"/>
  <c r="AN23" i="1"/>
  <c r="AM23" i="1"/>
  <c r="AF23" i="1"/>
  <c r="Z23" i="1"/>
  <c r="Y23" i="1"/>
  <c r="S23" i="1"/>
  <c r="O23" i="1"/>
  <c r="V23" i="1" s="1"/>
  <c r="M23" i="1"/>
  <c r="J23" i="1"/>
  <c r="G23" i="1"/>
  <c r="AD20" i="1"/>
  <c r="F18" i="1"/>
  <c r="E18" i="1"/>
  <c r="F17" i="1"/>
  <c r="E17" i="1"/>
  <c r="H16" i="1"/>
  <c r="E16" i="1"/>
  <c r="F16" i="1" s="1"/>
  <c r="E15" i="1"/>
  <c r="F15" i="1" s="1"/>
  <c r="F14" i="1"/>
  <c r="E14" i="1"/>
  <c r="F13" i="1"/>
  <c r="E13" i="1"/>
  <c r="F12" i="1"/>
  <c r="E12" i="1"/>
  <c r="F11" i="1"/>
  <c r="E11" i="1"/>
  <c r="E10" i="1"/>
  <c r="F10" i="1" s="1"/>
  <c r="F9" i="1"/>
  <c r="E9" i="1"/>
  <c r="S8" i="1"/>
  <c r="X20" i="1" s="1"/>
  <c r="E8" i="1"/>
  <c r="F8" i="1" s="1"/>
  <c r="K7" i="1"/>
  <c r="C7" i="1"/>
  <c r="E7" i="1" s="1"/>
  <c r="F7" i="1" s="1"/>
  <c r="B7" i="1"/>
  <c r="J6" i="1"/>
  <c r="D6" i="1"/>
  <c r="E6" i="1" s="1"/>
  <c r="F6" i="1" s="1"/>
  <c r="S5" i="1"/>
  <c r="J5" i="1"/>
  <c r="K6" i="1" s="1"/>
  <c r="D5" i="1"/>
  <c r="E5" i="1" s="1"/>
  <c r="F5" i="1" s="1"/>
  <c r="J4" i="1"/>
  <c r="K5" i="1" s="1"/>
  <c r="D4" i="1"/>
  <c r="E4" i="1" s="1"/>
  <c r="F4" i="1" s="1"/>
  <c r="BK34" i="1" l="1"/>
  <c r="BJ34" i="1"/>
  <c r="BT34" i="1" s="1"/>
  <c r="U67" i="1"/>
  <c r="BK67" i="1" s="1"/>
  <c r="BD67" i="1" s="1"/>
  <c r="U31" i="1"/>
  <c r="BK31" i="1" s="1"/>
  <c r="U26" i="1"/>
  <c r="BK26" i="1" s="1"/>
  <c r="BD26" i="1" s="1"/>
  <c r="BT28" i="1"/>
  <c r="V28" i="1"/>
  <c r="BR28" i="1" s="1"/>
  <c r="AR34" i="1"/>
  <c r="BA34" i="1" s="1"/>
  <c r="U62" i="1"/>
  <c r="BK62" i="1" s="1"/>
  <c r="BD62" i="1" s="1"/>
  <c r="BN36" i="1"/>
  <c r="AR26" i="1"/>
  <c r="BA26" i="1" s="1"/>
  <c r="BP73" i="1"/>
  <c r="U27" i="1"/>
  <c r="BK27" i="1" s="1"/>
  <c r="BN51" i="1"/>
  <c r="BR51" i="1"/>
  <c r="BR33" i="1"/>
  <c r="AR70" i="1"/>
  <c r="BA70" i="1" s="1"/>
  <c r="AR74" i="1"/>
  <c r="BA74" i="1" s="1"/>
  <c r="BG56" i="1"/>
  <c r="BI56" i="1" s="1"/>
  <c r="BH56" i="1" s="1"/>
  <c r="BT58" i="1"/>
  <c r="BW58" i="1" s="1"/>
  <c r="X61" i="1"/>
  <c r="AN61" i="1" s="1"/>
  <c r="U46" i="1"/>
  <c r="BK46" i="1" s="1"/>
  <c r="BG53" i="1"/>
  <c r="AR33" i="1"/>
  <c r="BA33" i="1" s="1"/>
  <c r="AR37" i="1"/>
  <c r="BA37" i="1" s="1"/>
  <c r="BP63" i="1"/>
  <c r="BC29" i="1"/>
  <c r="BS29" i="1" s="1"/>
  <c r="BG29" i="1"/>
  <c r="BH29" i="1" s="1"/>
  <c r="BO29" i="1" s="1"/>
  <c r="BE26" i="1"/>
  <c r="BU26" i="1" s="1"/>
  <c r="BG28" i="1"/>
  <c r="U40" i="1"/>
  <c r="BK40" i="1" s="1"/>
  <c r="BD40" i="1" s="1"/>
  <c r="U45" i="1"/>
  <c r="X58" i="1"/>
  <c r="AN58" i="1" s="1"/>
  <c r="AR58" i="1" s="1"/>
  <c r="BG32" i="1"/>
  <c r="U66" i="1"/>
  <c r="BI58" i="1"/>
  <c r="BP58" i="1" s="1"/>
  <c r="U74" i="1"/>
  <c r="BK74" i="1" s="1"/>
  <c r="U48" i="1"/>
  <c r="BP48" i="1"/>
  <c r="BU63" i="1"/>
  <c r="BP64" i="1"/>
  <c r="BT66" i="1"/>
  <c r="BW66" i="1" s="1"/>
  <c r="U57" i="1"/>
  <c r="U28" i="1"/>
  <c r="U39" i="1"/>
  <c r="BK39" i="1" s="1"/>
  <c r="BD39" i="1" s="1"/>
  <c r="BT41" i="1"/>
  <c r="U49" i="1"/>
  <c r="BK49" i="1" s="1"/>
  <c r="BD49" i="1" s="1"/>
  <c r="U29" i="1"/>
  <c r="U24" i="1"/>
  <c r="BK24" i="1" s="1"/>
  <c r="BD24" i="1" s="1"/>
  <c r="V27" i="1"/>
  <c r="BN27" i="1" s="1"/>
  <c r="U52" i="1"/>
  <c r="BK52" i="1" s="1"/>
  <c r="BR54" i="1"/>
  <c r="BN54" i="1"/>
  <c r="BN43" i="1"/>
  <c r="BR43" i="1"/>
  <c r="BR47" i="1"/>
  <c r="BN47" i="1"/>
  <c r="BR63" i="1"/>
  <c r="BW63" i="1" s="1"/>
  <c r="BL63" i="1"/>
  <c r="BE63" i="1" s="1"/>
  <c r="BN55" i="1"/>
  <c r="BR55" i="1"/>
  <c r="BN44" i="1"/>
  <c r="BR44" i="1"/>
  <c r="BR41" i="1"/>
  <c r="BN41" i="1"/>
  <c r="BR39" i="1"/>
  <c r="BN39" i="1"/>
  <c r="BN69" i="1"/>
  <c r="BR69" i="1"/>
  <c r="BC57" i="1"/>
  <c r="BS57" i="1" s="1"/>
  <c r="BT73" i="1"/>
  <c r="AR63" i="1"/>
  <c r="BA63" i="1" s="1"/>
  <c r="BG49" i="1"/>
  <c r="BH49" i="1" s="1"/>
  <c r="BO49" i="1" s="1"/>
  <c r="U55" i="1"/>
  <c r="BK55" i="1" s="1"/>
  <c r="U51" i="1"/>
  <c r="X55" i="1"/>
  <c r="AN55" i="1" s="1"/>
  <c r="AR55" i="1" s="1"/>
  <c r="BN64" i="1"/>
  <c r="BC74" i="1"/>
  <c r="BM74" i="1" s="1"/>
  <c r="BT48" i="1"/>
  <c r="BD74" i="1"/>
  <c r="BG72" i="1"/>
  <c r="BI72" i="1" s="1"/>
  <c r="BG74" i="1"/>
  <c r="BI74" i="1" s="1"/>
  <c r="AR48" i="1"/>
  <c r="BB48" i="1" s="1"/>
  <c r="U30" i="1"/>
  <c r="BK30" i="1" s="1"/>
  <c r="AR39" i="1"/>
  <c r="BB39" i="1" s="1"/>
  <c r="V52" i="1"/>
  <c r="BN58" i="1"/>
  <c r="BG52" i="1"/>
  <c r="U59" i="1"/>
  <c r="BI28" i="1"/>
  <c r="BP28" i="1" s="1"/>
  <c r="AR29" i="1"/>
  <c r="BB29" i="1" s="1"/>
  <c r="AR40" i="1"/>
  <c r="BB40" i="1" s="1"/>
  <c r="BR45" i="1"/>
  <c r="V32" i="1"/>
  <c r="BN32" i="1" s="1"/>
  <c r="U23" i="1"/>
  <c r="U64" i="1"/>
  <c r="BK64" i="1" s="1"/>
  <c r="BD64" i="1" s="1"/>
  <c r="X71" i="1"/>
  <c r="AN71" i="1" s="1"/>
  <c r="E2" i="2"/>
  <c r="BN48" i="1"/>
  <c r="BR48" i="1"/>
  <c r="BU48" i="1"/>
  <c r="AR24" i="1"/>
  <c r="BI47" i="1"/>
  <c r="X42" i="1"/>
  <c r="AN42" i="1" s="1"/>
  <c r="U42" i="1"/>
  <c r="BK42" i="1" s="1"/>
  <c r="BI51" i="1"/>
  <c r="BP51" i="1" s="1"/>
  <c r="BT51" i="1"/>
  <c r="BR37" i="1"/>
  <c r="BN37" i="1"/>
  <c r="BN34" i="1"/>
  <c r="BR34" i="1"/>
  <c r="BR50" i="1"/>
  <c r="BN50" i="1"/>
  <c r="BR26" i="1"/>
  <c r="BN26" i="1"/>
  <c r="BG43" i="1"/>
  <c r="AR43" i="1"/>
  <c r="U38" i="1"/>
  <c r="BK38" i="1" s="1"/>
  <c r="BG40" i="1"/>
  <c r="BI40" i="1" s="1"/>
  <c r="BL41" i="1"/>
  <c r="BE41" i="1" s="1"/>
  <c r="BG44" i="1"/>
  <c r="BH44" i="1" s="1"/>
  <c r="BU44" i="1"/>
  <c r="AR44" i="1"/>
  <c r="AM45" i="1"/>
  <c r="N45" i="1"/>
  <c r="BL45" i="1"/>
  <c r="AR62" i="1"/>
  <c r="AS62" i="1" s="1"/>
  <c r="BU64" i="1"/>
  <c r="BX64" i="1" s="1"/>
  <c r="BG64" i="1"/>
  <c r="BH64" i="1" s="1"/>
  <c r="BC64" i="1"/>
  <c r="BN73" i="1"/>
  <c r="BR73" i="1"/>
  <c r="N62" i="1"/>
  <c r="AR64" i="1"/>
  <c r="E9" i="2"/>
  <c r="F9" i="2"/>
  <c r="BG23" i="1"/>
  <c r="BI23" i="1" s="1"/>
  <c r="BP23" i="1" s="1"/>
  <c r="BD23" i="1"/>
  <c r="BC23" i="1"/>
  <c r="AR23" i="1"/>
  <c r="N25" i="1"/>
  <c r="BN30" i="1"/>
  <c r="AM54" i="1"/>
  <c r="N54" i="1"/>
  <c r="BG60" i="1"/>
  <c r="U37" i="2"/>
  <c r="BL25" i="1"/>
  <c r="AN30" i="1"/>
  <c r="BG30" i="1" s="1"/>
  <c r="BG70" i="1"/>
  <c r="BI70" i="1" s="1"/>
  <c r="AR73" i="1"/>
  <c r="BG73" i="1"/>
  <c r="BH73" i="1" s="1"/>
  <c r="BD73" i="1"/>
  <c r="BU73" i="1"/>
  <c r="BC73" i="1"/>
  <c r="BR29" i="1"/>
  <c r="AP75" i="1"/>
  <c r="U25" i="1"/>
  <c r="BK25" i="1" s="1"/>
  <c r="BD25" i="1" s="1"/>
  <c r="BN25" i="1"/>
  <c r="BT27" i="1"/>
  <c r="AR28" i="1"/>
  <c r="AR36" i="1"/>
  <c r="BG36" i="1"/>
  <c r="BI36" i="1" s="1"/>
  <c r="BG39" i="1"/>
  <c r="N40" i="1"/>
  <c r="N44" i="1"/>
  <c r="BJ49" i="1"/>
  <c r="BT49" i="1" s="1"/>
  <c r="AM51" i="1"/>
  <c r="N51" i="1"/>
  <c r="BL67" i="1"/>
  <c r="BN70" i="1"/>
  <c r="BR70" i="1"/>
  <c r="N71" i="1"/>
  <c r="AM71" i="1"/>
  <c r="BN38" i="1"/>
  <c r="BG24" i="1"/>
  <c r="BI24" i="1" s="1"/>
  <c r="BG27" i="1"/>
  <c r="BH27" i="1" s="1"/>
  <c r="BU29" i="1"/>
  <c r="BC34" i="1"/>
  <c r="BG37" i="1"/>
  <c r="BI37" i="1" s="1"/>
  <c r="BR25" i="1"/>
  <c r="BD34" i="1"/>
  <c r="BR49" i="1"/>
  <c r="BR56" i="1"/>
  <c r="BN56" i="1"/>
  <c r="BK56" i="1"/>
  <c r="BD56" i="1" s="1"/>
  <c r="AQ75" i="1"/>
  <c r="BJ40" i="1"/>
  <c r="BC40" i="1" s="1"/>
  <c r="BR24" i="1"/>
  <c r="BN24" i="1"/>
  <c r="BP27" i="1"/>
  <c r="N31" i="1"/>
  <c r="AM31" i="1"/>
  <c r="BD33" i="1"/>
  <c r="BG33" i="1"/>
  <c r="BI33" i="1" s="1"/>
  <c r="BP33" i="1" s="1"/>
  <c r="BC33" i="1"/>
  <c r="BE34" i="1"/>
  <c r="BU34" i="1" s="1"/>
  <c r="U35" i="1"/>
  <c r="BK35" i="1" s="1"/>
  <c r="U37" i="1"/>
  <c r="BK37" i="1" s="1"/>
  <c r="BD37" i="1" s="1"/>
  <c r="BL37" i="1"/>
  <c r="BN40" i="1"/>
  <c r="BJ43" i="1"/>
  <c r="BC43" i="1" s="1"/>
  <c r="V53" i="1"/>
  <c r="BD53" i="1" s="1"/>
  <c r="U53" i="1"/>
  <c r="BG62" i="1"/>
  <c r="BI62" i="1" s="1"/>
  <c r="BL30" i="1"/>
  <c r="BL71" i="1"/>
  <c r="BT71" i="1" s="1"/>
  <c r="BL72" i="1"/>
  <c r="BL70" i="1"/>
  <c r="BE70" i="1" s="1"/>
  <c r="BU70" i="1" s="1"/>
  <c r="BK61" i="1"/>
  <c r="BL60" i="1"/>
  <c r="BE60" i="1" s="1"/>
  <c r="BU60" i="1" s="1"/>
  <c r="BL57" i="1"/>
  <c r="BK47" i="1"/>
  <c r="BD47" i="1" s="1"/>
  <c r="BK72" i="1"/>
  <c r="BD72" i="1" s="1"/>
  <c r="BL69" i="1"/>
  <c r="BJ61" i="1"/>
  <c r="BL59" i="1"/>
  <c r="BT59" i="1" s="1"/>
  <c r="BL74" i="1"/>
  <c r="BJ69" i="1"/>
  <c r="BC69" i="1" s="1"/>
  <c r="BL68" i="1"/>
  <c r="BL62" i="1"/>
  <c r="BE62" i="1" s="1"/>
  <c r="BU62" i="1" s="1"/>
  <c r="BJ56" i="1"/>
  <c r="BC56" i="1" s="1"/>
  <c r="BL44" i="1"/>
  <c r="BE44" i="1" s="1"/>
  <c r="BJ35" i="1"/>
  <c r="BL65" i="1"/>
  <c r="BL55" i="1"/>
  <c r="BJ37" i="1"/>
  <c r="BC37" i="1" s="1"/>
  <c r="BL64" i="1"/>
  <c r="BE64" i="1" s="1"/>
  <c r="BJ55" i="1"/>
  <c r="BL51" i="1"/>
  <c r="BL48" i="1"/>
  <c r="BE48" i="1" s="1"/>
  <c r="BL38" i="1"/>
  <c r="BJ72" i="1"/>
  <c r="BC72" i="1" s="1"/>
  <c r="BL66" i="1"/>
  <c r="BJ70" i="1"/>
  <c r="BC70" i="1" s="1"/>
  <c r="BL56" i="1"/>
  <c r="BJ68" i="1"/>
  <c r="BJ60" i="1"/>
  <c r="BC60" i="1" s="1"/>
  <c r="BL35" i="1"/>
  <c r="BL31" i="1"/>
  <c r="BJ30" i="1"/>
  <c r="BL73" i="1"/>
  <c r="BE73" i="1" s="1"/>
  <c r="BL58" i="1"/>
  <c r="BJ24" i="1"/>
  <c r="BC24" i="1" s="1"/>
  <c r="BK50" i="1"/>
  <c r="BK68" i="1"/>
  <c r="BJ67" i="1"/>
  <c r="BC67" i="1" s="1"/>
  <c r="BL47" i="1"/>
  <c r="BE47" i="1" s="1"/>
  <c r="BJ31" i="1"/>
  <c r="BJ26" i="1"/>
  <c r="BT26" i="1" s="1"/>
  <c r="BJ25" i="1"/>
  <c r="BC25" i="1" s="1"/>
  <c r="BL54" i="1"/>
  <c r="BJ47" i="1"/>
  <c r="BT47" i="1" s="1"/>
  <c r="BL33" i="1"/>
  <c r="BT33" i="1" s="1"/>
  <c r="BK54" i="1"/>
  <c r="BL40" i="1"/>
  <c r="BJ38" i="1"/>
  <c r="BL29" i="1"/>
  <c r="BE29" i="1" s="1"/>
  <c r="BK69" i="1"/>
  <c r="BD69" i="1" s="1"/>
  <c r="BL61" i="1"/>
  <c r="BJ54" i="1"/>
  <c r="BL50" i="1"/>
  <c r="BK44" i="1"/>
  <c r="BD44" i="1" s="1"/>
  <c r="BL42" i="1"/>
  <c r="BJ50" i="1"/>
  <c r="BJ42" i="1"/>
  <c r="BL49" i="1"/>
  <c r="BE49" i="1" s="1"/>
  <c r="BJ46" i="1"/>
  <c r="BT29" i="1"/>
  <c r="BL24" i="1"/>
  <c r="BR35" i="1"/>
  <c r="BN35" i="1"/>
  <c r="AR27" i="1"/>
  <c r="BR31" i="1"/>
  <c r="N33" i="1"/>
  <c r="BG34" i="1"/>
  <c r="BI34" i="1" s="1"/>
  <c r="BP34" i="1" s="1"/>
  <c r="BJ39" i="1"/>
  <c r="BC39" i="1" s="1"/>
  <c r="BG41" i="1"/>
  <c r="BH41" i="1" s="1"/>
  <c r="BU41" i="1"/>
  <c r="AR41" i="1"/>
  <c r="BD41" i="1"/>
  <c r="BC41" i="1"/>
  <c r="BJ44" i="1"/>
  <c r="AR72" i="1"/>
  <c r="BR23" i="1"/>
  <c r="BN23" i="1"/>
  <c r="BD29" i="1"/>
  <c r="BJ36" i="1"/>
  <c r="BC36" i="1" s="1"/>
  <c r="BL39" i="1"/>
  <c r="BL43" i="1"/>
  <c r="BE43" i="1" s="1"/>
  <c r="BU43" i="1" s="1"/>
  <c r="N50" i="1"/>
  <c r="AM50" i="1"/>
  <c r="BN60" i="1"/>
  <c r="BR60" i="1"/>
  <c r="BW64" i="1"/>
  <c r="AR69" i="1"/>
  <c r="BG69" i="1"/>
  <c r="BG25" i="1"/>
  <c r="BI25" i="1" s="1"/>
  <c r="AM38" i="1"/>
  <c r="N38" i="1"/>
  <c r="BL23" i="1"/>
  <c r="BT23" i="1" s="1"/>
  <c r="AR25" i="1"/>
  <c r="BG26" i="1"/>
  <c r="BL36" i="1"/>
  <c r="BE36" i="1" s="1"/>
  <c r="BU36" i="1" s="1"/>
  <c r="BX36" i="1" s="1"/>
  <c r="BP41" i="1"/>
  <c r="N42" i="1"/>
  <c r="BT45" i="1"/>
  <c r="BI45" i="1"/>
  <c r="BP45" i="1" s="1"/>
  <c r="BU47" i="1"/>
  <c r="AR47" i="1"/>
  <c r="BG47" i="1"/>
  <c r="BU49" i="1"/>
  <c r="AR49" i="1"/>
  <c r="AR57" i="1"/>
  <c r="BG57" i="1"/>
  <c r="BI57" i="1" s="1"/>
  <c r="BP57" i="1" s="1"/>
  <c r="BD57" i="1"/>
  <c r="BJ62" i="1"/>
  <c r="BC62" i="1" s="1"/>
  <c r="BN72" i="1"/>
  <c r="BR72" i="1"/>
  <c r="BN62" i="1"/>
  <c r="BR62" i="1"/>
  <c r="F5" i="2"/>
  <c r="E5" i="2"/>
  <c r="AR60" i="1"/>
  <c r="BD63" i="1"/>
  <c r="BC63" i="1"/>
  <c r="BG67" i="1"/>
  <c r="BI67" i="1" s="1"/>
  <c r="AR67" i="1"/>
  <c r="S32" i="2"/>
  <c r="U70" i="1"/>
  <c r="BK70" i="1" s="1"/>
  <c r="BD70" i="1" s="1"/>
  <c r="BR71" i="1"/>
  <c r="BN71" i="1"/>
  <c r="BN74" i="1"/>
  <c r="BR74" i="1"/>
  <c r="BP29" i="1"/>
  <c r="N68" i="1"/>
  <c r="AM68" i="1"/>
  <c r="AR56" i="1"/>
  <c r="AR32" i="1"/>
  <c r="BG48" i="1"/>
  <c r="BH48" i="1" s="1"/>
  <c r="BC48" i="1"/>
  <c r="BN59" i="1"/>
  <c r="U60" i="1"/>
  <c r="BK60" i="1" s="1"/>
  <c r="BD60" i="1" s="1"/>
  <c r="BG63" i="1"/>
  <c r="BH63" i="1" s="1"/>
  <c r="BR65" i="1"/>
  <c r="BR57" i="1"/>
  <c r="BP66" i="1"/>
  <c r="N48" i="1"/>
  <c r="BD48" i="1"/>
  <c r="AM59" i="1"/>
  <c r="N59" i="1"/>
  <c r="U43" i="1"/>
  <c r="BK43" i="1" s="1"/>
  <c r="BD43" i="1" s="1"/>
  <c r="BN61" i="1"/>
  <c r="BN68" i="1"/>
  <c r="BR68" i="1"/>
  <c r="AM35" i="1"/>
  <c r="AR53" i="1"/>
  <c r="BN57" i="1"/>
  <c r="N66" i="1"/>
  <c r="AM66" i="1"/>
  <c r="E7" i="2"/>
  <c r="U36" i="1"/>
  <c r="BR42" i="1"/>
  <c r="BR59" i="1"/>
  <c r="AR52" i="1"/>
  <c r="F8" i="2"/>
  <c r="E8" i="2"/>
  <c r="BN63" i="1"/>
  <c r="F3" i="2"/>
  <c r="E3" i="2"/>
  <c r="BN66" i="1"/>
  <c r="S30" i="2"/>
  <c r="BD27" i="1" l="1"/>
  <c r="BS74" i="1"/>
  <c r="BB70" i="1"/>
  <c r="BB26" i="1"/>
  <c r="BC28" i="1"/>
  <c r="BS28" i="1" s="1"/>
  <c r="BN28" i="1"/>
  <c r="BO41" i="1"/>
  <c r="BQ41" i="1" s="1"/>
  <c r="BW28" i="1"/>
  <c r="BL28" i="1"/>
  <c r="BE28" i="1" s="1"/>
  <c r="BC27" i="1"/>
  <c r="BM27" i="1" s="1"/>
  <c r="BU28" i="1"/>
  <c r="BX28" i="1" s="1"/>
  <c r="BD28" i="1"/>
  <c r="AS34" i="1"/>
  <c r="BB34" i="1"/>
  <c r="AR30" i="1"/>
  <c r="BA30" i="1" s="1"/>
  <c r="BC30" i="1"/>
  <c r="BS30" i="1" s="1"/>
  <c r="BP72" i="1"/>
  <c r="BM29" i="1"/>
  <c r="BB74" i="1"/>
  <c r="BW34" i="1"/>
  <c r="BO56" i="1"/>
  <c r="BX70" i="1"/>
  <c r="BX63" i="1"/>
  <c r="BX26" i="1"/>
  <c r="AS70" i="1"/>
  <c r="BR32" i="1"/>
  <c r="BT72" i="1"/>
  <c r="BW72" i="1" s="1"/>
  <c r="BV63" i="1"/>
  <c r="BY63" i="1" s="1"/>
  <c r="AS26" i="1"/>
  <c r="BC32" i="1"/>
  <c r="BS32" i="1" s="1"/>
  <c r="AS74" i="1"/>
  <c r="BW73" i="1"/>
  <c r="BB33" i="1"/>
  <c r="AS33" i="1"/>
  <c r="BP24" i="1"/>
  <c r="BD58" i="1"/>
  <c r="BT67" i="1"/>
  <c r="BW67" i="1" s="1"/>
  <c r="BP67" i="1"/>
  <c r="AS63" i="1"/>
  <c r="BT24" i="1"/>
  <c r="BW24" i="1" s="1"/>
  <c r="BQ29" i="1"/>
  <c r="BB63" i="1"/>
  <c r="BC58" i="1"/>
  <c r="BM58" i="1" s="1"/>
  <c r="BG58" i="1"/>
  <c r="BH58" i="1" s="1"/>
  <c r="BO58" i="1" s="1"/>
  <c r="BQ58" i="1" s="1"/>
  <c r="BO64" i="1"/>
  <c r="BQ64" i="1" s="1"/>
  <c r="BX48" i="1"/>
  <c r="BG61" i="1"/>
  <c r="BI61" i="1" s="1"/>
  <c r="BP61" i="1" s="1"/>
  <c r="AR61" i="1"/>
  <c r="BB61" i="1" s="1"/>
  <c r="BT61" i="1"/>
  <c r="BW61" i="1" s="1"/>
  <c r="BM57" i="1"/>
  <c r="BD32" i="1"/>
  <c r="BH28" i="1"/>
  <c r="BE58" i="1"/>
  <c r="BE30" i="1"/>
  <c r="BU30" i="1" s="1"/>
  <c r="BX30" i="1" s="1"/>
  <c r="BC61" i="1"/>
  <c r="BS61" i="1" s="1"/>
  <c r="BV64" i="1"/>
  <c r="BY64" i="1" s="1"/>
  <c r="BI32" i="1"/>
  <c r="BP32" i="1" s="1"/>
  <c r="BV41" i="1"/>
  <c r="BY41" i="1" s="1"/>
  <c r="BL53" i="1"/>
  <c r="BT53" i="1" s="1"/>
  <c r="BT38" i="1"/>
  <c r="BW38" i="1" s="1"/>
  <c r="BB37" i="1"/>
  <c r="BD61" i="1"/>
  <c r="BU58" i="1"/>
  <c r="BX58" i="1" s="1"/>
  <c r="AS37" i="1"/>
  <c r="BW41" i="1"/>
  <c r="BX43" i="1"/>
  <c r="BL27" i="1"/>
  <c r="BE27" i="1" s="1"/>
  <c r="BR27" i="1"/>
  <c r="BW27" i="1" s="1"/>
  <c r="BU27" i="1"/>
  <c r="BD42" i="1"/>
  <c r="BX73" i="1"/>
  <c r="BP25" i="1"/>
  <c r="BA40" i="1"/>
  <c r="BO44" i="1"/>
  <c r="BX47" i="1"/>
  <c r="BO73" i="1"/>
  <c r="BQ73" i="1" s="1"/>
  <c r="BP40" i="1"/>
  <c r="BX44" i="1"/>
  <c r="BA39" i="1"/>
  <c r="BW48" i="1"/>
  <c r="BX60" i="1"/>
  <c r="BX34" i="1"/>
  <c r="BP74" i="1"/>
  <c r="BH74" i="1"/>
  <c r="BO74" i="1" s="1"/>
  <c r="BL52" i="1"/>
  <c r="BI52" i="1"/>
  <c r="BP52" i="1" s="1"/>
  <c r="BT54" i="1"/>
  <c r="BW54" i="1" s="1"/>
  <c r="BE55" i="1"/>
  <c r="BU55" i="1" s="1"/>
  <c r="BX55" i="1" s="1"/>
  <c r="BT42" i="1"/>
  <c r="BW42" i="1" s="1"/>
  <c r="BX29" i="1"/>
  <c r="BP62" i="1"/>
  <c r="BD30" i="1"/>
  <c r="AS39" i="1"/>
  <c r="BE67" i="1"/>
  <c r="BU67" i="1" s="1"/>
  <c r="BX67" i="1" s="1"/>
  <c r="BG55" i="1"/>
  <c r="BI55" i="1" s="1"/>
  <c r="BP55" i="1" s="1"/>
  <c r="BT50" i="1"/>
  <c r="BW50" i="1" s="1"/>
  <c r="BA48" i="1"/>
  <c r="AS48" i="1"/>
  <c r="BD55" i="1"/>
  <c r="BO63" i="1"/>
  <c r="BQ63" i="1" s="1"/>
  <c r="BC26" i="1"/>
  <c r="BM26" i="1" s="1"/>
  <c r="BR52" i="1"/>
  <c r="BC55" i="1"/>
  <c r="BM55" i="1" s="1"/>
  <c r="BN52" i="1"/>
  <c r="BP49" i="1"/>
  <c r="BQ49" i="1" s="1"/>
  <c r="BA29" i="1"/>
  <c r="AS29" i="1"/>
  <c r="BX49" i="1"/>
  <c r="AR42" i="1"/>
  <c r="AS42" i="1" s="1"/>
  <c r="BD52" i="1"/>
  <c r="BC52" i="1"/>
  <c r="BS52" i="1" s="1"/>
  <c r="BH47" i="1"/>
  <c r="BO47" i="1" s="1"/>
  <c r="BT39" i="1"/>
  <c r="BW39" i="1" s="1"/>
  <c r="BX41" i="1"/>
  <c r="AS40" i="1"/>
  <c r="U75" i="1"/>
  <c r="D3" i="1" s="1"/>
  <c r="E3" i="1" s="1"/>
  <c r="F3" i="1" s="1"/>
  <c r="BL32" i="1"/>
  <c r="BT32" i="1" s="1"/>
  <c r="BM70" i="1"/>
  <c r="BS70" i="1"/>
  <c r="BI30" i="1"/>
  <c r="BP30" i="1" s="1"/>
  <c r="BM69" i="1"/>
  <c r="BS69" i="1"/>
  <c r="BV47" i="1"/>
  <c r="BY47" i="1" s="1"/>
  <c r="BW47" i="1"/>
  <c r="BM43" i="1"/>
  <c r="BS43" i="1"/>
  <c r="BS36" i="1"/>
  <c r="BM36" i="1"/>
  <c r="BM60" i="1"/>
  <c r="BS60" i="1"/>
  <c r="BB55" i="1"/>
  <c r="AS55" i="1"/>
  <c r="BA55" i="1"/>
  <c r="BS34" i="1"/>
  <c r="BM34" i="1"/>
  <c r="BT60" i="1"/>
  <c r="BS40" i="1"/>
  <c r="BM40" i="1"/>
  <c r="BT37" i="1"/>
  <c r="BE37" i="1"/>
  <c r="BU37" i="1" s="1"/>
  <c r="BX37" i="1" s="1"/>
  <c r="BH36" i="1"/>
  <c r="BO36" i="1" s="1"/>
  <c r="BM37" i="1"/>
  <c r="BS37" i="1"/>
  <c r="BA24" i="1"/>
  <c r="BB24" i="1"/>
  <c r="AS24" i="1"/>
  <c r="BA53" i="1"/>
  <c r="AS53" i="1"/>
  <c r="BB53" i="1"/>
  <c r="BE59" i="1"/>
  <c r="BU59" i="1" s="1"/>
  <c r="BX59" i="1" s="1"/>
  <c r="BD59" i="1"/>
  <c r="BC59" i="1"/>
  <c r="AR59" i="1"/>
  <c r="BG59" i="1"/>
  <c r="BW23" i="1"/>
  <c r="BE61" i="1"/>
  <c r="BU61" i="1" s="1"/>
  <c r="BX61" i="1" s="1"/>
  <c r="BA41" i="1"/>
  <c r="BB41" i="1"/>
  <c r="AS41" i="1"/>
  <c r="BM72" i="1"/>
  <c r="BS72" i="1"/>
  <c r="BT62" i="1"/>
  <c r="BT70" i="1"/>
  <c r="BO27" i="1"/>
  <c r="BQ27" i="1" s="1"/>
  <c r="BB36" i="1"/>
  <c r="AS36" i="1"/>
  <c r="BA36" i="1"/>
  <c r="AS73" i="1"/>
  <c r="BA73" i="1"/>
  <c r="BB73" i="1"/>
  <c r="BE54" i="1"/>
  <c r="BU54" i="1" s="1"/>
  <c r="BX54" i="1" s="1"/>
  <c r="BG54" i="1"/>
  <c r="BD54" i="1"/>
  <c r="BC54" i="1"/>
  <c r="AR54" i="1"/>
  <c r="BH72" i="1"/>
  <c r="BO72" i="1" s="1"/>
  <c r="BC71" i="1"/>
  <c r="BG71" i="1"/>
  <c r="BE71" i="1"/>
  <c r="BU71" i="1" s="1"/>
  <c r="BX71" i="1" s="1"/>
  <c r="AR71" i="1"/>
  <c r="BD71" i="1"/>
  <c r="BG66" i="1"/>
  <c r="BH66" i="1" s="1"/>
  <c r="BO66" i="1" s="1"/>
  <c r="BQ66" i="1" s="1"/>
  <c r="BE66" i="1"/>
  <c r="BD66" i="1"/>
  <c r="BC66" i="1"/>
  <c r="AR66" i="1"/>
  <c r="BU66" i="1"/>
  <c r="BH40" i="1"/>
  <c r="BO40" i="1" s="1"/>
  <c r="BP36" i="1"/>
  <c r="BS62" i="1"/>
  <c r="BM62" i="1"/>
  <c r="BA69" i="1"/>
  <c r="AS69" i="1"/>
  <c r="BB69" i="1"/>
  <c r="BA56" i="1"/>
  <c r="AS56" i="1"/>
  <c r="BB56" i="1"/>
  <c r="AR68" i="1"/>
  <c r="BG68" i="1"/>
  <c r="BD68" i="1"/>
  <c r="BE68" i="1"/>
  <c r="BU68" i="1" s="1"/>
  <c r="BX68" i="1" s="1"/>
  <c r="BC68" i="1"/>
  <c r="BS41" i="1"/>
  <c r="BM41" i="1"/>
  <c r="BB25" i="1"/>
  <c r="BA25" i="1"/>
  <c r="AS25" i="1"/>
  <c r="BA72" i="1"/>
  <c r="AS72" i="1"/>
  <c r="BB72" i="1"/>
  <c r="BE24" i="1"/>
  <c r="BU24" i="1" s="1"/>
  <c r="BX24" i="1" s="1"/>
  <c r="BI26" i="1"/>
  <c r="BP26" i="1" s="1"/>
  <c r="BV73" i="1"/>
  <c r="BY73" i="1" s="1"/>
  <c r="BI60" i="1"/>
  <c r="BP60" i="1" s="1"/>
  <c r="BH67" i="1"/>
  <c r="BO67" i="1" s="1"/>
  <c r="BH57" i="1"/>
  <c r="BO57" i="1" s="1"/>
  <c r="BQ57" i="1" s="1"/>
  <c r="BC42" i="1"/>
  <c r="BG50" i="1"/>
  <c r="BE50" i="1"/>
  <c r="BU50" i="1" s="1"/>
  <c r="BX50" i="1" s="1"/>
  <c r="BD50" i="1"/>
  <c r="BC50" i="1"/>
  <c r="AR50" i="1"/>
  <c r="BE72" i="1"/>
  <c r="BU72" i="1" s="1"/>
  <c r="BX72" i="1" s="1"/>
  <c r="BT35" i="1"/>
  <c r="BW59" i="1"/>
  <c r="BM33" i="1"/>
  <c r="BS33" i="1"/>
  <c r="BH70" i="1"/>
  <c r="BO70" i="1" s="1"/>
  <c r="BS23" i="1"/>
  <c r="BM23" i="1"/>
  <c r="BM64" i="1"/>
  <c r="BS64" i="1"/>
  <c r="AR45" i="1"/>
  <c r="BD45" i="1"/>
  <c r="BG45" i="1"/>
  <c r="BH45" i="1" s="1"/>
  <c r="BO45" i="1" s="1"/>
  <c r="BQ45" i="1" s="1"/>
  <c r="BE45" i="1"/>
  <c r="BU45" i="1"/>
  <c r="BX45" i="1" s="1"/>
  <c r="BC45" i="1"/>
  <c r="BW51" i="1"/>
  <c r="BC47" i="1"/>
  <c r="BM73" i="1"/>
  <c r="BS73" i="1"/>
  <c r="BC44" i="1"/>
  <c r="BT44" i="1"/>
  <c r="BX62" i="1"/>
  <c r="BB47" i="1"/>
  <c r="AS47" i="1"/>
  <c r="BA47" i="1"/>
  <c r="AS43" i="1"/>
  <c r="BB43" i="1"/>
  <c r="BA43" i="1"/>
  <c r="BW45" i="1"/>
  <c r="BE33" i="1"/>
  <c r="BU33" i="1" s="1"/>
  <c r="BX33" i="1" s="1"/>
  <c r="BV48" i="1"/>
  <c r="BY48" i="1" s="1"/>
  <c r="BS63" i="1"/>
  <c r="BM63" i="1"/>
  <c r="BA57" i="1"/>
  <c r="AS57" i="1"/>
  <c r="BB57" i="1"/>
  <c r="BH25" i="1"/>
  <c r="BO25" i="1" s="1"/>
  <c r="BH34" i="1"/>
  <c r="BO34" i="1" s="1"/>
  <c r="BQ34" i="1" s="1"/>
  <c r="BH62" i="1"/>
  <c r="BO62" i="1" s="1"/>
  <c r="BH33" i="1"/>
  <c r="BO33" i="1" s="1"/>
  <c r="BQ33" i="1" s="1"/>
  <c r="BB58" i="1"/>
  <c r="BA58" i="1"/>
  <c r="AS58" i="1"/>
  <c r="AR51" i="1"/>
  <c r="BG51" i="1"/>
  <c r="BH51" i="1" s="1"/>
  <c r="BO51" i="1" s="1"/>
  <c r="BQ51" i="1" s="1"/>
  <c r="BE51" i="1"/>
  <c r="BC51" i="1"/>
  <c r="BU51" i="1"/>
  <c r="BX51" i="1" s="1"/>
  <c r="BD51" i="1"/>
  <c r="AS44" i="1"/>
  <c r="BB44" i="1"/>
  <c r="BA44" i="1"/>
  <c r="BE57" i="1"/>
  <c r="BU57" i="1" s="1"/>
  <c r="BX57" i="1" s="1"/>
  <c r="BT57" i="1"/>
  <c r="BW26" i="1"/>
  <c r="BV26" i="1"/>
  <c r="BY26" i="1" s="1"/>
  <c r="BM67" i="1"/>
  <c r="BS67" i="1"/>
  <c r="BM39" i="1"/>
  <c r="BS39" i="1"/>
  <c r="BW33" i="1"/>
  <c r="BI69" i="1"/>
  <c r="BP69" i="1" s="1"/>
  <c r="BE39" i="1"/>
  <c r="BU39" i="1" s="1"/>
  <c r="BX39" i="1" s="1"/>
  <c r="BB67" i="1"/>
  <c r="BA67" i="1"/>
  <c r="AS67" i="1"/>
  <c r="BV29" i="1"/>
  <c r="BY29" i="1" s="1"/>
  <c r="BW29" i="1"/>
  <c r="BP70" i="1"/>
  <c r="BP44" i="1"/>
  <c r="BB32" i="1"/>
  <c r="BA32" i="1"/>
  <c r="AS32" i="1"/>
  <c r="BK36" i="1"/>
  <c r="BD36" i="1" s="1"/>
  <c r="BB27" i="1"/>
  <c r="AS27" i="1"/>
  <c r="BA27" i="1"/>
  <c r="BT56" i="1"/>
  <c r="BE56" i="1"/>
  <c r="BU56" i="1" s="1"/>
  <c r="BX56" i="1" s="1"/>
  <c r="BB64" i="1"/>
  <c r="BA64" i="1"/>
  <c r="AS64" i="1"/>
  <c r="BI39" i="1"/>
  <c r="BP39" i="1" s="1"/>
  <c r="BM56" i="1"/>
  <c r="BS56" i="1"/>
  <c r="BE35" i="1"/>
  <c r="BU35" i="1" s="1"/>
  <c r="BX35" i="1" s="1"/>
  <c r="BC35" i="1"/>
  <c r="BG35" i="1"/>
  <c r="BD35" i="1"/>
  <c r="AR35" i="1"/>
  <c r="BS25" i="1"/>
  <c r="BM25" i="1"/>
  <c r="BT68" i="1"/>
  <c r="BS24" i="1"/>
  <c r="BM24" i="1"/>
  <c r="BW71" i="1"/>
  <c r="AR38" i="1"/>
  <c r="BG38" i="1"/>
  <c r="BE38" i="1"/>
  <c r="BU38" i="1" s="1"/>
  <c r="BX38" i="1" s="1"/>
  <c r="BC38" i="1"/>
  <c r="BD38" i="1"/>
  <c r="BT31" i="1"/>
  <c r="BT74" i="1"/>
  <c r="BE74" i="1"/>
  <c r="BU74" i="1" s="1"/>
  <c r="BX74" i="1" s="1"/>
  <c r="BT30" i="1"/>
  <c r="BH24" i="1"/>
  <c r="BO24" i="1" s="1"/>
  <c r="BB28" i="1"/>
  <c r="AS28" i="1"/>
  <c r="BA28" i="1"/>
  <c r="BA23" i="1"/>
  <c r="AS23" i="1"/>
  <c r="BB23" i="1"/>
  <c r="BB52" i="1"/>
  <c r="BA52" i="1"/>
  <c r="AS52" i="1"/>
  <c r="BA49" i="1"/>
  <c r="BB49" i="1"/>
  <c r="AS49" i="1"/>
  <c r="BT43" i="1"/>
  <c r="BT40" i="1"/>
  <c r="BW49" i="1"/>
  <c r="BV49" i="1"/>
  <c r="BY49" i="1" s="1"/>
  <c r="BT25" i="1"/>
  <c r="BE23" i="1"/>
  <c r="BU23" i="1" s="1"/>
  <c r="BX23" i="1" s="1"/>
  <c r="BP47" i="1"/>
  <c r="BM48" i="1"/>
  <c r="BS48" i="1"/>
  <c r="BT36" i="1"/>
  <c r="BE42" i="1"/>
  <c r="BU42" i="1" s="1"/>
  <c r="BX42" i="1" s="1"/>
  <c r="BT55" i="1"/>
  <c r="BT69" i="1"/>
  <c r="BN53" i="1"/>
  <c r="BR53" i="1"/>
  <c r="BI53" i="1"/>
  <c r="BC53" i="1"/>
  <c r="BP56" i="1"/>
  <c r="BH23" i="1"/>
  <c r="BO23" i="1" s="1"/>
  <c r="BQ23" i="1" s="1"/>
  <c r="BP37" i="1"/>
  <c r="BE25" i="1"/>
  <c r="BU25" i="1" s="1"/>
  <c r="BX25" i="1" s="1"/>
  <c r="BV34" i="1"/>
  <c r="BY34" i="1" s="1"/>
  <c r="BO48" i="1"/>
  <c r="BQ48" i="1" s="1"/>
  <c r="BB60" i="1"/>
  <c r="AS60" i="1"/>
  <c r="BA60" i="1"/>
  <c r="BC49" i="1"/>
  <c r="BE69" i="1"/>
  <c r="BU69" i="1" s="1"/>
  <c r="BX69" i="1" s="1"/>
  <c r="BG42" i="1"/>
  <c r="BC31" i="1"/>
  <c r="BG31" i="1"/>
  <c r="BD31" i="1"/>
  <c r="BE31" i="1"/>
  <c r="BU31" i="1" s="1"/>
  <c r="BX31" i="1" s="1"/>
  <c r="AR31" i="1"/>
  <c r="BH37" i="1"/>
  <c r="BO37" i="1" s="1"/>
  <c r="BE40" i="1"/>
  <c r="BU40" i="1" s="1"/>
  <c r="BX40" i="1" s="1"/>
  <c r="BI43" i="1"/>
  <c r="BP43" i="1" s="1"/>
  <c r="BM28" i="1" l="1"/>
  <c r="BQ37" i="1"/>
  <c r="BO28" i="1"/>
  <c r="BQ28" i="1" s="1"/>
  <c r="BM32" i="1"/>
  <c r="BV28" i="1"/>
  <c r="BY28" i="1" s="1"/>
  <c r="BS27" i="1"/>
  <c r="BQ72" i="1"/>
  <c r="BM30" i="1"/>
  <c r="BB30" i="1"/>
  <c r="AS30" i="1"/>
  <c r="BQ56" i="1"/>
  <c r="AS61" i="1"/>
  <c r="BA61" i="1"/>
  <c r="BV71" i="1"/>
  <c r="BY71" i="1" s="1"/>
  <c r="BQ24" i="1"/>
  <c r="BQ74" i="1"/>
  <c r="BQ67" i="1"/>
  <c r="BX27" i="1"/>
  <c r="BS58" i="1"/>
  <c r="BQ44" i="1"/>
  <c r="BE53" i="1"/>
  <c r="BU53" i="1" s="1"/>
  <c r="BV53" i="1" s="1"/>
  <c r="BY53" i="1" s="1"/>
  <c r="BQ47" i="1"/>
  <c r="BA42" i="1"/>
  <c r="BW53" i="1"/>
  <c r="BQ25" i="1"/>
  <c r="BH55" i="1"/>
  <c r="BO55" i="1" s="1"/>
  <c r="BQ55" i="1" s="1"/>
  <c r="BM52" i="1"/>
  <c r="BV51" i="1"/>
  <c r="BY51" i="1" s="1"/>
  <c r="BQ40" i="1"/>
  <c r="BM61" i="1"/>
  <c r="BV58" i="1"/>
  <c r="BY58" i="1" s="1"/>
  <c r="BH32" i="1"/>
  <c r="BO32" i="1" s="1"/>
  <c r="BQ32" i="1" s="1"/>
  <c r="D2" i="1"/>
  <c r="E2" i="1" s="1"/>
  <c r="F2" i="1" s="1"/>
  <c r="I14" i="1"/>
  <c r="BH39" i="1"/>
  <c r="BO39" i="1" s="1"/>
  <c r="BQ39" i="1" s="1"/>
  <c r="BS26" i="1"/>
  <c r="BV45" i="1"/>
  <c r="BY45" i="1" s="1"/>
  <c r="BB42" i="1"/>
  <c r="BV59" i="1"/>
  <c r="BY59" i="1" s="1"/>
  <c r="BE32" i="1"/>
  <c r="BU32" i="1" s="1"/>
  <c r="BX32" i="1" s="1"/>
  <c r="BQ36" i="1"/>
  <c r="BV61" i="1"/>
  <c r="BY61" i="1" s="1"/>
  <c r="BV27" i="1"/>
  <c r="BY27" i="1" s="1"/>
  <c r="BV33" i="1"/>
  <c r="BY33" i="1" s="1"/>
  <c r="BV67" i="1"/>
  <c r="BY67" i="1" s="1"/>
  <c r="BH43" i="1"/>
  <c r="BO43" i="1" s="1"/>
  <c r="BQ43" i="1" s="1"/>
  <c r="BE52" i="1"/>
  <c r="BU52" i="1" s="1"/>
  <c r="BX52" i="1" s="1"/>
  <c r="BT52" i="1"/>
  <c r="BH52" i="1"/>
  <c r="BO52" i="1" s="1"/>
  <c r="BQ52" i="1" s="1"/>
  <c r="BQ62" i="1"/>
  <c r="BV72" i="1"/>
  <c r="BY72" i="1" s="1"/>
  <c r="BV24" i="1"/>
  <c r="BY24" i="1" s="1"/>
  <c r="BS55" i="1"/>
  <c r="BQ70" i="1"/>
  <c r="BW36" i="1"/>
  <c r="BV36" i="1"/>
  <c r="BY36" i="1" s="1"/>
  <c r="BA31" i="1"/>
  <c r="AS31" i="1"/>
  <c r="BB31" i="1"/>
  <c r="BW32" i="1"/>
  <c r="BB51" i="1"/>
  <c r="BA51" i="1"/>
  <c r="AS51" i="1"/>
  <c r="BW74" i="1"/>
  <c r="BV74" i="1"/>
  <c r="BY74" i="1" s="1"/>
  <c r="BV39" i="1"/>
  <c r="BY39" i="1" s="1"/>
  <c r="BB71" i="1"/>
  <c r="BA71" i="1"/>
  <c r="AS71" i="1"/>
  <c r="BV31" i="1"/>
  <c r="BY31" i="1" s="1"/>
  <c r="BW31" i="1"/>
  <c r="BI54" i="1"/>
  <c r="BP54" i="1" s="1"/>
  <c r="BV42" i="1"/>
  <c r="BY42" i="1" s="1"/>
  <c r="BW30" i="1"/>
  <c r="BV30" i="1"/>
  <c r="BY30" i="1" s="1"/>
  <c r="BS71" i="1"/>
  <c r="BM71" i="1"/>
  <c r="BM47" i="1"/>
  <c r="BS47" i="1"/>
  <c r="BI31" i="1"/>
  <c r="BP31" i="1" s="1"/>
  <c r="BM42" i="1"/>
  <c r="BS42" i="1"/>
  <c r="BS45" i="1"/>
  <c r="BM45" i="1"/>
  <c r="BI71" i="1"/>
  <c r="BP71" i="1" s="1"/>
  <c r="BM53" i="1"/>
  <c r="BS53" i="1"/>
  <c r="BI59" i="1"/>
  <c r="BP59" i="1" s="1"/>
  <c r="BP53" i="1"/>
  <c r="BH53" i="1"/>
  <c r="BO53" i="1" s="1"/>
  <c r="BB59" i="1"/>
  <c r="BA59" i="1"/>
  <c r="AS59" i="1"/>
  <c r="BB35" i="1"/>
  <c r="BA35" i="1"/>
  <c r="AS35" i="1"/>
  <c r="BB45" i="1"/>
  <c r="AS45" i="1"/>
  <c r="BA45" i="1"/>
  <c r="BI68" i="1"/>
  <c r="BP68" i="1" s="1"/>
  <c r="BX66" i="1"/>
  <c r="BV66" i="1"/>
  <c r="BY66" i="1" s="1"/>
  <c r="BV62" i="1"/>
  <c r="BY62" i="1" s="1"/>
  <c r="BW62" i="1"/>
  <c r="BW37" i="1"/>
  <c r="BV37" i="1"/>
  <c r="BY37" i="1" s="1"/>
  <c r="BM38" i="1"/>
  <c r="BS38" i="1"/>
  <c r="BV23" i="1"/>
  <c r="BY23" i="1" s="1"/>
  <c r="BW25" i="1"/>
  <c r="BV25" i="1"/>
  <c r="BY25" i="1" s="1"/>
  <c r="BW68" i="1"/>
  <c r="BV68" i="1"/>
  <c r="BY68" i="1" s="1"/>
  <c r="BV44" i="1"/>
  <c r="BY44" i="1" s="1"/>
  <c r="BW44" i="1"/>
  <c r="BS68" i="1"/>
  <c r="BM68" i="1"/>
  <c r="BI38" i="1"/>
  <c r="BP38" i="1" s="1"/>
  <c r="BV56" i="1"/>
  <c r="BY56" i="1" s="1"/>
  <c r="BW56" i="1"/>
  <c r="BV38" i="1"/>
  <c r="BY38" i="1" s="1"/>
  <c r="BM44" i="1"/>
  <c r="BS44" i="1"/>
  <c r="BV35" i="1"/>
  <c r="BY35" i="1" s="1"/>
  <c r="BW35" i="1"/>
  <c r="BH26" i="1"/>
  <c r="BO26" i="1" s="1"/>
  <c r="BQ26" i="1" s="1"/>
  <c r="BI42" i="1"/>
  <c r="BP42" i="1" s="1"/>
  <c r="BA38" i="1"/>
  <c r="AS38" i="1"/>
  <c r="BB38" i="1"/>
  <c r="BW70" i="1"/>
  <c r="BV70" i="1"/>
  <c r="BY70" i="1" s="1"/>
  <c r="BM59" i="1"/>
  <c r="BS59" i="1"/>
  <c r="BH61" i="1"/>
  <c r="BO61" i="1" s="1"/>
  <c r="BQ61" i="1" s="1"/>
  <c r="BA50" i="1"/>
  <c r="AS50" i="1"/>
  <c r="BB50" i="1"/>
  <c r="BM49" i="1"/>
  <c r="BS49" i="1"/>
  <c r="BW69" i="1"/>
  <c r="BV69" i="1"/>
  <c r="BY69" i="1" s="1"/>
  <c r="BW40" i="1"/>
  <c r="BV40" i="1"/>
  <c r="BY40" i="1" s="1"/>
  <c r="BM50" i="1"/>
  <c r="BS50" i="1"/>
  <c r="BA68" i="1"/>
  <c r="AS68" i="1"/>
  <c r="BB68" i="1"/>
  <c r="BB66" i="1"/>
  <c r="BA66" i="1"/>
  <c r="AS66" i="1"/>
  <c r="BA54" i="1"/>
  <c r="BB54" i="1"/>
  <c r="AS54" i="1"/>
  <c r="BH30" i="1"/>
  <c r="BO30" i="1" s="1"/>
  <c r="BQ30" i="1" s="1"/>
  <c r="BV55" i="1"/>
  <c r="BY55" i="1" s="1"/>
  <c r="BW55" i="1"/>
  <c r="BI35" i="1"/>
  <c r="BP35" i="1" s="1"/>
  <c r="BV54" i="1"/>
  <c r="BY54" i="1" s="1"/>
  <c r="BH60" i="1"/>
  <c r="BO60" i="1" s="1"/>
  <c r="BQ60" i="1" s="1"/>
  <c r="BM66" i="1"/>
  <c r="BS66" i="1"/>
  <c r="BM54" i="1"/>
  <c r="BS54" i="1"/>
  <c r="BI50" i="1"/>
  <c r="BP50" i="1" s="1"/>
  <c r="BS31" i="1"/>
  <c r="BM31" i="1"/>
  <c r="BV43" i="1"/>
  <c r="BY43" i="1" s="1"/>
  <c r="BW43" i="1"/>
  <c r="BM35" i="1"/>
  <c r="BS35" i="1"/>
  <c r="BW57" i="1"/>
  <c r="BV57" i="1"/>
  <c r="BY57" i="1" s="1"/>
  <c r="BM51" i="1"/>
  <c r="BS51" i="1"/>
  <c r="BH69" i="1"/>
  <c r="BO69" i="1" s="1"/>
  <c r="BQ69" i="1" s="1"/>
  <c r="BV50" i="1"/>
  <c r="BY50" i="1" s="1"/>
  <c r="BW60" i="1"/>
  <c r="BV60" i="1"/>
  <c r="BY60" i="1" s="1"/>
  <c r="BQ53" i="1" l="1"/>
  <c r="BX53" i="1"/>
  <c r="BV32" i="1"/>
  <c r="BY32" i="1" s="1"/>
  <c r="BV52" i="1"/>
  <c r="BY52" i="1" s="1"/>
  <c r="BW52" i="1"/>
  <c r="BH54" i="1"/>
  <c r="BO54" i="1" s="1"/>
  <c r="BQ54" i="1" s="1"/>
  <c r="BH50" i="1"/>
  <c r="BO50" i="1" s="1"/>
  <c r="BQ50" i="1" s="1"/>
  <c r="BH68" i="1"/>
  <c r="BO68" i="1" s="1"/>
  <c r="BQ68" i="1" s="1"/>
  <c r="BH71" i="1"/>
  <c r="BO71" i="1" s="1"/>
  <c r="BQ71" i="1" s="1"/>
  <c r="BH59" i="1"/>
  <c r="BO59" i="1" s="1"/>
  <c r="BQ59" i="1" s="1"/>
  <c r="BH42" i="1"/>
  <c r="BO42" i="1" s="1"/>
  <c r="BQ42" i="1" s="1"/>
  <c r="BH35" i="1"/>
  <c r="BO35" i="1" s="1"/>
  <c r="BQ35" i="1" s="1"/>
  <c r="BH38" i="1"/>
  <c r="BO38" i="1" s="1"/>
  <c r="BQ38" i="1" s="1"/>
  <c r="BH31" i="1"/>
  <c r="BO31" i="1" s="1"/>
  <c r="BQ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2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 xml:space="preserve">FROM DCCP 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>From DCCP</t>
        </r>
      </text>
    </comment>
    <comment ref="G22" authorId="0" shapeId="0" xr:uid="{00000000-0006-0000-0000-00000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 added</t>
        </r>
      </text>
    </comment>
    <comment ref="O22" authorId="0" shapeId="0" xr:uid="{00000000-0006-0000-0000-00000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2" authorId="0" shapeId="0" xr:uid="{00000000-0006-0000-0000-00000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2" authorId="0" shapeId="0" xr:uid="{00000000-0006-0000-0000-00001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AQ23" authorId="0" shapeId="0" xr:uid="{00000000-0006-0000-0000-00002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Backup, Tape Rotation &amp; Cross connect</t>
        </r>
      </text>
    </comment>
    <comment ref="AQ25" authorId="0" shapeId="0" xr:uid="{00000000-0006-0000-0000-00002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Q26" authorId="0" shapeId="0" xr:uid="{00000000-0006-0000-0000-00002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T27" authorId="0" shapeId="0" xr:uid="{00000000-0006-0000-0000-00003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8" authorId="0" shapeId="0" xr:uid="{00000000-0006-0000-0000-000033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9" authorId="0" shapeId="0" xr:uid="{00000000-0006-0000-0000-00003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Q30" authorId="0" shapeId="0" xr:uid="{00000000-0006-0000-0000-00002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Smart Pair of Hands</t>
        </r>
      </text>
    </comment>
    <comment ref="AQ31" authorId="0" shapeId="0" xr:uid="{00000000-0006-0000-0000-00002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SPH, Tape Rotation</t>
        </r>
      </text>
    </comment>
    <comment ref="Y35" authorId="0" shapeId="0" xr:uid="{00000000-0006-0000-0000-00000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5" authorId="0" shapeId="0" xr:uid="{00000000-0006-0000-0000-00002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Y36" authorId="0" shapeId="0" xr:uid="{00000000-0006-0000-0000-00000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6" authorId="0" shapeId="0" xr:uid="{00000000-0006-0000-0000-00002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37" authorId="0" shapeId="0" xr:uid="{00000000-0006-0000-00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FoC for first year</t>
        </r>
      </text>
    </comment>
    <comment ref="Y37" authorId="0" shapeId="0" xr:uid="{00000000-0006-0000-0000-00000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7" authorId="0" shapeId="0" xr:uid="{00000000-0006-0000-0000-00002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K38" authorId="0" shapeId="0" xr:uid="{00000000-0006-0000-0000-00000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1st Rack FOC for 1st year</t>
        </r>
      </text>
    </comment>
    <comment ref="Y38" authorId="0" shapeId="0" xr:uid="{00000000-0006-0000-0000-00000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8" authorId="0" shapeId="0" xr:uid="{00000000-0006-0000-0000-00002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39" authorId="0" shapeId="0" xr:uid="{00000000-0006-0000-0000-000029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40" authorId="0" shapeId="0" xr:uid="{00000000-0006-0000-0000-00002A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41" authorId="0" shapeId="0" xr:uid="{00000000-0006-0000-0000-00000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First one year free. From second year onwards 8750 if not used</t>
        </r>
      </text>
    </comment>
    <comment ref="H42" authorId="0" shapeId="0" xr:uid="{00000000-0006-0000-0000-000005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Half Rack space as per PO</t>
        </r>
      </text>
    </comment>
    <comment ref="Y42" authorId="0" shapeId="0" xr:uid="{00000000-0006-0000-0000-00000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Rate only for 6 months as per PO</t>
        </r>
      </text>
    </comment>
    <comment ref="Y44" authorId="0" shapeId="0" xr:uid="{00000000-0006-0000-0000-00001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4" authorId="0" shapeId="0" xr:uid="{00000000-0006-0000-0000-00001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5" authorId="0" shapeId="0" xr:uid="{00000000-0006-0000-0000-00001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5" authorId="0" shapeId="0" xr:uid="{00000000-0006-0000-0000-00001B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7" authorId="0" shapeId="0" xr:uid="{00000000-0006-0000-0000-00001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7" authorId="0" shapeId="0" xr:uid="{00000000-0006-0000-0000-00001C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8" authorId="0" shapeId="0" xr:uid="{00000000-0006-0000-0000-00001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8" authorId="0" shapeId="0" xr:uid="{00000000-0006-0000-0000-00001D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9" authorId="0" shapeId="0" xr:uid="{00000000-0006-0000-0000-00001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9" authorId="0" shapeId="0" xr:uid="{00000000-0006-0000-0000-00001E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1" authorId="0" shapeId="0" xr:uid="{00000000-0006-0000-0000-00001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51" authorId="0" shapeId="0" xr:uid="{00000000-0006-0000-0000-00001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2" authorId="0" shapeId="0" xr:uid="{00000000-0006-0000-0000-00001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52" authorId="0" shapeId="0" xr:uid="{00000000-0006-0000-0000-00002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B53" authorId="0" shapeId="0" xr:uid="{00000000-0006-0000-0000-000001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No Additional Power capacity charges. Ensure Capacity usage within limit</t>
        </r>
      </text>
    </comment>
    <comment ref="Y53" authorId="0" shapeId="0" xr:uid="{00000000-0006-0000-0000-00001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Y55" authorId="0" shapeId="0" xr:uid="{00000000-0006-0000-0000-00001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61" authorId="0" shapeId="0" xr:uid="{00000000-0006-0000-0000-00002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67" authorId="0" shapeId="0" xr:uid="{00000000-0006-0000-0000-00002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8" authorId="0" shapeId="0" xr:uid="{00000000-0006-0000-0000-00002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9" authorId="0" shapeId="0" xr:uid="{00000000-0006-0000-0000-00002F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0" authorId="0" shapeId="0" xr:uid="{00000000-0006-0000-0000-00003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6" authorId="0" shapeId="0" xr:uid="{00000000-0006-0000-0000-00003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Arial"/>
            <family val="2"/>
            <charset val="1"/>
          </rPr>
          <t>AWS Cross connect &amp; CAT-6 ross connect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9" authorId="0" shapeId="0" xr:uid="{00000000-0006-0000-0100-00000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9" authorId="0" shapeId="0" xr:uid="{00000000-0006-0000-0100-000006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9" authorId="0" shapeId="0" xr:uid="{00000000-0006-0000-01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Q34" authorId="0" shapeId="0" xr:uid="{00000000-0006-0000-0100-000003000000}">
      <text>
        <r>
          <rPr>
            <sz val="10"/>
            <rFont val="Arial"/>
            <family val="2"/>
          </rPr>
          <t xml:space="preserve">
T2 L4 :- 1600 Kw
T2 L3:- 120 Kw
</t>
        </r>
      </text>
    </comment>
    <comment ref="Q35" authorId="0" shapeId="0" xr:uid="{00000000-0006-0000-0100-000004000000}">
      <text>
        <r>
          <rPr>
            <sz val="10"/>
            <rFont val="Arial"/>
            <family val="2"/>
          </rPr>
          <t xml:space="preserve">
T2 L5 :- 1600 Kw
T2 L3:- 80 Kw</t>
        </r>
      </text>
    </comment>
    <comment ref="Q36" authorId="0" shapeId="0" xr:uid="{00000000-0006-0000-0100-000005000000}">
      <text>
        <r>
          <rPr>
            <sz val="10"/>
            <rFont val="Arial"/>
            <family val="2"/>
          </rPr>
          <t xml:space="preserve">
T2 L6 :- 1600 Kw
T2 L3:- 200 Kw</t>
        </r>
      </text>
    </comment>
  </commentList>
</comments>
</file>

<file path=xl/sharedStrings.xml><?xml version="1.0" encoding="utf-8"?>
<sst xmlns="http://schemas.openxmlformats.org/spreadsheetml/2006/main" count="907" uniqueCount="255">
  <si>
    <t>Power Usage (All in KW)</t>
  </si>
  <si>
    <t>Maximum Usable Capacity</t>
  </si>
  <si>
    <t>Current utilization</t>
  </si>
  <si>
    <t>Committed (Based on Confirmed orders)</t>
  </si>
  <si>
    <t>Total</t>
  </si>
  <si>
    <t>Balance</t>
  </si>
  <si>
    <t>Target Revenue Thresholds</t>
  </si>
  <si>
    <t>Target Power Revenue Margin (Bundled)</t>
  </si>
  <si>
    <t>Target Power Revenue Margin (Metered)</t>
  </si>
  <si>
    <t>Raw Power (Genset &amp; Transformer &amp; Demand) - KW</t>
  </si>
  <si>
    <t>Product DOA</t>
  </si>
  <si>
    <t>UPS Capacity (IDC Output of UPS) L2+L1+L6+T2 L7</t>
  </si>
  <si>
    <t>From</t>
  </si>
  <si>
    <t>To</t>
  </si>
  <si>
    <t>UPS Capacity (IDC Output of UPS) L4</t>
  </si>
  <si>
    <t>Far Above</t>
  </si>
  <si>
    <t>Above</t>
  </si>
  <si>
    <t>UPS Capacity (IDC Output of UPS) L5</t>
  </si>
  <si>
    <t>Total Load</t>
  </si>
  <si>
    <t>UPS Capacity (IDC Output of UPS) L3</t>
  </si>
  <si>
    <t>Within</t>
  </si>
  <si>
    <t>Total Cosumed for subscribed customers</t>
  </si>
  <si>
    <t>Other loads (Aircon/Losses/OALAN)</t>
  </si>
  <si>
    <t>Far Below</t>
  </si>
  <si>
    <t>Total rated power provisioned for rated customers</t>
  </si>
  <si>
    <t>Space at L2-POD-A in Sq. Ft</t>
  </si>
  <si>
    <t>Rated to Subscribed ratio</t>
  </si>
  <si>
    <t>Space at L2-POD-B in Sq. Ft</t>
  </si>
  <si>
    <t>Space at L1 Server Hall in Sq. Ft</t>
  </si>
  <si>
    <t>Space at L6 Server Hall in Sq. Ft</t>
  </si>
  <si>
    <t xml:space="preserve"> </t>
  </si>
  <si>
    <t>Space at L4 Server Hall in Sq. Ft</t>
  </si>
  <si>
    <t>Space at L5 Server Hall in Sq. Ft</t>
  </si>
  <si>
    <t>Space at L3 Server Hall in Sq. Ft</t>
  </si>
  <si>
    <t>Shared Racks in L2-POD-A Nos</t>
  </si>
  <si>
    <t>Shared Racks in L2-POD-B Nos</t>
  </si>
  <si>
    <t>Shared Racks in L1-POD-Nos</t>
  </si>
  <si>
    <t>Shared Racks in L6-POD-Nos</t>
  </si>
  <si>
    <t xml:space="preserve">Divisification </t>
  </si>
  <si>
    <t>Rated to Consumed</t>
  </si>
  <si>
    <t>Actual PUE</t>
  </si>
  <si>
    <t>Actual Unit Rate:</t>
  </si>
  <si>
    <t>Genset Hr/Mo</t>
  </si>
  <si>
    <t>Billing Model</t>
  </si>
  <si>
    <t>Space</t>
  </si>
  <si>
    <t>Power Capacity</t>
  </si>
  <si>
    <t>Power Usage</t>
  </si>
  <si>
    <t>Seating Space</t>
  </si>
  <si>
    <t>Revenue (Monthly )</t>
  </si>
  <si>
    <t>Contract Information</t>
  </si>
  <si>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</si>
  <si>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</si>
  <si>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</si>
  <si>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</si>
  <si>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</si>
  <si>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</si>
  <si>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</si>
  <si>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</t>
  </si>
  <si>
    <t>In Use</t>
  </si>
  <si>
    <t>Yet to be given/</t>
  </si>
  <si>
    <t>Billed</t>
  </si>
  <si>
    <t>Reserved Capacity if any (Non-Billable)</t>
  </si>
  <si>
    <t>Per Unit rate (MRC)</t>
  </si>
  <si>
    <t>ARC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</si>
  <si>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</si>
  <si>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</si>
  <si>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</si>
  <si>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</si>
  <si>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</si>
  <si>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</si>
  <si>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"Allocated" Capacity in KW</t>
  </si>
  <si>
    <t>Usage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</si>
  <si>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</si>
  <si>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</si>
  <si>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</si>
  <si>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</si>
  <si>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</si>
  <si>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</si>
  <si>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</si>
  <si>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Yet to be given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</si>
  <si>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</si>
  <si>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</si>
  <si>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</si>
  <si>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</si>
  <si>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</si>
  <si>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 (MRC)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</si>
  <si>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</si>
  <si>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</si>
  <si>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</si>
  <si>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</si>
  <si>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</si>
  <si>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</si>
  <si>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</si>
  <si>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 xml:space="preserve">Avg revenue /KW /Month </t>
  </si>
  <si>
    <t>Net Revenue / Resvd KW</t>
  </si>
  <si>
    <t>Proj Net Revenue / Resvd KW</t>
  </si>
  <si>
    <t>Sold Net Revenue / Resvd KW</t>
  </si>
  <si>
    <t>Total Rev (Cap + Power)</t>
  </si>
  <si>
    <t>Capacity Revenue</t>
  </si>
  <si>
    <t>Power Revenue</t>
  </si>
  <si>
    <t>Cost of Power @ Act Usage</t>
  </si>
  <si>
    <t>Proj Cost of Power @ Reserv Cap</t>
  </si>
  <si>
    <t>Cost of Power @ Design Use</t>
  </si>
  <si>
    <t>Net Rev Total</t>
  </si>
  <si>
    <t>Target Capacity Revenue</t>
  </si>
  <si>
    <t>Capacity Surplus/Leakage</t>
  </si>
  <si>
    <t>Power Surplus/Leakage</t>
  </si>
  <si>
    <t>Contribution to Target</t>
  </si>
  <si>
    <t>KW</t>
  </si>
  <si>
    <t>Total Surplus/Leakage</t>
  </si>
  <si>
    <t>Power Surplus/Leakage / KW</t>
  </si>
  <si>
    <t>Capacity Surplus/Leakage / KW</t>
  </si>
  <si>
    <t>Total Surplus/Leakage / KW</t>
  </si>
  <si>
    <t>L2/POD B</t>
  </si>
  <si>
    <t>BASSEIN CATHOLIC CO.OP.BANK LTD</t>
  </si>
  <si>
    <t>Subscribed</t>
  </si>
  <si>
    <t>Bundled</t>
  </si>
  <si>
    <t>Rack</t>
  </si>
  <si>
    <t>Uncaged</t>
  </si>
  <si>
    <t>Qtrly Adv</t>
  </si>
  <si>
    <t>721002416, 731002043, 731002377</t>
  </si>
  <si>
    <t>Including Managed services</t>
  </si>
  <si>
    <t>L2/POD A</t>
  </si>
  <si>
    <t>SITA SC INDIAN BRANCH</t>
  </si>
  <si>
    <t>Rated</t>
  </si>
  <si>
    <t>KVA</t>
  </si>
  <si>
    <t>AVENUE E-COMMERCE LTD.</t>
  </si>
  <si>
    <t>721002589, 721003934, 731002187, 711064456</t>
  </si>
  <si>
    <t>PRAMERICA LIFE INSURANCE COMPANY LTD</t>
  </si>
  <si>
    <t>STATE BANK OF INDIA TECH OPERATIONS</t>
  </si>
  <si>
    <t>Metered</t>
  </si>
  <si>
    <t>Caged</t>
  </si>
  <si>
    <t>Variable</t>
  </si>
  <si>
    <t>No of Seats</t>
  </si>
  <si>
    <t>Qtry Ars</t>
  </si>
  <si>
    <t>721001751, 721003449, 721003450, 721003451, 721004566</t>
  </si>
  <si>
    <t>L1/POD</t>
  </si>
  <si>
    <t>721003444, 721003889</t>
  </si>
  <si>
    <t>L6/POD</t>
  </si>
  <si>
    <t>THE SARASWAT CO-OP BANK LTD</t>
  </si>
  <si>
    <t>721002684, 721003151</t>
  </si>
  <si>
    <t>Citizen Credit CO-OP Bank Ltd.</t>
  </si>
  <si>
    <t>721006178, 711136454, 731004513</t>
  </si>
  <si>
    <t>Sify CLOUD</t>
  </si>
  <si>
    <t>UPL Ltd</t>
  </si>
  <si>
    <t>Fixed</t>
  </si>
  <si>
    <t>Renewal with consumed Power</t>
  </si>
  <si>
    <t>Gr MMR-A</t>
  </si>
  <si>
    <t>Vodafone</t>
  </si>
  <si>
    <t>721002789, 721004360</t>
  </si>
  <si>
    <t>Both the orders needs to be clubbed during renewal</t>
  </si>
  <si>
    <t>T-2 Gr MMR-A</t>
  </si>
  <si>
    <t>121000391, 121000000</t>
  </si>
  <si>
    <t>Bharti Airtel</t>
  </si>
  <si>
    <t>FOC for 1 year</t>
  </si>
  <si>
    <t>Tata communication</t>
  </si>
  <si>
    <t>721003291, 721003775</t>
  </si>
  <si>
    <t>1st Rack FOC</t>
  </si>
  <si>
    <t>Gr MMR-B</t>
  </si>
  <si>
    <t>RELIANCE COMMUNICATIONS LTD.</t>
  </si>
  <si>
    <t>PO till 31-Mar-2017</t>
  </si>
  <si>
    <t>RELIANCE JIO INFOCOMM LIMITED</t>
  </si>
  <si>
    <t>HOME CREDIT INDIA FINANCE PVT.LTD</t>
  </si>
  <si>
    <t>NU Vista (Emami Cement Ltd)</t>
  </si>
  <si>
    <t>U space</t>
  </si>
  <si>
    <t>Greenply Industries Ltd</t>
  </si>
  <si>
    <t>121000268, 121000174</t>
  </si>
  <si>
    <t>One97 Communication (Paytm)</t>
  </si>
  <si>
    <t>Monthly Ars</t>
  </si>
  <si>
    <t>721003052, 721003964, 721004223</t>
  </si>
  <si>
    <t>Order for 40 &amp; and one additional seating</t>
  </si>
  <si>
    <t>PAYTM PAYMENTS BANK LTD</t>
  </si>
  <si>
    <t>Ownership Change</t>
  </si>
  <si>
    <t>SPH for FOC</t>
  </si>
  <si>
    <t>LUX INDUSTRIES LTD</t>
  </si>
  <si>
    <t>ECOM EXPRESS PVT LTD</t>
  </si>
  <si>
    <t>THE ORIENTAL INSURANCE CO LTD</t>
  </si>
  <si>
    <t>NETSKOPE INC</t>
  </si>
  <si>
    <t>AP MAHESH CO-OP URBAN BANK LIMITED</t>
  </si>
  <si>
    <t>CHINA TELECOM INDIA PVT LTD</t>
  </si>
  <si>
    <t>The Vishweshwar Sahakari Bank Ltd</t>
  </si>
  <si>
    <t>Polestar Consulting</t>
  </si>
  <si>
    <t>STATE BANK OF INDIA- NETWORK DEPARTMENT</t>
  </si>
  <si>
    <t>Racks for BSNL</t>
  </si>
  <si>
    <t>TIMESOFMONEY PVT.LTD. (UNIMONEY)</t>
  </si>
  <si>
    <t>721005069, 731003658, 711107213</t>
  </si>
  <si>
    <t>managed servceis &amp; Bandwidth</t>
  </si>
  <si>
    <t>NAVI Technologies (Earlier DHFL)</t>
  </si>
  <si>
    <t>managed servceis</t>
  </si>
  <si>
    <t>Microscan Infocommtech Pvt Ltd.</t>
  </si>
  <si>
    <t>Monthly Adv</t>
  </si>
  <si>
    <t>EIT SERVICES INDIA PVT (IPPB)</t>
  </si>
  <si>
    <t>-</t>
  </si>
  <si>
    <t>721006515 &amp; 721006516</t>
  </si>
  <si>
    <t>New India Assurance Co. Ltd.</t>
  </si>
  <si>
    <t>TATA SIA AIRLINES LTD</t>
  </si>
  <si>
    <t>IFCI Ltd</t>
  </si>
  <si>
    <t>721006056, 731004420</t>
  </si>
  <si>
    <t>RPH for FOC</t>
  </si>
  <si>
    <t>INFRASOFT TECHNOLOGIES LIMITIED</t>
  </si>
  <si>
    <t>Managed services</t>
  </si>
  <si>
    <t>ADP Private Limited</t>
  </si>
  <si>
    <t>721005373 &amp; 721005414</t>
  </si>
  <si>
    <t>THE TATA POWER COMPANY LIMITED</t>
  </si>
  <si>
    <t>721006087 &amp; 721006631</t>
  </si>
  <si>
    <t xml:space="preserve">L6 POD </t>
  </si>
  <si>
    <t>ZENLAYER INC</t>
  </si>
  <si>
    <t>SBI-General Insurance Company Ltd</t>
  </si>
  <si>
    <t>No of Swats</t>
  </si>
  <si>
    <t>HARMAN INTERNATIONAL INDIA PVT LTD</t>
  </si>
  <si>
    <t>721006066, 721006000</t>
  </si>
  <si>
    <t xml:space="preserve">L1/POD </t>
  </si>
  <si>
    <t>FINVASIA</t>
  </si>
  <si>
    <t>No of Racks</t>
  </si>
  <si>
    <t>MANNAPURAM</t>
  </si>
  <si>
    <t>DECIX</t>
  </si>
  <si>
    <t>Telstra</t>
  </si>
  <si>
    <t>MORE RETAIL LTD</t>
  </si>
  <si>
    <t>EXTREM</t>
  </si>
  <si>
    <t>PHONON</t>
  </si>
  <si>
    <t>NETFLIX</t>
  </si>
  <si>
    <t>E2S</t>
  </si>
  <si>
    <t>RKSV</t>
  </si>
  <si>
    <t>Ishan</t>
  </si>
  <si>
    <t>PSB(PUNJAB &amp; SIND BANK)</t>
  </si>
  <si>
    <t>T1L1 TC Room</t>
  </si>
  <si>
    <t xml:space="preserve">PIONEER ELABS LIMITED </t>
  </si>
  <si>
    <t>NATIONAL STOCK EXCHANGE OF INDIA LIMITED</t>
  </si>
  <si>
    <t>RUPEESEED TECHNOLOGY</t>
  </si>
  <si>
    <t xml:space="preserve">L6/POD </t>
  </si>
  <si>
    <t>UPS Capacity (IDC Output of UPS) L1</t>
  </si>
  <si>
    <t>UPS Capacity (IDC Output of UPS) L2</t>
  </si>
  <si>
    <t>UPS Capacity (IDC Output of UPS) L6</t>
  </si>
  <si>
    <t>UPS Capacity (IDC Output of UPS) L7</t>
  </si>
  <si>
    <t>Space at L2 Server Hall in Sq. Ft</t>
  </si>
  <si>
    <t>Space at L7 Server Hall in Sq. Ft</t>
  </si>
  <si>
    <t>Shared Racks in L2-POD-Nos</t>
  </si>
  <si>
    <t>Shared Racks in L3-POD-Nos</t>
  </si>
  <si>
    <t>Shared Racks in L4-POD-Nos</t>
  </si>
  <si>
    <t>Shared Racks in L5-POD-Nos</t>
  </si>
  <si>
    <t>Shared Racks in L7-POD-Nos</t>
  </si>
  <si>
    <t>T2 L1</t>
  </si>
  <si>
    <t>Bom 01</t>
  </si>
  <si>
    <t>T2 L2</t>
  </si>
  <si>
    <t>T2 L3</t>
  </si>
  <si>
    <t>SBI</t>
  </si>
  <si>
    <t>L3 HDFC</t>
  </si>
  <si>
    <t>T2 L4</t>
  </si>
  <si>
    <t>Bom 52</t>
  </si>
  <si>
    <t>T2 L5</t>
  </si>
  <si>
    <t>T2 L6</t>
  </si>
  <si>
    <t xml:space="preserve">T2 L7 </t>
  </si>
  <si>
    <t>ADYEN</t>
  </si>
  <si>
    <t>FaceBook</t>
  </si>
  <si>
    <t>L7 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</si>
</sst>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 * #,##0_ ;_ * \-#,##0_ ;_ * &quot;-&quot;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\-??_);_(@_)"/>
    <numFmt numFmtId="167" formatCode="0.00_);[Red]\(0.00\)"/>
    <numFmt numFmtId="168" formatCode="_(* #,##0_);_(* \(#,##0\);_(* \-??_);_(@_)"/>
    <numFmt numFmtId="169" formatCode="_ * #,##0.00_ ;_ * \-#,##0.00_ ;_ * \-??_ ;_ @_ "/>
    <numFmt numFmtId="170" formatCode="_ [$₹-4009]\ * #,##0.00_ ;_ [$₹-4009]\ * \-#,##0.00_ ;_ [$₹-4009]\ * \-??_ ;_ @_ "/>
    <numFmt numFmtId="171" formatCode="0_);[Red]\(0\)"/>
    <numFmt numFmtId="172" formatCode="_ [$₹-4009]\ * #,##0_ ;_ [$₹-4009]\ * \-#,##0_ ;_ [$₹-4009]\ * \-??_ ;_ @_ "/>
    <numFmt numFmtId="173" formatCode="[$-409]0.00"/>
    <numFmt numFmtId="174" formatCode="mm/yy"/>
    <numFmt numFmtId="175" formatCode="[$-409]0"/>
    <numFmt numFmtId="176" formatCode="[$₹-4009]\ #,##0\ ;[$₹-4009]&quot; -&quot;#,##0\ ;[$₹-4009]&quot; -&quot;#\ ;@\ "/>
    <numFmt numFmtId="177" formatCode="#,##0.00\ ;&quot; (&quot;#,##0.00\);&quot; -&quot;#\ ;@\ "/>
    <numFmt numFmtId="178" formatCode="[$₹-4009]\ #,##0.00\ ;[$₹-4009]&quot; -&quot;#,##0.00\ ;[$₹-4009]&quot; -&quot;#\ ;@\ "/>
    <numFmt numFmtId="179" formatCode="#,##0\ ;&quot; (&quot;#,##0\);&quot; -&quot;#\ ;@\ "/>
    <numFmt numFmtId="180" formatCode="[$-409]General"/>
    <numFmt numFmtId="181" formatCode="[$-409]mmm\-yy"/>
    <numFmt numFmtId="182" formatCode="_ * #,##0_ ;_ * \-#,##0_ ;_ * \-??_ ;_ @_ "/>
    <numFmt numFmtId="183" formatCode="_(* #,##0_);_(* \(#,##0\);_(* &quot;-&quot;??_);_(@_)"/>
    <numFmt numFmtId="184" formatCode="0.0"/>
  </numFmts>
  <fonts count="83" x14ac:knownFonts="1"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FFFFFF"/>
      <name val="Calibri"/>
      <family val="2"/>
      <charset val="1"/>
    </font>
    <font>
      <sz val="10"/>
      <color rgb="FF800080"/>
      <name val="Calibri"/>
      <family val="2"/>
      <charset val="1"/>
    </font>
    <font>
      <b/>
      <sz val="10"/>
      <color rgb="FFFF99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color rgb="FFFF9900"/>
      <name val="Calibri"/>
      <family val="2"/>
      <charset val="1"/>
    </font>
    <font>
      <sz val="10"/>
      <color rgb="FF9933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color rgb="FF333333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Trebuchet MS"/>
      <family val="2"/>
      <charset val="1"/>
    </font>
    <font>
      <sz val="8"/>
      <name val="Calibri"/>
      <family val="2"/>
      <charset val="1"/>
    </font>
    <font>
      <sz val="8"/>
      <name val="Trebuchet MS"/>
      <family val="2"/>
      <charset val="1"/>
    </font>
    <font>
      <b/>
      <sz val="8"/>
      <name val="Trebuchet MS"/>
      <family val="2"/>
      <charset val="1"/>
    </font>
    <font>
      <b/>
      <sz val="8"/>
      <color theme="1" tint="4.9897762993255407E-2"/>
      <name val="Trebuchet MS"/>
      <family val="2"/>
      <charset val="1"/>
    </font>
    <font>
      <sz val="10"/>
      <name val="Calibri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Trebuchet MS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Trebuchet MS"/>
      <family val="2"/>
    </font>
    <font>
      <b/>
      <sz val="8"/>
      <color theme="1" tint="4.9989318521683403E-2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theme="0"/>
      <name val="Calibri"/>
      <family val="2"/>
    </font>
    <font>
      <u/>
      <sz val="11"/>
      <color rgb="FF800080"/>
      <name val="Calibri"/>
      <family val="2"/>
    </font>
    <font>
      <b/>
      <sz val="11"/>
      <color theme="0"/>
      <name val="Calibri"/>
      <family val="2"/>
    </font>
    <font>
      <b/>
      <sz val="13"/>
      <color theme="3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mbria"/>
      <family val="1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0"/>
      <color indexed="10"/>
      <name val="Arial"/>
      <family val="2"/>
    </font>
    <font>
      <u/>
      <sz val="10"/>
      <color indexed="36"/>
      <name val="Arial"/>
      <family val="2"/>
    </font>
    <font>
      <sz val="11"/>
      <color indexed="17"/>
      <name val="Calibri"/>
      <family val="2"/>
    </font>
    <font>
      <u/>
      <sz val="10"/>
      <color indexed="12"/>
      <name val="Arial"/>
      <family val="2"/>
    </font>
    <font>
      <b/>
      <i/>
      <u val="double"/>
      <sz val="10"/>
      <color indexed="60"/>
      <name val="Arial"/>
      <family val="2"/>
    </font>
    <font>
      <sz val="11"/>
      <color indexed="20"/>
      <name val="Calibri"/>
      <family val="2"/>
    </font>
    <font>
      <b/>
      <sz val="24"/>
      <color indexed="10"/>
      <name val="Symbol"/>
      <family val="1"/>
      <charset val="2"/>
    </font>
    <font>
      <b/>
      <sz val="18"/>
      <color indexed="62"/>
      <name val="Cambria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45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  <scheme val="minor"/>
    </font>
  </fonts>
  <fills count="125">
    <fill>
      <patternFill patternType="none"/>
    </fill>
    <fill>
      <patternFill patternType="gray125"/>
    </fill>
    <fill>
      <patternFill patternType="solid">
        <fgColor rgb="FFCCCCFF"/>
        <bgColor rgb="FFCCC1DA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93CDDD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00"/>
      </patternFill>
    </fill>
    <fill>
      <patternFill patternType="solid">
        <fgColor rgb="FF33CCCC"/>
        <bgColor rgb="FF558ED5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77933C"/>
      </patternFill>
    </fill>
    <fill>
      <patternFill patternType="solid">
        <fgColor rgb="FFFF6600"/>
        <bgColor rgb="FFE46C0A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DEADA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rgb="FFFDEADA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rgb="FF92D050"/>
        <bgColor rgb="FFC3D69B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FFFF00"/>
        <bgColor rgb="FFFFCC00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8" tint="0.39988402966399123"/>
        <bgColor rgb="FF99CCFF"/>
      </patternFill>
    </fill>
    <fill>
      <patternFill patternType="solid">
        <fgColor theme="7" tint="0.59987182226020086"/>
        <bgColor rgb="FFC0C0C0"/>
      </patternFill>
    </fill>
    <fill>
      <patternFill patternType="solid">
        <fgColor theme="6" tint="-0.249977111117893"/>
        <bgColor rgb="FF669900"/>
      </patternFill>
    </fill>
    <fill>
      <patternFill patternType="solid">
        <fgColor theme="3" tint="0.39988402966399123"/>
        <bgColor rgb="FF808080"/>
      </patternFill>
    </fill>
    <fill>
      <patternFill patternType="solid">
        <fgColor rgb="FF0070C0"/>
        <bgColor rgb="FF0066CC"/>
      </patternFill>
    </fill>
    <fill>
      <patternFill patternType="solid">
        <fgColor theme="9" tint="0.79989013336588644"/>
        <bgColor rgb="FFEEECE1"/>
      </patternFill>
    </fill>
    <fill>
      <patternFill patternType="solid">
        <fgColor rgb="FF669900"/>
        <bgColor rgb="FF77933C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rgb="FF0066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0066FF"/>
      </patternFill>
    </fill>
    <fill>
      <patternFill patternType="solid">
        <fgColor rgb="FFFF0000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rgb="FF0066FF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884029663991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10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382">
    <xf numFmtId="0" fontId="0" fillId="0" borderId="0"/>
    <xf numFmtId="166" fontId="34" fillId="0" borderId="0" applyBorder="0" applyProtection="0"/>
    <xf numFmtId="9" fontId="34" fillId="0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5" fillId="21" borderId="2" applyProtection="0"/>
    <xf numFmtId="0" fontId="5" fillId="21" borderId="2" applyProtection="0"/>
    <xf numFmtId="0" fontId="5" fillId="21" borderId="2" applyProtection="0"/>
    <xf numFmtId="0" fontId="5" fillId="21" borderId="2" applyProtection="0"/>
    <xf numFmtId="166" fontId="34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34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7" fillId="0" borderId="0"/>
    <xf numFmtId="0" fontId="16" fillId="0" borderId="0"/>
    <xf numFmtId="0" fontId="16" fillId="0" borderId="0"/>
    <xf numFmtId="0" fontId="34" fillId="0" borderId="0"/>
    <xf numFmtId="0" fontId="16" fillId="0" borderId="0"/>
    <xf numFmtId="0" fontId="16" fillId="0" borderId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9" fontId="34" fillId="0" borderId="0" applyBorder="0" applyProtection="0"/>
    <xf numFmtId="0" fontId="34" fillId="0" borderId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7" fontId="29" fillId="0" borderId="0"/>
    <xf numFmtId="180" fontId="34" fillId="0" borderId="0"/>
    <xf numFmtId="0" fontId="42" fillId="0" borderId="0"/>
    <xf numFmtId="0" fontId="42" fillId="50" borderId="0" applyNumberFormat="0" applyBorder="0" applyAlignment="0" applyProtection="0"/>
    <xf numFmtId="4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64" fontId="42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51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6" fillId="52" borderId="31" applyNumberFormat="0" applyAlignment="0" applyProtection="0"/>
    <xf numFmtId="0" fontId="47" fillId="0" borderId="27" applyNumberFormat="0" applyFill="0" applyAlignment="0" applyProtection="0"/>
    <xf numFmtId="0" fontId="42" fillId="53" borderId="32" applyNumberFormat="0" applyFont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48" fillId="0" borderId="0" applyNumberFormat="0" applyFill="0" applyBorder="0" applyAlignment="0" applyProtection="0"/>
    <xf numFmtId="0" fontId="42" fillId="56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6" applyNumberFormat="0" applyFill="0" applyAlignment="0" applyProtection="0"/>
    <xf numFmtId="0" fontId="52" fillId="0" borderId="34" applyNumberFormat="0" applyFill="0" applyAlignment="0" applyProtection="0"/>
    <xf numFmtId="0" fontId="42" fillId="57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2" fillId="0" borderId="35" applyNumberFormat="0" applyFill="0" applyAlignment="0" applyProtection="0"/>
    <xf numFmtId="0" fontId="42" fillId="59" borderId="0" applyNumberFormat="0" applyBorder="0" applyAlignment="0" applyProtection="0"/>
    <xf numFmtId="0" fontId="44" fillId="60" borderId="0" applyNumberFormat="0" applyBorder="0" applyAlignment="0" applyProtection="0"/>
    <xf numFmtId="0" fontId="54" fillId="61" borderId="0" applyNumberFormat="0" applyBorder="0" applyAlignment="0" applyProtection="0"/>
    <xf numFmtId="0" fontId="55" fillId="62" borderId="29" applyNumberFormat="0" applyAlignment="0" applyProtection="0"/>
    <xf numFmtId="0" fontId="42" fillId="63" borderId="0" applyNumberFormat="0" applyBorder="0" applyAlignment="0" applyProtection="0"/>
    <xf numFmtId="0" fontId="56" fillId="62" borderId="28" applyNumberFormat="0" applyAlignment="0" applyProtection="0"/>
    <xf numFmtId="0" fontId="42" fillId="64" borderId="0" applyNumberFormat="0" applyBorder="0" applyAlignment="0" applyProtection="0"/>
    <xf numFmtId="0" fontId="57" fillId="0" borderId="30" applyNumberFormat="0" applyFill="0" applyAlignment="0" applyProtection="0"/>
    <xf numFmtId="0" fontId="58" fillId="0" borderId="33" applyNumberFormat="0" applyFill="0" applyAlignment="0" applyProtection="0"/>
    <xf numFmtId="0" fontId="44" fillId="65" borderId="0" applyNumberFormat="0" applyBorder="0" applyAlignment="0" applyProtection="0"/>
    <xf numFmtId="0" fontId="59" fillId="66" borderId="0" applyNumberFormat="0" applyBorder="0" applyAlignment="0" applyProtection="0"/>
    <xf numFmtId="0" fontId="60" fillId="67" borderId="0" applyNumberFormat="0" applyBorder="0" applyAlignment="0" applyProtection="0"/>
    <xf numFmtId="0" fontId="44" fillId="68" borderId="0" applyNumberFormat="0" applyBorder="0" applyAlignment="0" applyProtection="0"/>
    <xf numFmtId="0" fontId="42" fillId="69" borderId="0" applyNumberFormat="0" applyBorder="0" applyAlignment="0" applyProtection="0"/>
    <xf numFmtId="0" fontId="44" fillId="70" borderId="0" applyNumberFormat="0" applyBorder="0" applyAlignment="0" applyProtection="0"/>
    <xf numFmtId="0" fontId="44" fillId="71" borderId="0" applyNumberFormat="0" applyBorder="0" applyAlignment="0" applyProtection="0"/>
    <xf numFmtId="0" fontId="42" fillId="72" borderId="0" applyNumberFormat="0" applyBorder="0" applyAlignment="0" applyProtection="0"/>
    <xf numFmtId="0" fontId="42" fillId="56" borderId="0" applyNumberFormat="0" applyBorder="0" applyAlignment="0" applyProtection="0"/>
    <xf numFmtId="0" fontId="42" fillId="73" borderId="0" applyNumberFormat="0" applyBorder="0" applyAlignment="0" applyProtection="0"/>
    <xf numFmtId="0" fontId="49" fillId="0" borderId="0" applyNumberFormat="0" applyFill="0" applyBorder="0" applyAlignment="0" applyProtection="0"/>
    <xf numFmtId="0" fontId="44" fillId="74" borderId="0" applyNumberFormat="0" applyBorder="0" applyAlignment="0" applyProtection="0"/>
    <xf numFmtId="0" fontId="44" fillId="75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4" fillId="78" borderId="0" applyNumberFormat="0" applyBorder="0" applyAlignment="0" applyProtection="0"/>
    <xf numFmtId="0" fontId="42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4" fillId="82" borderId="0" applyNumberFormat="0" applyBorder="0" applyAlignment="0" applyProtection="0"/>
    <xf numFmtId="0" fontId="42" fillId="83" borderId="0" applyNumberFormat="0" applyBorder="0" applyAlignment="0" applyProtection="0"/>
    <xf numFmtId="0" fontId="44" fillId="84" borderId="0" applyNumberFormat="0" applyBorder="0" applyAlignment="0" applyProtection="0"/>
    <xf numFmtId="0" fontId="44" fillId="78" borderId="0" applyNumberFormat="0" applyBorder="0" applyAlignment="0" applyProtection="0"/>
    <xf numFmtId="0" fontId="44" fillId="85" borderId="0" applyNumberFormat="0" applyBorder="0" applyAlignment="0" applyProtection="0"/>
    <xf numFmtId="0" fontId="42" fillId="86" borderId="0" applyNumberFormat="0" applyBorder="0" applyAlignment="0" applyProtection="0"/>
    <xf numFmtId="0" fontId="44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2" borderId="0" applyNumberFormat="0" applyBorder="0" applyAlignment="0" applyProtection="0"/>
    <xf numFmtId="0" fontId="42" fillId="93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86" borderId="0" applyNumberFormat="0" applyBorder="0" applyAlignment="0" applyProtection="0"/>
    <xf numFmtId="0" fontId="44" fillId="94" borderId="0" applyNumberFormat="0" applyBorder="0" applyAlignment="0" applyProtection="0"/>
    <xf numFmtId="0" fontId="44" fillId="95" borderId="0" applyNumberFormat="0" applyBorder="0" applyAlignment="0" applyProtection="0"/>
    <xf numFmtId="0" fontId="44" fillId="96" borderId="0" applyNumberFormat="0" applyBorder="0" applyAlignment="0" applyProtection="0"/>
    <xf numFmtId="0" fontId="44" fillId="97" borderId="0" applyNumberFormat="0" applyBorder="0" applyAlignment="0" applyProtection="0"/>
    <xf numFmtId="0" fontId="59" fillId="66" borderId="0" applyNumberFormat="0" applyBorder="0" applyAlignment="0" applyProtection="0"/>
    <xf numFmtId="0" fontId="44" fillId="98" borderId="0" applyNumberFormat="0" applyBorder="0" applyAlignment="0" applyProtection="0"/>
    <xf numFmtId="0" fontId="44" fillId="99" borderId="0" applyNumberFormat="0" applyBorder="0" applyAlignment="0" applyProtection="0"/>
    <xf numFmtId="0" fontId="44" fillId="100" borderId="0" applyNumberFormat="0" applyBorder="0" applyAlignment="0" applyProtection="0"/>
    <xf numFmtId="0" fontId="44" fillId="101" borderId="0" applyNumberFormat="0" applyBorder="0" applyAlignment="0" applyProtection="0"/>
    <xf numFmtId="0" fontId="44" fillId="102" borderId="0" applyNumberFormat="0" applyBorder="0" applyAlignment="0" applyProtection="0"/>
    <xf numFmtId="0" fontId="44" fillId="103" borderId="0" applyNumberFormat="0" applyBorder="0" applyAlignment="0" applyProtection="0"/>
    <xf numFmtId="0" fontId="44" fillId="104" borderId="0" applyNumberFormat="0" applyBorder="0" applyAlignment="0" applyProtection="0"/>
    <xf numFmtId="0" fontId="44" fillId="68" borderId="0" applyNumberFormat="0" applyBorder="0" applyAlignment="0" applyProtection="0"/>
    <xf numFmtId="0" fontId="44" fillId="71" borderId="0" applyNumberFormat="0" applyBorder="0" applyAlignment="0" applyProtection="0"/>
    <xf numFmtId="0" fontId="44" fillId="75" borderId="0" applyNumberFormat="0" applyBorder="0" applyAlignment="0" applyProtection="0"/>
    <xf numFmtId="0" fontId="44" fillId="82" borderId="0" applyNumberFormat="0" applyBorder="0" applyAlignment="0" applyProtection="0"/>
    <xf numFmtId="0" fontId="44" fillId="85" borderId="0" applyNumberFormat="0" applyBorder="0" applyAlignment="0" applyProtection="0"/>
    <xf numFmtId="0" fontId="56" fillId="62" borderId="28" applyNumberFormat="0" applyAlignment="0" applyProtection="0"/>
    <xf numFmtId="0" fontId="46" fillId="52" borderId="31" applyNumberFormat="0" applyAlignment="0" applyProtection="0"/>
    <xf numFmtId="0" fontId="50" fillId="0" borderId="0" applyNumberFormat="0" applyFill="0" applyBorder="0" applyAlignment="0" applyProtection="0"/>
    <xf numFmtId="0" fontId="54" fillId="61" borderId="0" applyNumberFormat="0" applyBorder="0" applyAlignment="0" applyProtection="0"/>
    <xf numFmtId="0" fontId="51" fillId="0" borderId="26" applyNumberFormat="0" applyFill="0" applyAlignment="0" applyProtection="0"/>
    <xf numFmtId="0" fontId="47" fillId="0" borderId="27" applyNumberFormat="0" applyFill="0" applyAlignment="0" applyProtection="0"/>
    <xf numFmtId="0" fontId="52" fillId="0" borderId="36" applyNumberFormat="0" applyFill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7" fillId="0" borderId="30" applyNumberFormat="0" applyFill="0" applyAlignment="0" applyProtection="0"/>
    <xf numFmtId="0" fontId="60" fillId="67" borderId="0" applyNumberFormat="0" applyBorder="0" applyAlignment="0" applyProtection="0"/>
    <xf numFmtId="0" fontId="42" fillId="0" borderId="0"/>
    <xf numFmtId="0" fontId="42" fillId="53" borderId="32" applyNumberFormat="0" applyFont="0" applyAlignment="0" applyProtection="0"/>
    <xf numFmtId="0" fontId="55" fillId="62" borderId="29" applyNumberFormat="0" applyAlignment="0" applyProtection="0"/>
    <xf numFmtId="0" fontId="58" fillId="0" borderId="33" applyNumberFormat="0" applyFill="0" applyAlignment="0" applyProtection="0"/>
    <xf numFmtId="0" fontId="48" fillId="0" borderId="0" applyNumberFormat="0" applyFill="0" applyBorder="0" applyAlignment="0" applyProtection="0"/>
    <xf numFmtId="4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61" fillId="109" borderId="0" applyNumberFormat="0" applyBorder="0" applyAlignment="0" applyProtection="0"/>
    <xf numFmtId="0" fontId="31" fillId="0" borderId="0"/>
    <xf numFmtId="43" fontId="4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65" fontId="42" fillId="0" borderId="0" applyFont="0" applyFill="0" applyBorder="0" applyAlignment="0" applyProtection="0">
      <alignment vertical="center"/>
    </xf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120" borderId="0"/>
    <xf numFmtId="43" fontId="1" fillId="0" borderId="0" applyFont="0" applyFill="0" applyBorder="0" applyAlignment="0" applyProtection="0"/>
    <xf numFmtId="0" fontId="66" fillId="0" borderId="39" applyNumberFormat="0" applyFill="0" applyAlignment="0" applyProtection="0"/>
    <xf numFmtId="0" fontId="61" fillId="106" borderId="0" applyNumberFormat="0" applyBorder="0" applyAlignment="0" applyProtection="0"/>
    <xf numFmtId="0" fontId="76" fillId="0" borderId="44" applyNumberFormat="0" applyFill="0" applyAlignment="0" applyProtection="0"/>
    <xf numFmtId="0" fontId="31" fillId="120" borderId="0"/>
    <xf numFmtId="165" fontId="42" fillId="0" borderId="0" applyFont="0" applyFill="0" applyBorder="0" applyAlignment="0" applyProtection="0">
      <alignment vertical="center"/>
    </xf>
    <xf numFmtId="0" fontId="61" fillId="107" borderId="0" applyNumberFormat="0" applyBorder="0" applyAlignment="0" applyProtection="0"/>
    <xf numFmtId="0" fontId="61" fillId="110" borderId="0" applyNumberFormat="0" applyBorder="0" applyAlignment="0" applyProtection="0"/>
    <xf numFmtId="0" fontId="62" fillId="117" borderId="0" applyNumberFormat="0" applyBorder="0" applyAlignment="0" applyProtection="0"/>
    <xf numFmtId="0" fontId="62" fillId="109" borderId="0" applyNumberFormat="0" applyBorder="0" applyAlignment="0" applyProtection="0"/>
    <xf numFmtId="0" fontId="68" fillId="0" borderId="40" applyNumberFormat="0" applyFill="0" applyBorder="0" applyAlignment="0" applyProtection="0"/>
    <xf numFmtId="0" fontId="62" fillId="113" borderId="0" applyNumberFormat="0" applyBorder="0" applyAlignment="0" applyProtection="0"/>
    <xf numFmtId="0" fontId="62" fillId="106" borderId="0" applyNumberFormat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1" fillId="112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1" fillId="105" borderId="0" applyNumberFormat="0" applyBorder="0" applyAlignment="0" applyProtection="0"/>
    <xf numFmtId="0" fontId="31" fillId="107" borderId="42" applyNumberFormat="0" applyFont="0" applyAlignment="0" applyProtection="0"/>
    <xf numFmtId="43" fontId="1" fillId="0" borderId="0" applyFont="0" applyFill="0" applyBorder="0" applyAlignment="0" applyProtection="0"/>
    <xf numFmtId="0" fontId="61" fillId="109" borderId="0" applyNumberFormat="0" applyBorder="0" applyAlignment="0" applyProtection="0"/>
    <xf numFmtId="0" fontId="74" fillId="0" borderId="43" applyNumberFormat="0" applyFont="0" applyFill="0" applyAlignment="0" applyProtection="0">
      <alignment horizontal="centerContinuous"/>
    </xf>
    <xf numFmtId="0" fontId="70" fillId="118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2" fillId="110" borderId="0" applyNumberFormat="0" applyBorder="0" applyAlignment="0" applyProtection="0"/>
    <xf numFmtId="0" fontId="64" fillId="105" borderId="38" applyNumberFormat="0" applyAlignment="0" applyProtection="0"/>
    <xf numFmtId="0" fontId="62" fillId="115" borderId="0" applyNumberFormat="0" applyBorder="0" applyAlignment="0" applyProtection="0"/>
    <xf numFmtId="0" fontId="62" fillId="113" borderId="0" applyNumberFormat="0" applyBorder="0" applyAlignment="0" applyProtection="0"/>
    <xf numFmtId="0" fontId="78" fillId="0" borderId="0" applyNumberFormat="0" applyFill="0" applyBorder="0" applyAlignment="0" applyProtection="0"/>
    <xf numFmtId="0" fontId="31" fillId="0" borderId="48" applyNumberFormat="0" applyFont="0" applyFill="0" applyAlignment="0" applyProtection="0"/>
    <xf numFmtId="0" fontId="31" fillId="107" borderId="42" applyNumberFormat="0" applyFont="0" applyAlignment="0" applyProtection="0"/>
    <xf numFmtId="0" fontId="73" fillId="119" borderId="0" applyNumberFormat="0" applyBorder="0" applyAlignment="0" applyProtection="0"/>
    <xf numFmtId="0" fontId="81" fillId="121" borderId="50" applyNumberFormat="0" applyAlignment="0" applyProtection="0"/>
    <xf numFmtId="0" fontId="78" fillId="0" borderId="46" applyNumberFormat="0" applyFill="0" applyAlignment="0" applyProtection="0"/>
    <xf numFmtId="0" fontId="31" fillId="0" borderId="0"/>
    <xf numFmtId="0" fontId="61" fillId="111" borderId="0" applyNumberFormat="0" applyBorder="0" applyAlignment="0" applyProtection="0"/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107" borderId="42" applyNumberFormat="0" applyFont="0" applyAlignment="0" applyProtection="0"/>
    <xf numFmtId="0" fontId="77" fillId="0" borderId="45" applyNumberFormat="0" applyFill="0" applyAlignment="0" applyProtection="0"/>
    <xf numFmtId="2" fontId="31" fillId="0" borderId="47" applyNumberFormat="0" applyFill="0" applyBorder="0" applyAlignment="0" applyProtection="0"/>
    <xf numFmtId="0" fontId="79" fillId="0" borderId="49" applyNumberFormat="0" applyFill="0" applyAlignment="0" applyProtection="0"/>
    <xf numFmtId="0" fontId="39" fillId="0" borderId="0" applyNumberFormat="0" applyBorder="0" applyAlignment="0" applyProtection="0"/>
    <xf numFmtId="0" fontId="31" fillId="0" borderId="0"/>
    <xf numFmtId="2" fontId="31" fillId="0" borderId="47" applyNumberFormat="0" applyFill="0" applyBorder="0" applyAlignment="0" applyProtection="0"/>
    <xf numFmtId="0" fontId="62" fillId="113" borderId="0" applyNumberFormat="0" applyBorder="0" applyAlignment="0" applyProtection="0"/>
    <xf numFmtId="0" fontId="65" fillId="106" borderId="38" applyNumberFormat="0" applyAlignment="0" applyProtection="0"/>
    <xf numFmtId="0" fontId="62" fillId="116" borderId="0" applyNumberFormat="0" applyBorder="0" applyAlignment="0" applyProtection="0"/>
    <xf numFmtId="0" fontId="63" fillId="105" borderId="37" applyNumberFormat="0" applyAlignment="0" applyProtection="0"/>
    <xf numFmtId="0" fontId="61" fillId="108" borderId="0" applyNumberFormat="0" applyBorder="0" applyAlignment="0" applyProtection="0"/>
    <xf numFmtId="0" fontId="61" fillId="105" borderId="0" applyNumberFormat="0" applyBorder="0" applyAlignment="0" applyProtection="0"/>
    <xf numFmtId="43" fontId="1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62" fillId="114" borderId="0" applyNumberFormat="0" applyBorder="0" applyAlignment="0" applyProtection="0"/>
    <xf numFmtId="43" fontId="42" fillId="0" borderId="0" applyFont="0" applyFill="0" applyBorder="0" applyAlignment="0" applyProtection="0">
      <alignment vertical="center"/>
    </xf>
    <xf numFmtId="0" fontId="62" fillId="113" borderId="0" applyNumberFormat="0" applyBorder="0" applyAlignment="0" applyProtection="0"/>
    <xf numFmtId="0" fontId="62" fillId="111" borderId="0" applyNumberFormat="0" applyBorder="0" applyAlignment="0" applyProtection="0"/>
    <xf numFmtId="0" fontId="75" fillId="0" borderId="0" applyNumberFormat="0" applyFill="0" applyBorder="0" applyAlignment="0" applyProtection="0"/>
    <xf numFmtId="0" fontId="72" fillId="0" borderId="41" applyNumberFormat="0" applyFill="0" applyBorder="0" applyAlignment="0" applyProtection="0"/>
    <xf numFmtId="0" fontId="31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42" fillId="0" borderId="0"/>
  </cellStyleXfs>
  <cellXfs count="347">
    <xf numFmtId="0" fontId="0" fillId="0" borderId="0" xfId="0"/>
    <xf numFmtId="0" fontId="26" fillId="31" borderId="10" xfId="195" applyFont="1" applyFill="1" applyBorder="1" applyAlignment="1">
      <alignment horizontal="center" vertical="center"/>
    </xf>
    <xf numFmtId="0" fontId="22" fillId="24" borderId="0" xfId="194" applyFont="1" applyFill="1" applyAlignment="1">
      <alignment vertical="center"/>
    </xf>
    <xf numFmtId="0" fontId="22" fillId="24" borderId="0" xfId="194" applyFont="1" applyFill="1" applyAlignment="1">
      <alignment horizontal="center" vertical="center"/>
    </xf>
    <xf numFmtId="167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horizontal="center" vertical="center"/>
    </xf>
    <xf numFmtId="168" fontId="22" fillId="24" borderId="0" xfId="1" applyNumberFormat="1" applyFont="1" applyFill="1" applyBorder="1" applyAlignment="1" applyProtection="1">
      <alignment vertical="center"/>
    </xf>
    <xf numFmtId="0" fontId="22" fillId="24" borderId="0" xfId="194" applyFont="1" applyFill="1" applyAlignment="1">
      <alignment horizontal="left" vertical="center"/>
    </xf>
    <xf numFmtId="0" fontId="23" fillId="24" borderId="10" xfId="195" applyFont="1" applyFill="1" applyBorder="1" applyAlignment="1">
      <alignment horizontal="center" vertical="center"/>
    </xf>
    <xf numFmtId="2" fontId="23" fillId="24" borderId="10" xfId="195" applyNumberFormat="1" applyFont="1" applyFill="1" applyBorder="1" applyAlignment="1">
      <alignment horizontal="center" vertical="center" wrapText="1"/>
    </xf>
    <xf numFmtId="167" fontId="22" fillId="24" borderId="0" xfId="194" applyNumberFormat="1" applyFont="1" applyFill="1" applyAlignment="1">
      <alignment vertical="center" wrapText="1"/>
    </xf>
    <xf numFmtId="2" fontId="22" fillId="24" borderId="0" xfId="194" applyNumberFormat="1" applyFont="1" applyFill="1" applyAlignment="1">
      <alignment vertical="center" wrapText="1"/>
    </xf>
    <xf numFmtId="0" fontId="22" fillId="24" borderId="0" xfId="195" applyFont="1" applyFill="1" applyAlignment="1">
      <alignment vertical="center"/>
    </xf>
    <xf numFmtId="0" fontId="23" fillId="24" borderId="0" xfId="195" applyFont="1" applyFill="1" applyAlignment="1">
      <alignment vertical="center"/>
    </xf>
    <xf numFmtId="168" fontId="23" fillId="24" borderId="0" xfId="1" applyNumberFormat="1" applyFont="1" applyFill="1" applyBorder="1" applyAlignment="1" applyProtection="1">
      <alignment vertical="center"/>
    </xf>
    <xf numFmtId="0" fontId="22" fillId="24" borderId="10" xfId="196" applyFont="1" applyFill="1" applyBorder="1" applyAlignment="1">
      <alignment horizontal="left" vertical="center" wrapText="1"/>
    </xf>
    <xf numFmtId="0" fontId="22" fillId="24" borderId="10" xfId="196" applyFont="1" applyFill="1" applyBorder="1" applyAlignment="1">
      <alignment horizontal="center" vertical="center"/>
    </xf>
    <xf numFmtId="1" fontId="22" fillId="24" borderId="10" xfId="196" applyNumberFormat="1" applyFont="1" applyFill="1" applyBorder="1" applyAlignment="1">
      <alignment horizontal="center" vertical="center"/>
    </xf>
    <xf numFmtId="167" fontId="22" fillId="25" borderId="0" xfId="194" applyNumberFormat="1" applyFont="1" applyFill="1" applyAlignment="1">
      <alignment vertical="center"/>
    </xf>
    <xf numFmtId="9" fontId="22" fillId="26" borderId="0" xfId="2" applyFont="1" applyFill="1" applyBorder="1" applyAlignment="1" applyProtection="1">
      <alignment vertical="center"/>
    </xf>
    <xf numFmtId="9" fontId="22" fillId="26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vertical="center"/>
    </xf>
    <xf numFmtId="0" fontId="22" fillId="24" borderId="10" xfId="196" applyFont="1" applyFill="1" applyBorder="1" applyAlignment="1">
      <alignment horizontal="left" vertical="center"/>
    </xf>
    <xf numFmtId="167" fontId="22" fillId="27" borderId="0" xfId="194" applyNumberFormat="1" applyFont="1" applyFill="1" applyAlignment="1">
      <alignment vertical="center"/>
    </xf>
    <xf numFmtId="167" fontId="22" fillId="27" borderId="0" xfId="194" applyNumberFormat="1" applyFont="1" applyFill="1" applyAlignment="1">
      <alignment horizontal="right" vertical="center"/>
    </xf>
    <xf numFmtId="1" fontId="22" fillId="24" borderId="0" xfId="195" applyNumberFormat="1" applyFont="1" applyFill="1" applyAlignment="1">
      <alignment vertical="center"/>
    </xf>
    <xf numFmtId="167" fontId="22" fillId="28" borderId="0" xfId="194" applyNumberFormat="1" applyFont="1" applyFill="1" applyAlignment="1">
      <alignment vertical="center"/>
    </xf>
    <xf numFmtId="0" fontId="0" fillId="24" borderId="0" xfId="0" applyFill="1"/>
    <xf numFmtId="167" fontId="22" fillId="29" borderId="0" xfId="194" applyNumberFormat="1" applyFont="1" applyFill="1" applyAlignment="1">
      <alignment vertical="center"/>
    </xf>
    <xf numFmtId="0" fontId="22" fillId="26" borderId="0" xfId="195" applyFont="1" applyFill="1" applyAlignment="1">
      <alignment vertical="center"/>
    </xf>
    <xf numFmtId="167" fontId="22" fillId="17" borderId="0" xfId="194" applyNumberFormat="1" applyFont="1" applyFill="1" applyAlignment="1">
      <alignment vertical="center"/>
    </xf>
    <xf numFmtId="1" fontId="22" fillId="24" borderId="13" xfId="196" applyNumberFormat="1" applyFont="1" applyFill="1" applyBorder="1" applyAlignment="1">
      <alignment horizontal="center" vertical="center"/>
    </xf>
    <xf numFmtId="0" fontId="24" fillId="24" borderId="0" xfId="181" applyFont="1" applyFill="1"/>
    <xf numFmtId="9" fontId="22" fillId="24" borderId="0" xfId="2" applyFont="1" applyFill="1" applyBorder="1" applyAlignment="1" applyProtection="1">
      <alignment vertical="center"/>
    </xf>
    <xf numFmtId="1" fontId="22" fillId="24" borderId="0" xfId="194" applyNumberFormat="1" applyFont="1" applyFill="1" applyAlignment="1">
      <alignment vertical="center"/>
    </xf>
    <xf numFmtId="1" fontId="22" fillId="24" borderId="11" xfId="196" applyNumberFormat="1" applyFont="1" applyFill="1" applyBorder="1" applyAlignment="1">
      <alignment horizontal="center" vertical="center"/>
    </xf>
    <xf numFmtId="0" fontId="22" fillId="24" borderId="12" xfId="196" applyFont="1" applyFill="1" applyBorder="1" applyAlignment="1">
      <alignment horizontal="center" vertical="center"/>
    </xf>
    <xf numFmtId="0" fontId="22" fillId="24" borderId="0" xfId="196" applyFont="1" applyFill="1" applyAlignment="1">
      <alignment horizontal="left" vertical="center"/>
    </xf>
    <xf numFmtId="0" fontId="22" fillId="24" borderId="0" xfId="196" applyFont="1" applyFill="1" applyAlignment="1">
      <alignment horizontal="center" vertical="center"/>
    </xf>
    <xf numFmtId="167" fontId="22" fillId="24" borderId="0" xfId="196" applyNumberFormat="1" applyFont="1" applyFill="1" applyAlignment="1">
      <alignment horizontal="left" vertical="center"/>
    </xf>
    <xf numFmtId="169" fontId="23" fillId="24" borderId="0" xfId="195" applyNumberFormat="1" applyFont="1" applyFill="1" applyAlignment="1">
      <alignment horizontal="center" vertical="center"/>
    </xf>
    <xf numFmtId="0" fontId="25" fillId="24" borderId="0" xfId="195" applyFont="1" applyFill="1" applyAlignment="1">
      <alignment vertical="center"/>
    </xf>
    <xf numFmtId="167" fontId="22" fillId="24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horizontal="center" vertical="center"/>
    </xf>
    <xf numFmtId="167" fontId="22" fillId="24" borderId="0" xfId="197" applyNumberFormat="1" applyFont="1" applyFill="1" applyAlignment="1">
      <alignment vertical="center"/>
    </xf>
    <xf numFmtId="2" fontId="22" fillId="24" borderId="0" xfId="197" applyNumberFormat="1" applyFont="1" applyFill="1" applyAlignment="1">
      <alignment horizontal="center" vertical="center"/>
    </xf>
    <xf numFmtId="2" fontId="22" fillId="24" borderId="0" xfId="197" applyNumberFormat="1" applyFont="1" applyFill="1" applyAlignment="1">
      <alignment horizontal="left" vertical="center"/>
    </xf>
    <xf numFmtId="9" fontId="22" fillId="24" borderId="0" xfId="2" applyFont="1" applyFill="1" applyBorder="1" applyAlignment="1" applyProtection="1">
      <alignment horizontal="center" vertical="center"/>
    </xf>
    <xf numFmtId="2" fontId="22" fillId="29" borderId="0" xfId="197" applyNumberFormat="1" applyFont="1" applyFill="1" applyAlignment="1">
      <alignment horizontal="center" vertical="center"/>
    </xf>
    <xf numFmtId="170" fontId="22" fillId="29" borderId="10" xfId="196" applyNumberFormat="1" applyFont="1" applyFill="1" applyBorder="1" applyAlignment="1">
      <alignment horizontal="center" vertical="center"/>
    </xf>
    <xf numFmtId="168" fontId="22" fillId="24" borderId="0" xfId="1" applyNumberFormat="1" applyFont="1" applyFill="1" applyBorder="1" applyAlignment="1" applyProtection="1">
      <alignment horizontal="center" vertical="center"/>
    </xf>
    <xf numFmtId="168" fontId="22" fillId="29" borderId="0" xfId="1" applyNumberFormat="1" applyFont="1" applyFill="1" applyBorder="1" applyAlignment="1" applyProtection="1">
      <alignment horizontal="center" vertical="center"/>
    </xf>
    <xf numFmtId="0" fontId="23" fillId="24" borderId="0" xfId="195" applyFont="1" applyFill="1" applyAlignment="1">
      <alignment horizontal="center" vertical="center"/>
    </xf>
    <xf numFmtId="0" fontId="23" fillId="0" borderId="10" xfId="195" applyFont="1" applyBorder="1" applyAlignment="1">
      <alignment horizontal="center" vertical="center" wrapText="1"/>
    </xf>
    <xf numFmtId="2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horizontal="center" vertical="center" wrapText="1"/>
    </xf>
    <xf numFmtId="167" fontId="23" fillId="24" borderId="10" xfId="195" applyNumberFormat="1" applyFont="1" applyFill="1" applyBorder="1" applyAlignment="1">
      <alignment horizontal="center" vertical="center" wrapText="1"/>
    </xf>
    <xf numFmtId="0" fontId="23" fillId="36" borderId="10" xfId="195" applyFont="1" applyFill="1" applyBorder="1" applyAlignment="1">
      <alignment horizontal="center" vertical="center" wrapText="1"/>
    </xf>
    <xf numFmtId="0" fontId="23" fillId="0" borderId="10" xfId="198" applyFont="1" applyBorder="1" applyAlignment="1">
      <alignment horizontal="center" vertical="center" wrapText="1"/>
    </xf>
    <xf numFmtId="2" fontId="26" fillId="0" borderId="10" xfId="195" applyNumberFormat="1" applyFont="1" applyBorder="1" applyAlignment="1">
      <alignment horizontal="center" vertical="center" wrapText="1"/>
    </xf>
    <xf numFmtId="167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4" applyFont="1" applyFill="1" applyBorder="1" applyAlignment="1">
      <alignment vertical="center"/>
    </xf>
    <xf numFmtId="0" fontId="23" fillId="0" borderId="10" xfId="194" applyFont="1" applyBorder="1" applyAlignment="1">
      <alignment vertical="center" wrapText="1"/>
    </xf>
    <xf numFmtId="0" fontId="23" fillId="24" borderId="10" xfId="194" applyFont="1" applyFill="1" applyBorder="1" applyAlignment="1">
      <alignment vertical="center" wrapText="1"/>
    </xf>
    <xf numFmtId="168" fontId="26" fillId="24" borderId="10" xfId="1" applyNumberFormat="1" applyFont="1" applyFill="1" applyBorder="1" applyAlignment="1" applyProtection="1">
      <alignment horizontal="center" vertical="center" wrapText="1"/>
    </xf>
    <xf numFmtId="168" fontId="26" fillId="0" borderId="10" xfId="1" applyNumberFormat="1" applyFont="1" applyBorder="1" applyAlignment="1" applyProtection="1">
      <alignment horizontal="center" vertical="center" wrapText="1"/>
    </xf>
    <xf numFmtId="0" fontId="23" fillId="36" borderId="10" xfId="194" applyFont="1" applyFill="1" applyBorder="1" applyAlignment="1">
      <alignment vertical="center" wrapText="1"/>
    </xf>
    <xf numFmtId="0" fontId="23" fillId="24" borderId="10" xfId="194" applyFont="1" applyFill="1" applyBorder="1" applyAlignment="1">
      <alignment horizontal="left" vertical="center" wrapText="1"/>
    </xf>
    <xf numFmtId="0" fontId="23" fillId="0" borderId="10" xfId="194" applyFont="1" applyBorder="1" applyAlignment="1">
      <alignment horizontal="left" vertical="center" wrapText="1"/>
    </xf>
    <xf numFmtId="0" fontId="22" fillId="24" borderId="10" xfId="194" applyFont="1" applyFill="1" applyBorder="1" applyAlignment="1">
      <alignment vertical="center" wrapText="1"/>
    </xf>
    <xf numFmtId="0" fontId="22" fillId="24" borderId="10" xfId="194" applyFont="1" applyFill="1" applyBorder="1" applyAlignment="1">
      <alignment vertical="center"/>
    </xf>
    <xf numFmtId="0" fontId="22" fillId="29" borderId="10" xfId="196" applyFont="1" applyFill="1" applyBorder="1" applyAlignment="1">
      <alignment horizontal="center" vertical="center" wrapText="1"/>
    </xf>
    <xf numFmtId="0" fontId="22" fillId="24" borderId="10" xfId="196" applyFont="1" applyFill="1" applyBorder="1" applyAlignment="1">
      <alignment horizontal="center" vertical="center" wrapText="1"/>
    </xf>
    <xf numFmtId="2" fontId="22" fillId="24" borderId="10" xfId="196" applyNumberFormat="1" applyFont="1" applyFill="1" applyBorder="1" applyAlignment="1">
      <alignment horizontal="center" vertical="center" wrapText="1"/>
    </xf>
    <xf numFmtId="172" fontId="22" fillId="24" borderId="10" xfId="196" applyNumberFormat="1" applyFont="1" applyFill="1" applyBorder="1" applyAlignment="1">
      <alignment horizontal="center" vertical="center"/>
    </xf>
    <xf numFmtId="2" fontId="22" fillId="24" borderId="10" xfId="195" applyNumberFormat="1" applyFont="1" applyFill="1" applyBorder="1" applyAlignment="1">
      <alignment horizontal="center" vertical="center"/>
    </xf>
    <xf numFmtId="173" fontId="22" fillId="37" borderId="10" xfId="198" applyNumberFormat="1" applyFont="1" applyFill="1" applyBorder="1" applyAlignment="1">
      <alignment horizontal="center" vertical="center"/>
    </xf>
    <xf numFmtId="167" fontId="22" fillId="24" borderId="10" xfId="196" applyNumberFormat="1" applyFont="1" applyFill="1" applyBorder="1" applyAlignment="1">
      <alignment horizontal="center" vertical="center"/>
    </xf>
    <xf numFmtId="2" fontId="22" fillId="24" borderId="10" xfId="196" applyNumberFormat="1" applyFont="1" applyFill="1" applyBorder="1" applyAlignment="1">
      <alignment horizontal="center" vertical="center"/>
    </xf>
    <xf numFmtId="2" fontId="25" fillId="24" borderId="10" xfId="196" applyNumberFormat="1" applyFont="1" applyFill="1" applyBorder="1" applyAlignment="1">
      <alignment horizontal="center" vertical="center"/>
    </xf>
    <xf numFmtId="173" fontId="22" fillId="38" borderId="10" xfId="198" applyNumberFormat="1" applyFont="1" applyFill="1" applyBorder="1" applyAlignment="1">
      <alignment horizontal="center" vertical="center"/>
    </xf>
    <xf numFmtId="172" fontId="22" fillId="24" borderId="10" xfId="1" applyNumberFormat="1" applyFont="1" applyFill="1" applyBorder="1" applyAlignment="1" applyProtection="1">
      <alignment horizontal="center" vertical="center"/>
    </xf>
    <xf numFmtId="2" fontId="22" fillId="24" borderId="10" xfId="197" applyNumberFormat="1" applyFont="1" applyFill="1" applyBorder="1" applyAlignment="1">
      <alignment horizontal="center" vertical="center"/>
    </xf>
    <xf numFmtId="170" fontId="22" fillId="24" borderId="10" xfId="196" applyNumberFormat="1" applyFont="1" applyFill="1" applyBorder="1" applyAlignment="1">
      <alignment horizontal="center" vertical="center"/>
    </xf>
    <xf numFmtId="172" fontId="22" fillId="24" borderId="10" xfId="1" applyNumberFormat="1" applyFont="1" applyFill="1" applyBorder="1" applyAlignment="1" applyProtection="1">
      <alignment vertical="center"/>
    </xf>
    <xf numFmtId="172" fontId="22" fillId="24" borderId="10" xfId="194" applyNumberFormat="1" applyFont="1" applyFill="1" applyBorder="1" applyAlignment="1">
      <alignment vertical="center"/>
    </xf>
    <xf numFmtId="172" fontId="23" fillId="24" borderId="10" xfId="1" applyNumberFormat="1" applyFont="1" applyFill="1" applyBorder="1" applyAlignment="1" applyProtection="1">
      <alignment vertical="center"/>
    </xf>
    <xf numFmtId="172" fontId="23" fillId="36" borderId="10" xfId="1" applyNumberFormat="1" applyFont="1" applyFill="1" applyBorder="1" applyAlignment="1" applyProtection="1">
      <alignment vertical="center"/>
    </xf>
    <xf numFmtId="0" fontId="22" fillId="24" borderId="10" xfId="194" applyFont="1" applyFill="1" applyBorder="1" applyAlignment="1">
      <alignment horizontal="left" vertical="center"/>
    </xf>
    <xf numFmtId="174" fontId="22" fillId="24" borderId="10" xfId="194" applyNumberFormat="1" applyFont="1" applyFill="1" applyBorder="1" applyAlignment="1">
      <alignment horizontal="left" vertical="center"/>
    </xf>
    <xf numFmtId="0" fontId="22" fillId="24" borderId="10" xfId="194" applyFont="1" applyFill="1" applyBorder="1" applyAlignment="1">
      <alignment horizontal="center" vertical="center"/>
    </xf>
    <xf numFmtId="172" fontId="0" fillId="0" borderId="10" xfId="0" applyNumberFormat="1" applyBorder="1"/>
    <xf numFmtId="168" fontId="22" fillId="24" borderId="10" xfId="1" applyNumberFormat="1" applyFont="1" applyFill="1" applyBorder="1" applyAlignment="1" applyProtection="1">
      <alignment vertical="center"/>
    </xf>
    <xf numFmtId="168" fontId="22" fillId="24" borderId="10" xfId="1" applyNumberFormat="1" applyFont="1" applyFill="1" applyBorder="1" applyAlignment="1" applyProtection="1">
      <alignment horizontal="center" vertical="center"/>
    </xf>
    <xf numFmtId="172" fontId="0" fillId="24" borderId="10" xfId="0" applyNumberFormat="1" applyFill="1" applyBorder="1"/>
    <xf numFmtId="175" fontId="22" fillId="24" borderId="10" xfId="196" applyNumberFormat="1" applyFont="1" applyFill="1" applyBorder="1" applyAlignment="1">
      <alignment horizontal="center" vertical="center"/>
    </xf>
    <xf numFmtId="172" fontId="25" fillId="24" borderId="10" xfId="1" applyNumberFormat="1" applyFont="1" applyFill="1" applyBorder="1" applyAlignment="1" applyProtection="1">
      <alignment vertical="center"/>
    </xf>
    <xf numFmtId="172" fontId="25" fillId="24" borderId="10" xfId="194" applyNumberFormat="1" applyFont="1" applyFill="1" applyBorder="1" applyAlignment="1">
      <alignment vertical="center"/>
    </xf>
    <xf numFmtId="172" fontId="26" fillId="24" borderId="10" xfId="1" applyNumberFormat="1" applyFont="1" applyFill="1" applyBorder="1" applyAlignment="1" applyProtection="1">
      <alignment vertical="center"/>
    </xf>
    <xf numFmtId="0" fontId="25" fillId="24" borderId="10" xfId="194" applyFont="1" applyFill="1" applyBorder="1" applyAlignment="1">
      <alignment vertical="center"/>
    </xf>
    <xf numFmtId="0" fontId="25" fillId="24" borderId="0" xfId="194" applyFont="1" applyFill="1" applyAlignment="1">
      <alignment vertical="center"/>
    </xf>
    <xf numFmtId="168" fontId="25" fillId="24" borderId="10" xfId="1" applyNumberFormat="1" applyFont="1" applyFill="1" applyBorder="1" applyAlignment="1" applyProtection="1">
      <alignment vertical="center"/>
    </xf>
    <xf numFmtId="0" fontId="22" fillId="40" borderId="10" xfId="194" applyFont="1" applyFill="1" applyBorder="1" applyAlignment="1">
      <alignment vertical="center"/>
    </xf>
    <xf numFmtId="172" fontId="23" fillId="40" borderId="10" xfId="1" applyNumberFormat="1" applyFont="1" applyFill="1" applyBorder="1" applyAlignment="1" applyProtection="1">
      <alignment vertical="center"/>
    </xf>
    <xf numFmtId="172" fontId="23" fillId="24" borderId="11" xfId="1" applyNumberFormat="1" applyFont="1" applyFill="1" applyBorder="1" applyAlignment="1" applyProtection="1">
      <alignment vertical="center"/>
    </xf>
    <xf numFmtId="172" fontId="22" fillId="24" borderId="11" xfId="1" applyNumberFormat="1" applyFont="1" applyFill="1" applyBorder="1" applyAlignment="1" applyProtection="1">
      <alignment vertical="center"/>
    </xf>
    <xf numFmtId="2" fontId="22" fillId="24" borderId="11" xfId="194" applyNumberFormat="1" applyFont="1" applyFill="1" applyBorder="1" applyAlignment="1">
      <alignment vertical="center"/>
    </xf>
    <xf numFmtId="0" fontId="22" fillId="24" borderId="11" xfId="194" applyFont="1" applyFill="1" applyBorder="1" applyAlignment="1">
      <alignment vertical="center"/>
    </xf>
    <xf numFmtId="172" fontId="22" fillId="24" borderId="11" xfId="194" applyNumberFormat="1" applyFont="1" applyFill="1" applyBorder="1" applyAlignment="1">
      <alignment vertical="center"/>
    </xf>
    <xf numFmtId="168" fontId="22" fillId="24" borderId="11" xfId="1" applyNumberFormat="1" applyFont="1" applyFill="1" applyBorder="1" applyAlignment="1" applyProtection="1">
      <alignment vertical="center"/>
    </xf>
    <xf numFmtId="2" fontId="22" fillId="24" borderId="10" xfId="194" applyNumberFormat="1" applyFont="1" applyFill="1" applyBorder="1" applyAlignment="1">
      <alignment vertical="center"/>
    </xf>
    <xf numFmtId="0" fontId="22" fillId="24" borderId="13" xfId="194" applyFont="1" applyFill="1" applyBorder="1" applyAlignment="1">
      <alignment vertical="center"/>
    </xf>
    <xf numFmtId="172" fontId="22" fillId="24" borderId="13" xfId="194" applyNumberFormat="1" applyFont="1" applyFill="1" applyBorder="1" applyAlignment="1">
      <alignment vertical="center"/>
    </xf>
    <xf numFmtId="168" fontId="22" fillId="24" borderId="13" xfId="1" applyNumberFormat="1" applyFont="1" applyFill="1" applyBorder="1" applyAlignment="1" applyProtection="1">
      <alignment vertical="center"/>
    </xf>
    <xf numFmtId="176" fontId="22" fillId="24" borderId="11" xfId="199" applyNumberFormat="1" applyFont="1" applyFill="1" applyBorder="1" applyAlignment="1">
      <alignment vertical="center"/>
    </xf>
    <xf numFmtId="173" fontId="22" fillId="24" borderId="11" xfId="200" applyNumberFormat="1" applyFont="1" applyFill="1" applyBorder="1" applyAlignment="1">
      <alignment vertical="center"/>
    </xf>
    <xf numFmtId="176" fontId="23" fillId="24" borderId="11" xfId="199" applyNumberFormat="1" applyFont="1" applyFill="1" applyBorder="1" applyAlignment="1">
      <alignment vertical="center"/>
    </xf>
    <xf numFmtId="180" fontId="22" fillId="24" borderId="11" xfId="200" applyFont="1" applyFill="1" applyBorder="1" applyAlignment="1">
      <alignment vertical="center"/>
    </xf>
    <xf numFmtId="176" fontId="22" fillId="24" borderId="11" xfId="200" applyNumberFormat="1" applyFont="1" applyFill="1" applyBorder="1" applyAlignment="1">
      <alignment vertical="center"/>
    </xf>
    <xf numFmtId="179" fontId="22" fillId="24" borderId="11" xfId="199" applyNumberFormat="1" applyFont="1" applyFill="1" applyBorder="1" applyAlignment="1">
      <alignment vertical="center"/>
    </xf>
    <xf numFmtId="180" fontId="22" fillId="24" borderId="0" xfId="200" applyFont="1" applyFill="1" applyAlignment="1">
      <alignment vertical="center"/>
    </xf>
    <xf numFmtId="168" fontId="22" fillId="24" borderId="14" xfId="1" applyNumberFormat="1" applyFont="1" applyFill="1" applyBorder="1" applyAlignment="1" applyProtection="1">
      <alignment vertical="center"/>
    </xf>
    <xf numFmtId="2" fontId="22" fillId="0" borderId="15" xfId="194" applyNumberFormat="1" applyFont="1" applyBorder="1" applyAlignment="1">
      <alignment vertical="center"/>
    </xf>
    <xf numFmtId="168" fontId="22" fillId="0" borderId="15" xfId="1" applyNumberFormat="1" applyFont="1" applyBorder="1" applyAlignment="1" applyProtection="1">
      <alignment vertical="center"/>
    </xf>
    <xf numFmtId="0" fontId="22" fillId="0" borderId="15" xfId="194" applyFont="1" applyBorder="1" applyAlignment="1">
      <alignment vertical="center"/>
    </xf>
    <xf numFmtId="2" fontId="22" fillId="0" borderId="10" xfId="194" applyNumberFormat="1" applyFont="1" applyBorder="1" applyAlignment="1">
      <alignment vertical="center"/>
    </xf>
    <xf numFmtId="0" fontId="22" fillId="0" borderId="10" xfId="194" applyFont="1" applyBorder="1" applyAlignment="1">
      <alignment vertical="center"/>
    </xf>
    <xf numFmtId="168" fontId="22" fillId="0" borderId="10" xfId="1" applyNumberFormat="1" applyFont="1" applyBorder="1" applyAlignment="1" applyProtection="1">
      <alignment vertical="center"/>
    </xf>
    <xf numFmtId="172" fontId="22" fillId="0" borderId="10" xfId="194" applyNumberFormat="1" applyFont="1" applyBorder="1" applyAlignment="1">
      <alignment vertical="center"/>
    </xf>
    <xf numFmtId="167" fontId="22" fillId="24" borderId="11" xfId="194" applyNumberFormat="1" applyFont="1" applyFill="1" applyBorder="1" applyAlignment="1">
      <alignment vertical="center"/>
    </xf>
    <xf numFmtId="169" fontId="22" fillId="24" borderId="10" xfId="194" applyNumberFormat="1" applyFont="1" applyFill="1" applyBorder="1" applyAlignment="1">
      <alignment vertical="center"/>
    </xf>
    <xf numFmtId="182" fontId="22" fillId="24" borderId="10" xfId="194" applyNumberFormat="1" applyFont="1" applyFill="1" applyBorder="1" applyAlignment="1">
      <alignment vertical="center"/>
    </xf>
    <xf numFmtId="167" fontId="22" fillId="24" borderId="10" xfId="194" applyNumberFormat="1" applyFont="1" applyFill="1" applyBorder="1" applyAlignment="1">
      <alignment vertical="center"/>
    </xf>
    <xf numFmtId="0" fontId="35" fillId="0" borderId="19" xfId="0" applyFont="1" applyBorder="1" applyAlignment="1">
      <alignment horizontal="center" vertical="center"/>
    </xf>
    <xf numFmtId="175" fontId="22" fillId="24" borderId="11" xfId="196" applyNumberFormat="1" applyFont="1" applyFill="1" applyBorder="1" applyAlignment="1">
      <alignment horizontal="center" vertical="center"/>
    </xf>
    <xf numFmtId="175" fontId="22" fillId="24" borderId="13" xfId="196" applyNumberFormat="1" applyFont="1" applyFill="1" applyBorder="1" applyAlignment="1">
      <alignment horizontal="center" vertical="center"/>
    </xf>
    <xf numFmtId="1" fontId="22" fillId="24" borderId="0" xfId="196" applyNumberFormat="1" applyFont="1" applyFill="1" applyAlignment="1">
      <alignment horizontal="center" vertical="center"/>
    </xf>
    <xf numFmtId="1" fontId="36" fillId="0" borderId="10" xfId="196" applyNumberFormat="1" applyFont="1" applyBorder="1" applyAlignment="1">
      <alignment horizontal="center" vertical="center"/>
    </xf>
    <xf numFmtId="168" fontId="22" fillId="24" borderId="17" xfId="1" applyNumberFormat="1" applyFont="1" applyFill="1" applyBorder="1" applyAlignment="1" applyProtection="1">
      <alignment vertical="center"/>
    </xf>
    <xf numFmtId="168" fontId="22" fillId="0" borderId="25" xfId="1" applyNumberFormat="1" applyFont="1" applyBorder="1" applyAlignment="1" applyProtection="1">
      <alignment vertical="center"/>
    </xf>
    <xf numFmtId="168" fontId="22" fillId="0" borderId="14" xfId="1" applyNumberFormat="1" applyFont="1" applyBorder="1" applyAlignment="1" applyProtection="1">
      <alignment vertical="center"/>
    </xf>
    <xf numFmtId="0" fontId="36" fillId="24" borderId="10" xfId="194" applyFont="1" applyFill="1" applyBorder="1" applyAlignment="1">
      <alignment vertical="center"/>
    </xf>
    <xf numFmtId="0" fontId="36" fillId="0" borderId="10" xfId="194" applyFont="1" applyBorder="1" applyAlignment="1">
      <alignment vertical="center"/>
    </xf>
    <xf numFmtId="0" fontId="36" fillId="0" borderId="19" xfId="0" applyFont="1" applyBorder="1" applyAlignment="1">
      <alignment horizontal="center" vertical="center"/>
    </xf>
    <xf numFmtId="171" fontId="36" fillId="24" borderId="10" xfId="196" applyNumberFormat="1" applyFont="1" applyFill="1" applyBorder="1" applyAlignment="1">
      <alignment horizontal="center" vertical="center"/>
    </xf>
    <xf numFmtId="0" fontId="36" fillId="24" borderId="10" xfId="196" applyFont="1" applyFill="1" applyBorder="1" applyAlignment="1">
      <alignment horizontal="center" vertical="center" wrapText="1"/>
    </xf>
    <xf numFmtId="172" fontId="22" fillId="0" borderId="10" xfId="1" applyNumberFormat="1" applyFont="1" applyBorder="1" applyAlignment="1" applyProtection="1">
      <alignment horizontal="center" vertical="center"/>
    </xf>
    <xf numFmtId="18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82" fillId="0" borderId="10" xfId="196" applyNumberFormat="1" applyFont="1" applyBorder="1" applyAlignment="1">
      <alignment horizontal="center" vertical="center"/>
    </xf>
    <xf numFmtId="0" fontId="30" fillId="44" borderId="10" xfId="196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vertical="center"/>
    </xf>
    <xf numFmtId="2" fontId="23" fillId="24" borderId="10" xfId="195" applyNumberFormat="1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/>
    </xf>
    <xf numFmtId="1" fontId="22" fillId="24" borderId="10" xfId="196" applyNumberFormat="1" applyFont="1" applyFill="1" applyBorder="1" applyAlignment="1">
      <alignment vertical="center"/>
    </xf>
    <xf numFmtId="0" fontId="22" fillId="24" borderId="11" xfId="196" applyFont="1" applyFill="1" applyBorder="1" applyAlignment="1">
      <alignment vertical="center"/>
    </xf>
    <xf numFmtId="0" fontId="22" fillId="24" borderId="12" xfId="196" applyFont="1" applyFill="1" applyBorder="1" applyAlignment="1">
      <alignment vertical="center"/>
    </xf>
    <xf numFmtId="1" fontId="22" fillId="24" borderId="13" xfId="196" applyNumberFormat="1" applyFont="1" applyFill="1" applyBorder="1" applyAlignment="1">
      <alignment vertical="center"/>
    </xf>
    <xf numFmtId="0" fontId="22" fillId="24" borderId="13" xfId="196" applyFont="1" applyFill="1" applyBorder="1" applyAlignment="1">
      <alignment vertical="center"/>
    </xf>
    <xf numFmtId="1" fontId="22" fillId="24" borderId="11" xfId="196" applyNumberFormat="1" applyFont="1" applyFill="1" applyBorder="1" applyAlignment="1">
      <alignment vertical="center"/>
    </xf>
    <xf numFmtId="0" fontId="22" fillId="24" borderId="0" xfId="196" applyFont="1" applyFill="1" applyAlignment="1">
      <alignment vertical="center"/>
    </xf>
    <xf numFmtId="167" fontId="22" fillId="24" borderId="0" xfId="196" applyNumberFormat="1" applyFont="1" applyFill="1" applyAlignment="1">
      <alignment vertical="center"/>
    </xf>
    <xf numFmtId="169" fontId="23" fillId="24" borderId="0" xfId="195" applyNumberFormat="1" applyFont="1" applyFill="1" applyAlignment="1">
      <alignment vertical="center"/>
    </xf>
    <xf numFmtId="2" fontId="22" fillId="24" borderId="0" xfId="197" applyNumberFormat="1" applyFont="1" applyFill="1" applyAlignment="1">
      <alignment vertical="center"/>
    </xf>
    <xf numFmtId="2" fontId="22" fillId="29" borderId="0" xfId="197" applyNumberFormat="1" applyFont="1" applyFill="1" applyAlignment="1">
      <alignment vertical="center"/>
    </xf>
    <xf numFmtId="170" fontId="22" fillId="29" borderId="10" xfId="196" applyNumberFormat="1" applyFont="1" applyFill="1" applyBorder="1" applyAlignment="1">
      <alignment vertical="center"/>
    </xf>
    <xf numFmtId="168" fontId="22" fillId="29" borderId="0" xfId="1" applyNumberFormat="1" applyFont="1" applyFill="1" applyBorder="1" applyAlignment="1" applyProtection="1">
      <alignment vertical="center"/>
    </xf>
    <xf numFmtId="0" fontId="26" fillId="31" borderId="10" xfId="195" applyFont="1" applyFill="1" applyBorder="1" applyAlignment="1">
      <alignment vertical="center"/>
    </xf>
    <xf numFmtId="0" fontId="23" fillId="0" borderId="10" xfId="195" applyFont="1" applyBorder="1" applyAlignment="1">
      <alignment vertical="center" wrapText="1"/>
    </xf>
    <xf numFmtId="2" fontId="26" fillId="24" borderId="10" xfId="195" applyNumberFormat="1" applyFont="1" applyFill="1" applyBorder="1" applyAlignment="1">
      <alignment vertical="center" wrapText="1"/>
    </xf>
    <xf numFmtId="0" fontId="23" fillId="24" borderId="10" xfId="195" applyFont="1" applyFill="1" applyBorder="1" applyAlignment="1">
      <alignment vertical="center" wrapText="1"/>
    </xf>
    <xf numFmtId="0" fontId="23" fillId="0" borderId="10" xfId="195" applyFont="1" applyBorder="1" applyAlignment="1">
      <alignment vertical="center"/>
    </xf>
    <xf numFmtId="167" fontId="23" fillId="24" borderId="10" xfId="195" applyNumberFormat="1" applyFont="1" applyFill="1" applyBorder="1" applyAlignment="1">
      <alignment vertical="center" wrapText="1"/>
    </xf>
    <xf numFmtId="0" fontId="23" fillId="36" borderId="10" xfId="195" applyFont="1" applyFill="1" applyBorder="1" applyAlignment="1">
      <alignment vertical="center" wrapText="1"/>
    </xf>
    <xf numFmtId="0" fontId="23" fillId="0" borderId="10" xfId="198" applyFont="1" applyBorder="1" applyAlignment="1">
      <alignment vertical="center" wrapText="1"/>
    </xf>
    <xf numFmtId="2" fontId="26" fillId="0" borderId="10" xfId="195" applyNumberFormat="1" applyFont="1" applyBorder="1" applyAlignment="1">
      <alignment vertical="center" wrapText="1"/>
    </xf>
    <xf numFmtId="2" fontId="26" fillId="49" borderId="10" xfId="195" applyNumberFormat="1" applyFont="1" applyFill="1" applyBorder="1" applyAlignment="1">
      <alignment vertical="center" wrapText="1"/>
    </xf>
    <xf numFmtId="167" fontId="26" fillId="24" borderId="10" xfId="195" applyNumberFormat="1" applyFont="1" applyFill="1" applyBorder="1" applyAlignment="1">
      <alignment vertical="center" wrapText="1"/>
    </xf>
    <xf numFmtId="168" fontId="26" fillId="24" borderId="10" xfId="1" applyNumberFormat="1" applyFont="1" applyFill="1" applyBorder="1" applyAlignment="1" applyProtection="1">
      <alignment vertical="center" wrapText="1"/>
    </xf>
    <xf numFmtId="168" fontId="26" fillId="0" borderId="14" xfId="1" applyNumberFormat="1" applyFont="1" applyBorder="1" applyAlignment="1" applyProtection="1">
      <alignment vertical="center" wrapText="1"/>
    </xf>
    <xf numFmtId="0" fontId="22" fillId="29" borderId="10" xfId="196" applyFont="1" applyFill="1" applyBorder="1" applyAlignment="1">
      <alignment vertical="center" wrapText="1"/>
    </xf>
    <xf numFmtId="2" fontId="22" fillId="24" borderId="10" xfId="196" applyNumberFormat="1" applyFont="1" applyFill="1" applyBorder="1" applyAlignment="1">
      <alignment vertical="center" wrapText="1"/>
    </xf>
    <xf numFmtId="171" fontId="22" fillId="24" borderId="10" xfId="196" applyNumberFormat="1" applyFont="1" applyFill="1" applyBorder="1" applyAlignment="1">
      <alignment vertical="center"/>
    </xf>
    <xf numFmtId="172" fontId="22" fillId="24" borderId="10" xfId="196" applyNumberFormat="1" applyFont="1" applyFill="1" applyBorder="1" applyAlignment="1">
      <alignment vertical="center"/>
    </xf>
    <xf numFmtId="172" fontId="22" fillId="36" borderId="10" xfId="1" applyNumberFormat="1" applyFont="1" applyFill="1" applyBorder="1" applyAlignment="1" applyProtection="1">
      <alignment vertical="center"/>
    </xf>
    <xf numFmtId="2" fontId="22" fillId="24" borderId="10" xfId="195" applyNumberFormat="1" applyFont="1" applyFill="1" applyBorder="1" applyAlignment="1">
      <alignment vertical="center"/>
    </xf>
    <xf numFmtId="173" fontId="22" fillId="123" borderId="10" xfId="198" applyNumberFormat="1" applyFont="1" applyFill="1" applyBorder="1" applyAlignment="1">
      <alignment vertical="center"/>
    </xf>
    <xf numFmtId="167" fontId="22" fillId="24" borderId="10" xfId="196" applyNumberFormat="1" applyFont="1" applyFill="1" applyBorder="1" applyAlignment="1">
      <alignment vertical="center"/>
    </xf>
    <xf numFmtId="2" fontId="22" fillId="24" borderId="10" xfId="196" applyNumberFormat="1" applyFont="1" applyFill="1" applyBorder="1" applyAlignment="1">
      <alignment vertical="center"/>
    </xf>
    <xf numFmtId="2" fontId="25" fillId="24" borderId="10" xfId="196" applyNumberFormat="1" applyFont="1" applyFill="1" applyBorder="1" applyAlignment="1">
      <alignment vertical="center"/>
    </xf>
    <xf numFmtId="173" fontId="22" fillId="38" borderId="10" xfId="198" applyNumberFormat="1" applyFont="1" applyFill="1" applyBorder="1" applyAlignment="1">
      <alignment vertical="center"/>
    </xf>
    <xf numFmtId="2" fontId="22" fillId="24" borderId="10" xfId="197" applyNumberFormat="1" applyFont="1" applyFill="1" applyBorder="1" applyAlignment="1">
      <alignment vertical="center"/>
    </xf>
    <xf numFmtId="170" fontId="36" fillId="24" borderId="10" xfId="196" applyNumberFormat="1" applyFont="1" applyFill="1" applyBorder="1" applyAlignment="1">
      <alignment vertical="center"/>
    </xf>
    <xf numFmtId="174" fontId="22" fillId="24" borderId="10" xfId="194" applyNumberFormat="1" applyFont="1" applyFill="1" applyBorder="1" applyAlignment="1">
      <alignment vertical="center"/>
    </xf>
    <xf numFmtId="173" fontId="27" fillId="123" borderId="10" xfId="198" applyNumberFormat="1" applyFont="1" applyFill="1" applyBorder="1" applyAlignment="1">
      <alignment vertical="center"/>
    </xf>
    <xf numFmtId="2" fontId="36" fillId="24" borderId="10" xfId="196" applyNumberFormat="1" applyFont="1" applyFill="1" applyBorder="1" applyAlignment="1">
      <alignment vertical="center"/>
    </xf>
    <xf numFmtId="173" fontId="38" fillId="122" borderId="19" xfId="198" applyNumberFormat="1" applyFont="1" applyFill="1" applyBorder="1" applyAlignment="1">
      <alignment vertical="center" wrapText="1"/>
    </xf>
    <xf numFmtId="175" fontId="34" fillId="29" borderId="10" xfId="196" applyNumberFormat="1" applyFill="1" applyBorder="1" applyAlignment="1">
      <alignment vertical="center"/>
    </xf>
    <xf numFmtId="175" fontId="22" fillId="24" borderId="10" xfId="196" applyNumberFormat="1" applyFont="1" applyFill="1" applyBorder="1" applyAlignment="1">
      <alignment vertical="center"/>
    </xf>
    <xf numFmtId="3" fontId="36" fillId="0" borderId="10" xfId="0" applyNumberFormat="1" applyFont="1" applyBorder="1" applyAlignment="1">
      <alignment vertical="center"/>
    </xf>
    <xf numFmtId="168" fontId="22" fillId="24" borderId="14" xfId="1" applyNumberFormat="1" applyFont="1" applyFill="1" applyBorder="1" applyAlignment="1" applyProtection="1">
      <alignment vertical="center" wrapText="1"/>
    </xf>
    <xf numFmtId="168" fontId="36" fillId="24" borderId="10" xfId="1" applyNumberFormat="1" applyFont="1" applyFill="1" applyBorder="1" applyAlignment="1" applyProtection="1">
      <alignment vertical="center"/>
    </xf>
    <xf numFmtId="0" fontId="22" fillId="0" borderId="10" xfId="196" applyFont="1" applyBorder="1" applyAlignment="1">
      <alignment vertical="center" wrapText="1"/>
    </xf>
    <xf numFmtId="173" fontId="38" fillId="123" borderId="19" xfId="198" applyNumberFormat="1" applyFont="1" applyFill="1" applyBorder="1" applyAlignment="1">
      <alignment vertical="center" wrapText="1"/>
    </xf>
    <xf numFmtId="173" fontId="22" fillId="38" borderId="10" xfId="196" applyNumberFormat="1" applyFont="1" applyFill="1" applyBorder="1" applyAlignment="1">
      <alignment vertical="center"/>
    </xf>
    <xf numFmtId="0" fontId="25" fillId="29" borderId="10" xfId="196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 wrapText="1"/>
    </xf>
    <xf numFmtId="2" fontId="25" fillId="24" borderId="10" xfId="196" applyNumberFormat="1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/>
    </xf>
    <xf numFmtId="171" fontId="25" fillId="24" borderId="10" xfId="196" applyNumberFormat="1" applyFont="1" applyFill="1" applyBorder="1" applyAlignment="1">
      <alignment vertical="center"/>
    </xf>
    <xf numFmtId="2" fontId="25" fillId="24" borderId="10" xfId="195" applyNumberFormat="1" applyFont="1" applyFill="1" applyBorder="1" applyAlignment="1">
      <alignment vertical="center"/>
    </xf>
    <xf numFmtId="173" fontId="22" fillId="123" borderId="10" xfId="196" applyNumberFormat="1" applyFont="1" applyFill="1" applyBorder="1" applyAlignment="1">
      <alignment vertical="center"/>
    </xf>
    <xf numFmtId="167" fontId="25" fillId="24" borderId="10" xfId="196" applyNumberFormat="1" applyFont="1" applyFill="1" applyBorder="1" applyAlignment="1">
      <alignment vertical="center"/>
    </xf>
    <xf numFmtId="2" fontId="25" fillId="24" borderId="10" xfId="197" applyNumberFormat="1" applyFont="1" applyFill="1" applyBorder="1" applyAlignment="1">
      <alignment vertical="center"/>
    </xf>
    <xf numFmtId="170" fontId="39" fillId="24" borderId="10" xfId="196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8" fontId="25" fillId="24" borderId="14" xfId="1" applyNumberFormat="1" applyFont="1" applyFill="1" applyBorder="1" applyAlignment="1" applyProtection="1">
      <alignment vertical="center"/>
    </xf>
    <xf numFmtId="172" fontId="25" fillId="24" borderId="10" xfId="196" applyNumberFormat="1" applyFont="1" applyFill="1" applyBorder="1" applyAlignment="1">
      <alignment vertical="center"/>
    </xf>
    <xf numFmtId="174" fontId="25" fillId="24" borderId="10" xfId="194" applyNumberFormat="1" applyFont="1" applyFill="1" applyBorder="1" applyAlignment="1">
      <alignment vertical="center"/>
    </xf>
    <xf numFmtId="172" fontId="28" fillId="24" borderId="10" xfId="0" applyNumberFormat="1" applyFont="1" applyFill="1" applyBorder="1"/>
    <xf numFmtId="2" fontId="0" fillId="0" borderId="10" xfId="0" applyNumberFormat="1" applyBorder="1" applyAlignment="1">
      <alignment vertical="center"/>
    </xf>
    <xf numFmtId="0" fontId="22" fillId="39" borderId="10" xfId="196" applyFont="1" applyFill="1" applyBorder="1" applyAlignment="1">
      <alignment vertical="center" wrapText="1"/>
    </xf>
    <xf numFmtId="173" fontId="22" fillId="24" borderId="10" xfId="196" applyNumberFormat="1" applyFont="1" applyFill="1" applyBorder="1" applyAlignment="1">
      <alignment vertical="center"/>
    </xf>
    <xf numFmtId="3" fontId="22" fillId="24" borderId="10" xfId="194" applyNumberFormat="1" applyFont="1" applyFill="1" applyBorder="1" applyAlignment="1">
      <alignment vertical="center"/>
    </xf>
    <xf numFmtId="16" fontId="22" fillId="24" borderId="10" xfId="194" applyNumberFormat="1" applyFont="1" applyFill="1" applyBorder="1" applyAlignment="1">
      <alignment vertical="center"/>
    </xf>
    <xf numFmtId="173" fontId="27" fillId="37" borderId="10" xfId="198" applyNumberFormat="1" applyFont="1" applyFill="1" applyBorder="1" applyAlignment="1">
      <alignment vertical="center"/>
    </xf>
    <xf numFmtId="1" fontId="36" fillId="24" borderId="10" xfId="1" applyNumberFormat="1" applyFont="1" applyFill="1" applyBorder="1" applyAlignment="1" applyProtection="1">
      <alignment vertical="center"/>
    </xf>
    <xf numFmtId="173" fontId="22" fillId="37" borderId="10" xfId="196" applyNumberFormat="1" applyFont="1" applyFill="1" applyBorder="1" applyAlignment="1">
      <alignment vertical="center"/>
    </xf>
    <xf numFmtId="167" fontId="22" fillId="24" borderId="10" xfId="196" applyNumberFormat="1" applyFont="1" applyFill="1" applyBorder="1" applyAlignment="1">
      <alignment vertical="center" indent="2"/>
    </xf>
    <xf numFmtId="2" fontId="36" fillId="0" borderId="10" xfId="0" applyNumberFormat="1" applyFont="1" applyBorder="1" applyAlignment="1">
      <alignment vertical="center"/>
    </xf>
    <xf numFmtId="2" fontId="36" fillId="24" borderId="10" xfId="1" applyNumberFormat="1" applyFont="1" applyFill="1" applyBorder="1" applyAlignment="1" applyProtection="1">
      <alignment vertical="center"/>
    </xf>
    <xf numFmtId="2" fontId="36" fillId="0" borderId="10" xfId="1" applyNumberFormat="1" applyFont="1" applyBorder="1" applyAlignment="1" applyProtection="1">
      <alignment vertical="center"/>
    </xf>
    <xf numFmtId="0" fontId="27" fillId="37" borderId="10" xfId="198" applyFont="1" applyFill="1" applyBorder="1" applyAlignment="1">
      <alignment vertical="center"/>
    </xf>
    <xf numFmtId="0" fontId="22" fillId="38" borderId="10" xfId="198" applyFont="1" applyFill="1" applyBorder="1" applyAlignment="1">
      <alignment vertical="center"/>
    </xf>
    <xf numFmtId="0" fontId="36" fillId="24" borderId="10" xfId="196" applyFont="1" applyFill="1" applyBorder="1" applyAlignment="1">
      <alignment vertical="center"/>
    </xf>
    <xf numFmtId="173" fontId="38" fillId="45" borderId="19" xfId="198" applyNumberFormat="1" applyFont="1" applyFill="1" applyBorder="1" applyAlignment="1">
      <alignment vertical="center" wrapText="1"/>
    </xf>
    <xf numFmtId="2" fontId="22" fillId="38" borderId="10" xfId="196" applyNumberFormat="1" applyFont="1" applyFill="1" applyBorder="1" applyAlignment="1">
      <alignment vertical="center"/>
    </xf>
    <xf numFmtId="0" fontId="22" fillId="37" borderId="10" xfId="196" applyFont="1" applyFill="1" applyBorder="1" applyAlignment="1">
      <alignment vertical="center"/>
    </xf>
    <xf numFmtId="0" fontId="22" fillId="38" borderId="10" xfId="196" applyFont="1" applyFill="1" applyBorder="1" applyAlignment="1">
      <alignment vertical="center"/>
    </xf>
    <xf numFmtId="1" fontId="36" fillId="0" borderId="10" xfId="0" applyNumberFormat="1" applyFont="1" applyBorder="1" applyAlignment="1">
      <alignment vertical="center"/>
    </xf>
    <xf numFmtId="0" fontId="27" fillId="37" borderId="10" xfId="196" applyFont="1" applyFill="1" applyBorder="1" applyAlignment="1">
      <alignment vertical="center"/>
    </xf>
    <xf numFmtId="172" fontId="22" fillId="24" borderId="10" xfId="1" applyNumberFormat="1" applyFont="1" applyFill="1" applyBorder="1" applyAlignment="1" applyProtection="1">
      <alignment vertical="center" wrapText="1"/>
    </xf>
    <xf numFmtId="0" fontId="41" fillId="0" borderId="0" xfId="0" applyFont="1" applyAlignment="1">
      <alignment vertical="center"/>
    </xf>
    <xf numFmtId="0" fontId="40" fillId="0" borderId="0" xfId="0" applyFont="1"/>
    <xf numFmtId="0" fontId="22" fillId="29" borderId="11" xfId="196" applyFont="1" applyFill="1" applyBorder="1" applyAlignment="1">
      <alignment vertical="center" wrapText="1"/>
    </xf>
    <xf numFmtId="0" fontId="22" fillId="24" borderId="11" xfId="196" applyFont="1" applyFill="1" applyBorder="1" applyAlignment="1">
      <alignment vertical="center" wrapText="1"/>
    </xf>
    <xf numFmtId="2" fontId="22" fillId="24" borderId="11" xfId="196" applyNumberFormat="1" applyFont="1" applyFill="1" applyBorder="1" applyAlignment="1">
      <alignment vertical="center" wrapText="1"/>
    </xf>
    <xf numFmtId="172" fontId="22" fillId="24" borderId="11" xfId="196" applyNumberFormat="1" applyFont="1" applyFill="1" applyBorder="1" applyAlignment="1">
      <alignment vertical="center"/>
    </xf>
    <xf numFmtId="2" fontId="22" fillId="24" borderId="11" xfId="195" applyNumberFormat="1" applyFont="1" applyFill="1" applyBorder="1" applyAlignment="1">
      <alignment vertical="center"/>
    </xf>
    <xf numFmtId="173" fontId="27" fillId="37" borderId="11" xfId="198" applyNumberFormat="1" applyFont="1" applyFill="1" applyBorder="1" applyAlignment="1">
      <alignment vertical="center"/>
    </xf>
    <xf numFmtId="167" fontId="22" fillId="24" borderId="11" xfId="196" applyNumberFormat="1" applyFont="1" applyFill="1" applyBorder="1" applyAlignment="1">
      <alignment vertical="center"/>
    </xf>
    <xf numFmtId="2" fontId="22" fillId="24" borderId="11" xfId="196" applyNumberFormat="1" applyFont="1" applyFill="1" applyBorder="1" applyAlignment="1">
      <alignment vertical="center"/>
    </xf>
    <xf numFmtId="2" fontId="22" fillId="24" borderId="11" xfId="197" applyNumberFormat="1" applyFont="1" applyFill="1" applyBorder="1" applyAlignment="1">
      <alignment vertical="center"/>
    </xf>
    <xf numFmtId="174" fontId="22" fillId="24" borderId="11" xfId="194" applyNumberFormat="1" applyFont="1" applyFill="1" applyBorder="1" applyAlignment="1">
      <alignment vertical="center"/>
    </xf>
    <xf numFmtId="172" fontId="0" fillId="24" borderId="11" xfId="0" applyNumberFormat="1" applyFill="1" applyBorder="1"/>
    <xf numFmtId="168" fontId="22" fillId="24" borderId="17" xfId="1" applyNumberFormat="1" applyFont="1" applyFill="1" applyBorder="1" applyAlignment="1" applyProtection="1">
      <alignment vertical="center" wrapText="1"/>
    </xf>
    <xf numFmtId="173" fontId="27" fillId="37" borderId="10" xfId="196" applyNumberFormat="1" applyFont="1" applyFill="1" applyBorder="1" applyAlignment="1">
      <alignment vertical="center"/>
    </xf>
    <xf numFmtId="173" fontId="22" fillId="41" borderId="10" xfId="198" applyNumberFormat="1" applyFont="1" applyFill="1" applyBorder="1" applyAlignment="1">
      <alignment vertical="center"/>
    </xf>
    <xf numFmtId="0" fontId="23" fillId="24" borderId="13" xfId="196" applyFont="1" applyFill="1" applyBorder="1" applyAlignment="1">
      <alignment vertical="center" wrapText="1"/>
    </xf>
    <xf numFmtId="2" fontId="22" fillId="24" borderId="13" xfId="195" applyNumberFormat="1" applyFont="1" applyFill="1" applyBorder="1" applyAlignment="1">
      <alignment vertical="center"/>
    </xf>
    <xf numFmtId="2" fontId="23" fillId="24" borderId="13" xfId="196" applyNumberFormat="1" applyFont="1" applyFill="1" applyBorder="1" applyAlignment="1">
      <alignment vertical="center"/>
    </xf>
    <xf numFmtId="173" fontId="23" fillId="24" borderId="13" xfId="196" applyNumberFormat="1" applyFont="1" applyFill="1" applyBorder="1" applyAlignment="1">
      <alignment vertical="center"/>
    </xf>
    <xf numFmtId="2" fontId="22" fillId="24" borderId="13" xfId="197" applyNumberFormat="1" applyFont="1" applyFill="1" applyBorder="1" applyAlignment="1">
      <alignment vertical="center"/>
    </xf>
    <xf numFmtId="0" fontId="22" fillId="24" borderId="24" xfId="196" applyFont="1" applyFill="1" applyBorder="1" applyAlignment="1">
      <alignment vertical="center"/>
    </xf>
    <xf numFmtId="1" fontId="23" fillId="24" borderId="13" xfId="196" applyNumberFormat="1" applyFont="1" applyFill="1" applyBorder="1" applyAlignment="1">
      <alignment vertical="center"/>
    </xf>
    <xf numFmtId="172" fontId="23" fillId="24" borderId="13" xfId="1" applyNumberFormat="1" applyFont="1" applyFill="1" applyBorder="1" applyAlignment="1" applyProtection="1">
      <alignment vertical="center"/>
    </xf>
    <xf numFmtId="172" fontId="0" fillId="0" borderId="13" xfId="0" applyNumberFormat="1" applyBorder="1"/>
    <xf numFmtId="173" fontId="22" fillId="24" borderId="10" xfId="196" applyNumberFormat="1" applyFont="1" applyFill="1" applyBorder="1" applyAlignment="1">
      <alignment vertical="center" wrapText="1"/>
    </xf>
    <xf numFmtId="176" fontId="22" fillId="24" borderId="11" xfId="196" applyNumberFormat="1" applyFont="1" applyFill="1" applyBorder="1" applyAlignment="1">
      <alignment vertical="center"/>
    </xf>
    <xf numFmtId="173" fontId="22" fillId="24" borderId="11" xfId="195" applyNumberFormat="1" applyFont="1" applyFill="1" applyBorder="1" applyAlignment="1">
      <alignment vertical="center"/>
    </xf>
    <xf numFmtId="173" fontId="22" fillId="24" borderId="11" xfId="196" applyNumberFormat="1" applyFont="1" applyFill="1" applyBorder="1" applyAlignment="1">
      <alignment vertical="center"/>
    </xf>
    <xf numFmtId="173" fontId="22" fillId="38" borderId="11" xfId="198" applyNumberFormat="1" applyFont="1" applyFill="1" applyBorder="1" applyAlignment="1">
      <alignment vertical="center"/>
    </xf>
    <xf numFmtId="173" fontId="22" fillId="24" borderId="11" xfId="197" applyNumberFormat="1" applyFont="1" applyFill="1" applyBorder="1" applyAlignment="1">
      <alignment vertical="center"/>
    </xf>
    <xf numFmtId="178" fontId="36" fillId="24" borderId="10" xfId="196" applyNumberFormat="1" applyFont="1" applyFill="1" applyBorder="1" applyAlignment="1">
      <alignment vertical="center"/>
    </xf>
    <xf numFmtId="173" fontId="36" fillId="24" borderId="10" xfId="196" applyNumberFormat="1" applyFont="1" applyFill="1" applyBorder="1" applyAlignment="1">
      <alignment vertical="center"/>
    </xf>
    <xf numFmtId="179" fontId="22" fillId="24" borderId="17" xfId="199" applyNumberFormat="1" applyFont="1" applyFill="1" applyBorder="1" applyAlignment="1">
      <alignment vertical="center"/>
    </xf>
    <xf numFmtId="181" fontId="22" fillId="24" borderId="11" xfId="200" applyNumberFormat="1" applyFont="1" applyFill="1" applyBorder="1" applyAlignment="1">
      <alignment vertical="center"/>
    </xf>
    <xf numFmtId="0" fontId="22" fillId="29" borderId="12" xfId="196" applyFont="1" applyFill="1" applyBorder="1" applyAlignment="1">
      <alignment vertical="center" wrapText="1"/>
    </xf>
    <xf numFmtId="0" fontId="30" fillId="24" borderId="10" xfId="0" applyFont="1" applyFill="1" applyBorder="1"/>
    <xf numFmtId="0" fontId="22" fillId="24" borderId="14" xfId="196" applyFont="1" applyFill="1" applyBorder="1" applyAlignment="1">
      <alignment vertical="center" wrapText="1"/>
    </xf>
    <xf numFmtId="173" fontId="22" fillId="24" borderId="10" xfId="195" applyNumberFormat="1" applyFont="1" applyFill="1" applyBorder="1" applyAlignment="1">
      <alignment vertical="center"/>
    </xf>
    <xf numFmtId="0" fontId="27" fillId="41" borderId="10" xfId="194" applyFont="1" applyFill="1" applyBorder="1" applyAlignment="1">
      <alignment vertical="center"/>
    </xf>
    <xf numFmtId="0" fontId="22" fillId="38" borderId="10" xfId="194" applyFont="1" applyFill="1" applyBorder="1"/>
    <xf numFmtId="2" fontId="22" fillId="42" borderId="10" xfId="194" applyNumberFormat="1" applyFont="1" applyFill="1" applyBorder="1" applyAlignment="1">
      <alignment vertical="center"/>
    </xf>
    <xf numFmtId="0" fontId="22" fillId="41" borderId="10" xfId="194" applyFont="1" applyFill="1" applyBorder="1" applyAlignment="1">
      <alignment vertical="center"/>
    </xf>
    <xf numFmtId="0" fontId="22" fillId="29" borderId="16" xfId="196" applyFont="1" applyFill="1" applyBorder="1" applyAlignment="1">
      <alignment vertical="center" wrapText="1"/>
    </xf>
    <xf numFmtId="0" fontId="30" fillId="24" borderId="11" xfId="0" applyFont="1" applyFill="1" applyBorder="1" applyAlignment="1">
      <alignment vertical="center"/>
    </xf>
    <xf numFmtId="0" fontId="22" fillId="24" borderId="17" xfId="196" applyFont="1" applyFill="1" applyBorder="1" applyAlignment="1">
      <alignment vertical="center" wrapText="1"/>
    </xf>
    <xf numFmtId="173" fontId="22" fillId="24" borderId="11" xfId="196" applyNumberFormat="1" applyFont="1" applyFill="1" applyBorder="1" applyAlignment="1">
      <alignment vertical="center" wrapText="1"/>
    </xf>
    <xf numFmtId="0" fontId="22" fillId="24" borderId="16" xfId="196" applyFont="1" applyFill="1" applyBorder="1" applyAlignment="1">
      <alignment vertical="center"/>
    </xf>
    <xf numFmtId="2" fontId="27" fillId="41" borderId="11" xfId="194" applyNumberFormat="1" applyFont="1" applyFill="1" applyBorder="1" applyAlignment="1">
      <alignment vertical="center"/>
    </xf>
    <xf numFmtId="0" fontId="22" fillId="38" borderId="11" xfId="194" applyFont="1" applyFill="1" applyBorder="1"/>
    <xf numFmtId="0" fontId="30" fillId="24" borderId="10" xfId="0" applyFont="1" applyFill="1" applyBorder="1" applyAlignment="1">
      <alignment vertical="center"/>
    </xf>
    <xf numFmtId="0" fontId="22" fillId="29" borderId="18" xfId="196" applyFont="1" applyFill="1" applyBorder="1" applyAlignment="1">
      <alignment vertical="center" wrapText="1"/>
    </xf>
    <xf numFmtId="0" fontId="30" fillId="0" borderId="15" xfId="0" applyFont="1" applyBorder="1" applyAlignment="1">
      <alignment vertical="center"/>
    </xf>
    <xf numFmtId="173" fontId="22" fillId="0" borderId="10" xfId="196" applyNumberFormat="1" applyFont="1" applyBorder="1" applyAlignment="1">
      <alignment vertical="center" wrapText="1"/>
    </xf>
    <xf numFmtId="0" fontId="22" fillId="0" borderId="15" xfId="196" applyFont="1" applyBorder="1" applyAlignment="1">
      <alignment vertical="center" wrapText="1"/>
    </xf>
    <xf numFmtId="0" fontId="22" fillId="0" borderId="15" xfId="196" applyFont="1" applyBorder="1" applyAlignment="1">
      <alignment vertical="center"/>
    </xf>
    <xf numFmtId="2" fontId="22" fillId="0" borderId="15" xfId="195" applyNumberFormat="1" applyFont="1" applyBorder="1" applyAlignment="1">
      <alignment vertical="center"/>
    </xf>
    <xf numFmtId="167" fontId="22" fillId="0" borderId="15" xfId="196" applyNumberFormat="1" applyFont="1" applyBorder="1" applyAlignment="1">
      <alignment vertical="center"/>
    </xf>
    <xf numFmtId="168" fontId="36" fillId="0" borderId="10" xfId="1" applyNumberFormat="1" applyFont="1" applyBorder="1" applyAlignment="1" applyProtection="1">
      <alignment vertical="center"/>
    </xf>
    <xf numFmtId="167" fontId="22" fillId="0" borderId="10" xfId="194" applyNumberFormat="1" applyFont="1" applyBorder="1" applyAlignment="1">
      <alignment vertical="center"/>
    </xf>
    <xf numFmtId="2" fontId="22" fillId="38" borderId="10" xfId="194" applyNumberFormat="1" applyFont="1" applyFill="1" applyBorder="1"/>
    <xf numFmtId="2" fontId="27" fillId="41" borderId="10" xfId="194" applyNumberFormat="1" applyFont="1" applyFill="1" applyBorder="1" applyAlignment="1">
      <alignment vertical="center"/>
    </xf>
    <xf numFmtId="173" fontId="22" fillId="0" borderId="11" xfId="196" applyNumberFormat="1" applyFont="1" applyBorder="1" applyAlignment="1">
      <alignment vertical="center" wrapText="1"/>
    </xf>
    <xf numFmtId="171" fontId="22" fillId="24" borderId="11" xfId="196" applyNumberFormat="1" applyFont="1" applyFill="1" applyBorder="1" applyAlignment="1">
      <alignment vertical="center"/>
    </xf>
    <xf numFmtId="2" fontId="22" fillId="0" borderId="11" xfId="194" applyNumberFormat="1" applyFont="1" applyBorder="1" applyAlignment="1">
      <alignment vertical="center"/>
    </xf>
    <xf numFmtId="2" fontId="22" fillId="38" borderId="11" xfId="194" applyNumberFormat="1" applyFont="1" applyFill="1" applyBorder="1"/>
    <xf numFmtId="0" fontId="37" fillId="0" borderId="10" xfId="194" applyFont="1" applyBorder="1" applyAlignment="1">
      <alignment vertical="center"/>
    </xf>
    <xf numFmtId="0" fontId="37" fillId="47" borderId="10" xfId="196" applyFont="1" applyFill="1" applyBorder="1" applyAlignment="1">
      <alignment vertical="center" wrapText="1"/>
    </xf>
    <xf numFmtId="0" fontId="37" fillId="44" borderId="10" xfId="196" applyFont="1" applyFill="1" applyBorder="1" applyAlignment="1">
      <alignment vertical="center"/>
    </xf>
    <xf numFmtId="0" fontId="37" fillId="44" borderId="10" xfId="194" applyFont="1" applyFill="1" applyBorder="1" applyAlignment="1">
      <alignment vertical="center"/>
    </xf>
    <xf numFmtId="167" fontId="37" fillId="44" borderId="10" xfId="194" applyNumberFormat="1" applyFont="1" applyFill="1" applyBorder="1" applyAlignment="1">
      <alignment vertical="center"/>
    </xf>
    <xf numFmtId="2" fontId="37" fillId="44" borderId="10" xfId="194" applyNumberFormat="1" applyFont="1" applyFill="1" applyBorder="1" applyAlignment="1">
      <alignment vertical="center"/>
    </xf>
    <xf numFmtId="2" fontId="37" fillId="0" borderId="10" xfId="194" applyNumberFormat="1" applyFont="1" applyBorder="1" applyAlignment="1">
      <alignment vertical="center"/>
    </xf>
    <xf numFmtId="173" fontId="38" fillId="45" borderId="10" xfId="198" applyNumberFormat="1" applyFont="1" applyFill="1" applyBorder="1" applyAlignment="1">
      <alignment vertical="center" wrapText="1"/>
    </xf>
    <xf numFmtId="173" fontId="37" fillId="48" borderId="10" xfId="196" applyNumberFormat="1" applyFont="1" applyFill="1" applyBorder="1" applyAlignment="1">
      <alignment vertical="center" wrapText="1"/>
    </xf>
    <xf numFmtId="0" fontId="22" fillId="123" borderId="10" xfId="194" applyFont="1" applyFill="1" applyBorder="1" applyAlignment="1">
      <alignment vertical="center"/>
    </xf>
    <xf numFmtId="0" fontId="37" fillId="43" borderId="10" xfId="196" applyFont="1" applyFill="1" applyBorder="1" applyAlignment="1">
      <alignment vertical="center" wrapText="1"/>
    </xf>
    <xf numFmtId="0" fontId="37" fillId="46" borderId="23" xfId="196" applyFont="1" applyFill="1" applyBorder="1" applyAlignment="1">
      <alignment vertical="center" wrapText="1"/>
    </xf>
    <xf numFmtId="43" fontId="37" fillId="44" borderId="10" xfId="194" applyNumberFormat="1" applyFont="1" applyFill="1" applyBorder="1" applyAlignment="1">
      <alignment vertical="center"/>
    </xf>
    <xf numFmtId="183" fontId="37" fillId="44" borderId="10" xfId="1" applyNumberFormat="1" applyFont="1" applyFill="1" applyBorder="1" applyAlignment="1">
      <alignment vertical="center"/>
    </xf>
    <xf numFmtId="171" fontId="23" fillId="24" borderId="10" xfId="196" applyNumberFormat="1" applyFont="1" applyFill="1" applyBorder="1" applyAlignment="1">
      <alignment vertical="center"/>
    </xf>
    <xf numFmtId="0" fontId="23" fillId="124" borderId="13" xfId="196" applyFont="1" applyFill="1" applyBorder="1" applyAlignment="1">
      <alignment vertical="center" wrapText="1"/>
    </xf>
    <xf numFmtId="0" fontId="23" fillId="30" borderId="10" xfId="195" applyFont="1" applyFill="1" applyBorder="1" applyAlignment="1">
      <alignment vertical="center" wrapText="1"/>
    </xf>
    <xf numFmtId="0" fontId="26" fillId="31" borderId="10" xfId="195" applyFont="1" applyFill="1" applyBorder="1" applyAlignment="1">
      <alignment vertical="center"/>
    </xf>
    <xf numFmtId="2" fontId="23" fillId="32" borderId="10" xfId="195" applyNumberFormat="1" applyFont="1" applyFill="1" applyBorder="1" applyAlignment="1">
      <alignment vertical="center"/>
    </xf>
    <xf numFmtId="2" fontId="23" fillId="33" borderId="10" xfId="195" applyNumberFormat="1" applyFont="1" applyFill="1" applyBorder="1" applyAlignment="1">
      <alignment vertical="center"/>
    </xf>
    <xf numFmtId="2" fontId="23" fillId="34" borderId="10" xfId="195" applyNumberFormat="1" applyFont="1" applyFill="1" applyBorder="1" applyAlignment="1">
      <alignment vertical="center"/>
    </xf>
    <xf numFmtId="0" fontId="23" fillId="33" borderId="10" xfId="194" applyFont="1" applyFill="1" applyBorder="1" applyAlignment="1">
      <alignment vertical="center"/>
    </xf>
    <xf numFmtId="0" fontId="22" fillId="35" borderId="10" xfId="194" applyFont="1" applyFill="1" applyBorder="1" applyAlignment="1">
      <alignment vertical="center"/>
    </xf>
    <xf numFmtId="0" fontId="22" fillId="24" borderId="0" xfId="194" applyFont="1" applyFill="1" applyAlignment="1">
      <alignment vertical="center"/>
    </xf>
    <xf numFmtId="0" fontId="0" fillId="24" borderId="0" xfId="0" applyFill="1"/>
    <xf numFmtId="0" fontId="22" fillId="24" borderId="0" xfId="194" applyFont="1" applyFill="1" applyAlignment="1">
      <alignment horizontal="right" vertical="center"/>
    </xf>
    <xf numFmtId="0" fontId="0" fillId="24" borderId="0" xfId="0" applyFill="1" applyAlignment="1">
      <alignment horizontal="right"/>
    </xf>
    <xf numFmtId="0" fontId="23" fillId="30" borderId="10" xfId="195" applyFont="1" applyFill="1" applyBorder="1" applyAlignment="1">
      <alignment horizontal="center" vertical="center" wrapText="1"/>
    </xf>
    <xf numFmtId="0" fontId="26" fillId="31" borderId="10" xfId="195" applyFont="1" applyFill="1" applyBorder="1" applyAlignment="1">
      <alignment horizontal="center" vertical="center"/>
    </xf>
    <xf numFmtId="2" fontId="23" fillId="32" borderId="10" xfId="195" applyNumberFormat="1" applyFont="1" applyFill="1" applyBorder="1" applyAlignment="1">
      <alignment horizontal="center" vertical="center"/>
    </xf>
    <xf numFmtId="2" fontId="23" fillId="33" borderId="10" xfId="195" applyNumberFormat="1" applyFont="1" applyFill="1" applyBorder="1" applyAlignment="1">
      <alignment horizontal="center" vertical="center"/>
    </xf>
    <xf numFmtId="2" fontId="23" fillId="34" borderId="10" xfId="195" applyNumberFormat="1" applyFont="1" applyFill="1" applyBorder="1" applyAlignment="1">
      <alignment horizontal="center" vertical="center"/>
    </xf>
    <xf numFmtId="0" fontId="23" fillId="33" borderId="10" xfId="194" applyFont="1" applyFill="1" applyBorder="1" applyAlignment="1">
      <alignment horizontal="center" vertical="center"/>
    </xf>
    <xf numFmtId="0" fontId="22" fillId="35" borderId="10" xfId="194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</cellXfs>
  <cellStyles count="382">
    <cellStyle name="20% - Accent1 1" xfId="3" xr:uid="{00000000-0005-0000-0000-000006000000}"/>
    <cellStyle name="20% - Accent1 2" xfId="4" xr:uid="{00000000-0005-0000-0000-000007000000}"/>
    <cellStyle name="20% - Accent1 2 2" xfId="214" xr:uid="{F735E431-5550-49E0-8ABF-5FC462748C01}"/>
    <cellStyle name="20% - Accent1 2 3" xfId="261" xr:uid="{0DF0E2F9-3057-46B9-85EB-492302C96EC0}"/>
    <cellStyle name="20% - Accent1 3" xfId="5" xr:uid="{00000000-0005-0000-0000-000008000000}"/>
    <cellStyle name="20% - Accent1 4" xfId="6" xr:uid="{00000000-0005-0000-0000-000009000000}"/>
    <cellStyle name="20% - Accent1 5" xfId="230" xr:uid="{0423ACCF-DAFC-4451-BF3D-6BE7BFFAA90D}"/>
    <cellStyle name="20% - Accent2 1" xfId="7" xr:uid="{00000000-0005-0000-0000-00000A000000}"/>
    <cellStyle name="20% - Accent2 2" xfId="8" xr:uid="{00000000-0005-0000-0000-00000B000000}"/>
    <cellStyle name="20% - Accent2 2 2" xfId="263" xr:uid="{2C5E4B46-441B-48B1-B39E-93DC8C3B17BB}"/>
    <cellStyle name="20% - Accent2 2 3" xfId="262" xr:uid="{63476DA0-D773-4F20-81D2-22F8555970F2}"/>
    <cellStyle name="20% - Accent2 3" xfId="9" xr:uid="{00000000-0005-0000-0000-00000C000000}"/>
    <cellStyle name="20% - Accent2 4" xfId="10" xr:uid="{00000000-0005-0000-0000-00000D000000}"/>
    <cellStyle name="20% - Accent2 5" xfId="242" xr:uid="{06B7088D-4B83-4F28-BA5C-AED31B244F00}"/>
    <cellStyle name="20% - Accent3 1" xfId="11" xr:uid="{00000000-0005-0000-0000-00000E000000}"/>
    <cellStyle name="20% - Accent3 2" xfId="12" xr:uid="{00000000-0005-0000-0000-00000F000000}"/>
    <cellStyle name="20% - Accent3 2 2" xfId="226" xr:uid="{00BC6F5E-38BA-4757-A825-191E94647378}"/>
    <cellStyle name="20% - Accent3 2 3" xfId="222" xr:uid="{5D099AE6-E3B9-433C-ACC7-F5D46A38169C}"/>
    <cellStyle name="20% - Accent3 3" xfId="13" xr:uid="{00000000-0005-0000-0000-000010000000}"/>
    <cellStyle name="20% - Accent3 4" xfId="14" xr:uid="{00000000-0005-0000-0000-000011000000}"/>
    <cellStyle name="20% - Accent3 5" xfId="248" xr:uid="{DCE04CE0-1F37-41D9-BDFA-F4D9A73E4402}"/>
    <cellStyle name="20% - Accent4 1" xfId="15" xr:uid="{00000000-0005-0000-0000-000012000000}"/>
    <cellStyle name="20% - Accent4 2" xfId="16" xr:uid="{00000000-0005-0000-0000-000013000000}"/>
    <cellStyle name="20% - Accent4 2 2" xfId="249" xr:uid="{D2A34FC0-AFCB-4194-81F2-6C1E59D16C40}"/>
    <cellStyle name="20% - Accent4 2 3" xfId="252" xr:uid="{982FFED8-3C0D-4627-81B3-C7FCE4F68D50}"/>
    <cellStyle name="20% - Accent4 3" xfId="17" xr:uid="{00000000-0005-0000-0000-000014000000}"/>
    <cellStyle name="20% - Accent4 4" xfId="18" xr:uid="{00000000-0005-0000-0000-000015000000}"/>
    <cellStyle name="20% - Accent4 5" xfId="251" xr:uid="{4B0DA3ED-8A7E-488C-BDDE-AD39EBADCE30}"/>
    <cellStyle name="20% - Accent5 1" xfId="19" xr:uid="{00000000-0005-0000-0000-000016000000}"/>
    <cellStyle name="20% - Accent5 2" xfId="20" xr:uid="{00000000-0005-0000-0000-000017000000}"/>
    <cellStyle name="20% - Accent5 2 2" xfId="232" xr:uid="{477C772D-D365-4880-A842-0A6F05C89CAE}"/>
    <cellStyle name="20% - Accent5 2 3" xfId="264" xr:uid="{85563B4C-E563-4812-B446-0E02A319FD03}"/>
    <cellStyle name="20% - Accent5 3" xfId="21" xr:uid="{00000000-0005-0000-0000-000018000000}"/>
    <cellStyle name="20% - Accent5 4" xfId="22" xr:uid="{00000000-0005-0000-0000-000019000000}"/>
    <cellStyle name="20% - Accent5 5" xfId="239" xr:uid="{5AC063F0-DF0A-4272-87C9-387A48874CDC}"/>
    <cellStyle name="20% - Accent6 1" xfId="23" xr:uid="{00000000-0005-0000-0000-00001A000000}"/>
    <cellStyle name="20% - Accent6 2" xfId="24" xr:uid="{00000000-0005-0000-0000-00001B000000}"/>
    <cellStyle name="20% - Accent6 2 2" xfId="266" xr:uid="{16DD93CE-8F5C-47CD-A7E3-9E62E3571F76}"/>
    <cellStyle name="20% - Accent6 2 3" xfId="265" xr:uid="{02C37FB0-3F62-4B24-B1FF-1FB742638292}"/>
    <cellStyle name="20% - Accent6 3" xfId="25" xr:uid="{00000000-0005-0000-0000-00001C000000}"/>
    <cellStyle name="20% - Accent6 4" xfId="26" xr:uid="{00000000-0005-0000-0000-00001D000000}"/>
    <cellStyle name="20% - Accent6 5" xfId="244" xr:uid="{5F826845-DF1A-4F25-8357-216D71852609}"/>
    <cellStyle name="20% - Akzent1" xfId="370" xr:uid="{2F431B55-5E33-4E10-B493-F42DDFF59608}"/>
    <cellStyle name="20% - Akzent2" xfId="319" xr:uid="{1FC0CBD4-64CA-448F-AB45-A391F1F7A15D}"/>
    <cellStyle name="20% - Akzent3" xfId="323" xr:uid="{E2FE2056-1EC4-4BE0-8667-FFA0A9E1C4AE}"/>
    <cellStyle name="20% - Akzent4" xfId="335" xr:uid="{5BAA63CF-C54D-43D9-AEF3-5397EBEF7547}"/>
    <cellStyle name="20% - Akzent5" xfId="369" xr:uid="{8EC2D915-B765-4331-9641-B07DD722ECD8}"/>
    <cellStyle name="20% - Akzent6" xfId="313" xr:uid="{C46D055F-7619-4C9B-B6A6-3D5DFBDC31B2}"/>
    <cellStyle name="40% - Accent1 1" xfId="27" xr:uid="{00000000-0005-0000-0000-00001E000000}"/>
    <cellStyle name="40% - Accent1 2" xfId="28" xr:uid="{00000000-0005-0000-0000-00001F000000}"/>
    <cellStyle name="40% - Accent1 2 2" xfId="267" xr:uid="{1917EC6C-9A70-4E3F-85FA-28DE080DC4BB}"/>
    <cellStyle name="40% - Accent1 3" xfId="29" xr:uid="{00000000-0005-0000-0000-000020000000}"/>
    <cellStyle name="40% - Accent1 4" xfId="30" xr:uid="{00000000-0005-0000-0000-000021000000}"/>
    <cellStyle name="40% - Accent1 5" xfId="202" xr:uid="{11AFBA35-FAF5-4E00-9A1A-F6AF3CA72D82}"/>
    <cellStyle name="40% - Accent2 1" xfId="31" xr:uid="{00000000-0005-0000-0000-000022000000}"/>
    <cellStyle name="40% - Accent2 2" xfId="32" xr:uid="{00000000-0005-0000-0000-000023000000}"/>
    <cellStyle name="40% - Accent2 2 2" xfId="243" xr:uid="{77779B72-B1FF-453D-9701-2EBCD073428F}"/>
    <cellStyle name="40% - Accent2 3" xfId="33" xr:uid="{00000000-0005-0000-0000-000024000000}"/>
    <cellStyle name="40% - Accent2 4" xfId="34" xr:uid="{00000000-0005-0000-0000-000025000000}"/>
    <cellStyle name="40% - Accent2 5" xfId="217" xr:uid="{43D5387D-B142-4888-B75B-3BFAFB793F3F}"/>
    <cellStyle name="40% - Accent3 1" xfId="35" xr:uid="{00000000-0005-0000-0000-000026000000}"/>
    <cellStyle name="40% - Accent3 2" xfId="36" xr:uid="{00000000-0005-0000-0000-000027000000}"/>
    <cellStyle name="40% - Accent3 2 2" xfId="268" xr:uid="{D3B9CA22-54C6-4AD6-92E6-F390DC5D5728}"/>
    <cellStyle name="40% - Accent3 3" xfId="37" xr:uid="{00000000-0005-0000-0000-000028000000}"/>
    <cellStyle name="40% - Accent3 4" xfId="38" xr:uid="{00000000-0005-0000-0000-000029000000}"/>
    <cellStyle name="40% - Accent3 5" xfId="215" xr:uid="{41C2DF84-9518-424E-8CB4-218FAC47CC72}"/>
    <cellStyle name="40% - Accent4 1" xfId="39" xr:uid="{00000000-0005-0000-0000-00002A000000}"/>
    <cellStyle name="40% - Accent4 2" xfId="40" xr:uid="{00000000-0005-0000-0000-00002B000000}"/>
    <cellStyle name="40% - Accent4 2 2" xfId="269" xr:uid="{427C92DB-BB9A-4B8C-AADF-51C5290E5288}"/>
    <cellStyle name="40% - Accent4 3" xfId="41" xr:uid="{00000000-0005-0000-0000-00002C000000}"/>
    <cellStyle name="40% - Accent4 4" xfId="42" xr:uid="{00000000-0005-0000-0000-00002D000000}"/>
    <cellStyle name="40% - Accent4 5" xfId="253" xr:uid="{4ED0F887-01D0-4B90-9764-233564093A9B}"/>
    <cellStyle name="40% - Accent5 1" xfId="43" xr:uid="{00000000-0005-0000-0000-00002E000000}"/>
    <cellStyle name="40% - Accent5 2" xfId="44" xr:uid="{00000000-0005-0000-0000-00002F000000}"/>
    <cellStyle name="40% - Accent5 2 2" xfId="270" xr:uid="{AC0ACE9E-EA30-4FF6-9BF8-D628B1F5BECF}"/>
    <cellStyle name="40% - Accent5 3" xfId="45" xr:uid="{00000000-0005-0000-0000-000030000000}"/>
    <cellStyle name="40% - Accent5 4" xfId="46" xr:uid="{00000000-0005-0000-0000-000031000000}"/>
    <cellStyle name="40% - Accent5 5" xfId="255" xr:uid="{FA766532-D711-4C41-98A9-14ED20B0C5B8}"/>
    <cellStyle name="40% - Accent6 1" xfId="47" xr:uid="{00000000-0005-0000-0000-000032000000}"/>
    <cellStyle name="40% - Accent6 2" xfId="48" xr:uid="{00000000-0005-0000-0000-000033000000}"/>
    <cellStyle name="40% - Accent6 2 2" xfId="271" xr:uid="{8821DAF8-C6A6-4CB3-BA9C-A362EC7C8F76}"/>
    <cellStyle name="40% - Accent6 3" xfId="49" xr:uid="{00000000-0005-0000-0000-000034000000}"/>
    <cellStyle name="40% - Accent6 4" xfId="50" xr:uid="{00000000-0005-0000-0000-000035000000}"/>
    <cellStyle name="40% - Accent6 5" xfId="259" xr:uid="{265AA6FA-D77C-4D28-A7B0-C288A7327D11}"/>
    <cellStyle name="40% - Akzent1" xfId="338" xr:uid="{FE88E40B-0ED8-4E90-9FE6-38B13B8B5EBC}"/>
    <cellStyle name="40% - Akzent2" xfId="324" xr:uid="{A8C485DF-D28D-475E-875C-32AEEC44B4B2}"/>
    <cellStyle name="40% - Akzent3" xfId="353" xr:uid="{A32E28B4-52EA-4A87-9080-0702F014729C}"/>
    <cellStyle name="40% - Akzent4" xfId="308" xr:uid="{C686632A-CE68-475B-82C8-A2118CF60710}"/>
    <cellStyle name="40% - Akzent5" xfId="331" xr:uid="{2C2FB630-4C59-43B6-8EC5-D8EA770B10A5}"/>
    <cellStyle name="40% - Akzent6" xfId="354" xr:uid="{BCAFF144-91DB-4BF0-99F1-EBFEAE578397}"/>
    <cellStyle name="60% - Accent1 1" xfId="51" xr:uid="{00000000-0005-0000-0000-000036000000}"/>
    <cellStyle name="60% - Accent1 2" xfId="52" xr:uid="{00000000-0005-0000-0000-000037000000}"/>
    <cellStyle name="60% - Accent1 2 2" xfId="273" xr:uid="{F406A67A-89E9-4216-B088-F35B7FDC14C5}"/>
    <cellStyle name="60% - Accent1 2 3" xfId="272" xr:uid="{64F43A3B-7159-49EB-86F7-0C3EFC8FAC6A}"/>
    <cellStyle name="60% - Accent1 3" xfId="53" xr:uid="{00000000-0005-0000-0000-000038000000}"/>
    <cellStyle name="60% - Accent1 4" xfId="54" xr:uid="{00000000-0005-0000-0000-000039000000}"/>
    <cellStyle name="60% - Accent1 5" xfId="240" xr:uid="{934B5B58-917A-4449-B2C7-BB3675E9BC06}"/>
    <cellStyle name="60% - Accent2 1" xfId="55" xr:uid="{00000000-0005-0000-0000-00003A000000}"/>
    <cellStyle name="60% - Accent2 2" xfId="56" xr:uid="{00000000-0005-0000-0000-00003B000000}"/>
    <cellStyle name="60% - Accent2 2 2" xfId="275" xr:uid="{2704DC50-EC2A-4707-9773-8DAAFE50C98B}"/>
    <cellStyle name="60% - Accent2 2 3" xfId="274" xr:uid="{7B1F2AEE-2085-43FE-9B13-B839439B6E94}"/>
    <cellStyle name="60% - Accent2 3" xfId="57" xr:uid="{00000000-0005-0000-0000-00003C000000}"/>
    <cellStyle name="60% - Accent2 4" xfId="58" xr:uid="{00000000-0005-0000-0000-00003D000000}"/>
    <cellStyle name="60% - Accent2 5" xfId="246" xr:uid="{670494E6-02EF-46AA-B387-692792949A19}"/>
    <cellStyle name="60% - Accent3 1" xfId="59" xr:uid="{00000000-0005-0000-0000-00003E000000}"/>
    <cellStyle name="60% - Accent3 2" xfId="60" xr:uid="{00000000-0005-0000-0000-00003F000000}"/>
    <cellStyle name="60% - Accent3 2 2" xfId="277" xr:uid="{9ED9E990-8AB2-4EFC-AAE4-891595DF7368}"/>
    <cellStyle name="60% - Accent3 2 3" xfId="235" xr:uid="{9C48337F-48A6-4BC8-8675-511F6A7C237E}"/>
    <cellStyle name="60% - Accent3 3" xfId="61" xr:uid="{00000000-0005-0000-0000-000040000000}"/>
    <cellStyle name="60% - Accent3 4" xfId="62" xr:uid="{00000000-0005-0000-0000-000041000000}"/>
    <cellStyle name="60% - Accent3 5" xfId="227" xr:uid="{AE5D1CBC-D5E5-4357-B363-12FB2ED20861}"/>
    <cellStyle name="60% - Accent4 1" xfId="63" xr:uid="{00000000-0005-0000-0000-000042000000}"/>
    <cellStyle name="60% - Accent4 2" xfId="64" xr:uid="{00000000-0005-0000-0000-000043000000}"/>
    <cellStyle name="60% - Accent4 2 2" xfId="279" xr:uid="{D124E40C-7C7C-4CF4-81E1-B0AD016749A5}"/>
    <cellStyle name="60% - Accent4 2 3" xfId="278" xr:uid="{486EA036-7E7B-4F78-977B-498B0AD63B77}"/>
    <cellStyle name="60% - Accent4 3" xfId="65" xr:uid="{00000000-0005-0000-0000-000044000000}"/>
    <cellStyle name="60% - Accent4 4" xfId="66" xr:uid="{00000000-0005-0000-0000-000045000000}"/>
    <cellStyle name="60% - Accent4 5" xfId="209" xr:uid="{7067CA48-6B6F-448D-AE87-54F0B926E10C}"/>
    <cellStyle name="60% - Accent5 1" xfId="67" xr:uid="{00000000-0005-0000-0000-000046000000}"/>
    <cellStyle name="60% - Accent5 2" xfId="68" xr:uid="{00000000-0005-0000-0000-000047000000}"/>
    <cellStyle name="60% - Accent5 2 2" xfId="281" xr:uid="{F5DE5DB1-E264-4F4A-91D4-C1AD8A33EB74}"/>
    <cellStyle name="60% - Accent5 2 3" xfId="280" xr:uid="{A610B23E-CFD8-4CCC-905C-6CEEA9FB8F99}"/>
    <cellStyle name="60% - Accent5 3" xfId="69" xr:uid="{00000000-0005-0000-0000-000048000000}"/>
    <cellStyle name="60% - Accent5 4" xfId="70" xr:uid="{00000000-0005-0000-0000-000049000000}"/>
    <cellStyle name="60% - Accent5 5" xfId="256" xr:uid="{C23D9A85-96D2-4981-BC0F-F03E28829471}"/>
    <cellStyle name="60% - Accent6 1" xfId="71" xr:uid="{00000000-0005-0000-0000-00004A000000}"/>
    <cellStyle name="60% - Accent6 2" xfId="72" xr:uid="{00000000-0005-0000-0000-00004B000000}"/>
    <cellStyle name="60% - Accent6 2 2" xfId="283" xr:uid="{137E8444-37CA-41B5-8CBE-1121C25F013E}"/>
    <cellStyle name="60% - Accent6 2 3" xfId="282" xr:uid="{C7DAE6A6-067F-4523-82A6-A2222876C36E}"/>
    <cellStyle name="60% - Accent6 3" xfId="73" xr:uid="{00000000-0005-0000-0000-00004C000000}"/>
    <cellStyle name="60% - Accent6 4" xfId="74" xr:uid="{00000000-0005-0000-0000-00004D000000}"/>
    <cellStyle name="60% - Accent6 5" xfId="260" xr:uid="{C85390F9-B654-47DC-A1DC-67AA661ACB22}"/>
    <cellStyle name="60% - Akzent1" xfId="375" xr:uid="{1443E2BB-91C7-49CF-B66F-DA759E6ACAA1}"/>
    <cellStyle name="60% - Akzent2" xfId="342" xr:uid="{6B66FCC3-4B27-42F5-903D-06F9D804CAA6}"/>
    <cellStyle name="60% - Akzent3" xfId="376" xr:uid="{2535FCF0-2B3E-4ABC-B604-9F6008CED3DA}"/>
    <cellStyle name="60% - Akzent4" xfId="326" xr:uid="{2BD80924-C799-4D0C-B919-76FE56C7930A}"/>
    <cellStyle name="60% - Akzent5" xfId="365" xr:uid="{464DD0E1-9693-4A92-8094-4E7981F1E0E5}"/>
    <cellStyle name="60% - Akzent6" xfId="329" xr:uid="{F4D3594A-974D-4703-A073-0493B6A2B99C}"/>
    <cellStyle name="Accent1 1" xfId="75" xr:uid="{00000000-0005-0000-0000-00004E000000}"/>
    <cellStyle name="Accent1 2" xfId="76" xr:uid="{00000000-0005-0000-0000-00004F000000}"/>
    <cellStyle name="Accent1 2 2" xfId="284" xr:uid="{0C48A9EA-F53E-4B07-A627-8B47EED66CE9}"/>
    <cellStyle name="Accent1 3" xfId="77" xr:uid="{00000000-0005-0000-0000-000050000000}"/>
    <cellStyle name="Accent1 4" xfId="78" xr:uid="{00000000-0005-0000-0000-000051000000}"/>
    <cellStyle name="Accent1 5" xfId="238" xr:uid="{31D5336D-DE87-4653-AF93-5B00E3CE6378}"/>
    <cellStyle name="Accent2 1" xfId="79" xr:uid="{00000000-0005-0000-0000-000052000000}"/>
    <cellStyle name="Accent2 2" xfId="80" xr:uid="{00000000-0005-0000-0000-000053000000}"/>
    <cellStyle name="Accent2 2 2" xfId="285" xr:uid="{A2CAC516-8B6F-47BA-A419-E7383F061795}"/>
    <cellStyle name="Accent2 3" xfId="81" xr:uid="{00000000-0005-0000-0000-000054000000}"/>
    <cellStyle name="Accent2 4" xfId="82" xr:uid="{00000000-0005-0000-0000-000055000000}"/>
    <cellStyle name="Accent2 5" xfId="241" xr:uid="{52F77D03-2912-4D55-BD57-00C8F9A19B9F}"/>
    <cellStyle name="Accent3 1" xfId="83" xr:uid="{00000000-0005-0000-0000-000056000000}"/>
    <cellStyle name="Accent3 2" xfId="84" xr:uid="{00000000-0005-0000-0000-000057000000}"/>
    <cellStyle name="Accent3 2 2" xfId="286" xr:uid="{21B71FA5-FAF2-4634-B07F-BB5802145D6C}"/>
    <cellStyle name="Accent3 3" xfId="85" xr:uid="{00000000-0005-0000-0000-000058000000}"/>
    <cellStyle name="Accent3 4" xfId="86" xr:uid="{00000000-0005-0000-0000-000059000000}"/>
    <cellStyle name="Accent3 5" xfId="247" xr:uid="{F94FF297-239B-4B16-B08E-DF546EF4E6EF}"/>
    <cellStyle name="Accent4 1" xfId="87" xr:uid="{00000000-0005-0000-0000-00005A000000}"/>
    <cellStyle name="Accent4 2" xfId="88" xr:uid="{00000000-0005-0000-0000-00005B000000}"/>
    <cellStyle name="Accent4 2 2" xfId="257" xr:uid="{6ED693F1-0597-4091-9261-7DE688077256}"/>
    <cellStyle name="Accent4 3" xfId="89" xr:uid="{00000000-0005-0000-0000-00005C000000}"/>
    <cellStyle name="Accent4 4" xfId="90" xr:uid="{00000000-0005-0000-0000-00005D000000}"/>
    <cellStyle name="Accent4 5" xfId="250" xr:uid="{BB2187E5-4168-4A48-A922-BEA0671116DC}"/>
    <cellStyle name="Accent5 1" xfId="91" xr:uid="{00000000-0005-0000-0000-00005E000000}"/>
    <cellStyle name="Accent5 2" xfId="92" xr:uid="{00000000-0005-0000-0000-00005F000000}"/>
    <cellStyle name="Accent5 2 2" xfId="287" xr:uid="{4D66F7F1-D49D-4E9E-992A-31F273255FDB}"/>
    <cellStyle name="Accent5 3" xfId="93" xr:uid="{00000000-0005-0000-0000-000060000000}"/>
    <cellStyle name="Accent5 4" xfId="94" xr:uid="{00000000-0005-0000-0000-000061000000}"/>
    <cellStyle name="Accent5 5" xfId="254" xr:uid="{C442DA58-983C-4D2D-AB31-272BD688E06E}"/>
    <cellStyle name="Accent6 1" xfId="95" xr:uid="{00000000-0005-0000-0000-000062000000}"/>
    <cellStyle name="Accent6 2" xfId="96" xr:uid="{00000000-0005-0000-0000-000063000000}"/>
    <cellStyle name="Accent6 2 2" xfId="288" xr:uid="{20CA2699-C1BB-4F62-BBAC-70C96A846CD9}"/>
    <cellStyle name="Accent6 3" xfId="97" xr:uid="{00000000-0005-0000-0000-000064000000}"/>
    <cellStyle name="Accent6 4" xfId="98" xr:uid="{00000000-0005-0000-0000-000065000000}"/>
    <cellStyle name="Accent6 5" xfId="258" xr:uid="{3AB7E642-66D3-44B8-940E-3C8164FDDA20}"/>
    <cellStyle name="Akzent1" xfId="328" xr:uid="{7B8BCEBF-1FC1-427D-9166-89CF5DB451F1}"/>
    <cellStyle name="Akzent2" xfId="373" xr:uid="{1A7AB49F-DD62-4D0A-8E6D-38C3173E8891}"/>
    <cellStyle name="Akzent3" xfId="344" xr:uid="{98707C92-3B94-458E-9D11-1698C2981345}"/>
    <cellStyle name="Akzent4" xfId="367" xr:uid="{4132E5A3-65B1-471C-B333-060AC86C926A}"/>
    <cellStyle name="Akzent5" xfId="345" xr:uid="{7EE3DA20-7DAD-47C1-BFFA-46B1BD89792D}"/>
    <cellStyle name="Akzent6" xfId="325" xr:uid="{24FF6083-0F1C-425D-B834-A12CF8A1D449}"/>
    <cellStyle name="Ausgabe" xfId="368" xr:uid="{4BB0B4AE-2E92-488A-9AEB-E381EC6A6E77}"/>
    <cellStyle name="Bad 1" xfId="99" xr:uid="{00000000-0005-0000-0000-000066000000}"/>
    <cellStyle name="Bad 2" xfId="100" xr:uid="{00000000-0005-0000-0000-000067000000}"/>
    <cellStyle name="Bad 2 2" xfId="276" xr:uid="{04E2701B-BE2C-45B4-84A4-4CB140E2CEB9}"/>
    <cellStyle name="Bad 3" xfId="101" xr:uid="{00000000-0005-0000-0000-000068000000}"/>
    <cellStyle name="Bad 4" xfId="102" xr:uid="{00000000-0005-0000-0000-000069000000}"/>
    <cellStyle name="Bad 5" xfId="236" xr:uid="{9884247E-32E7-4352-9332-ED002B333957}"/>
    <cellStyle name="Berechnung" xfId="343" xr:uid="{5CD22D12-ED5E-455E-89E2-68DCC16DBC1D}"/>
    <cellStyle name="Calculation 1" xfId="103" xr:uid="{00000000-0005-0000-0000-00006A000000}"/>
    <cellStyle name="Calculation 2" xfId="104" xr:uid="{00000000-0005-0000-0000-00006B000000}"/>
    <cellStyle name="Calculation 2 2" xfId="289" xr:uid="{D27F568E-7282-47E3-8C1B-2FF4CEFB6CE6}"/>
    <cellStyle name="Calculation 3" xfId="105" xr:uid="{00000000-0005-0000-0000-00006C000000}"/>
    <cellStyle name="Calculation 4" xfId="106" xr:uid="{00000000-0005-0000-0000-00006D000000}"/>
    <cellStyle name="Calculation 5" xfId="107" xr:uid="{00000000-0005-0000-0000-00006E000000}"/>
    <cellStyle name="Calculation 6" xfId="231" xr:uid="{84856F95-08E4-426A-94BD-F0DB6CB220E9}"/>
    <cellStyle name="Check Cell 1" xfId="108" xr:uid="{00000000-0005-0000-0000-00006F000000}"/>
    <cellStyle name="Check Cell 2" xfId="109" xr:uid="{00000000-0005-0000-0000-000070000000}"/>
    <cellStyle name="Check Cell 2 2" xfId="290" xr:uid="{12D0EDDF-35A7-435F-B006-E13230F6FFBB}"/>
    <cellStyle name="Check Cell 3" xfId="110" xr:uid="{00000000-0005-0000-0000-000071000000}"/>
    <cellStyle name="Check Cell 4" xfId="111" xr:uid="{00000000-0005-0000-0000-000072000000}"/>
    <cellStyle name="Check Cell 5" xfId="211" xr:uid="{0A0C7FDC-6A48-4D7E-B534-AED6114BC0BD}"/>
    <cellStyle name="Comma" xfId="1" builtinId="3"/>
    <cellStyle name="Comma [0] 2" xfId="306" xr:uid="{1F30B627-E158-451D-92BE-2A47D6B22C7E}"/>
    <cellStyle name="Comma [0] 3" xfId="204" xr:uid="{14A7ACDB-DAFC-46D9-BB54-92566F608112}"/>
    <cellStyle name="Comma 2" xfId="112" xr:uid="{00000000-0005-0000-0000-000073000000}"/>
    <cellStyle name="Comma 2 2" xfId="305" xr:uid="{38C9D2D6-A08E-4926-8C27-7A1635CD2244}"/>
    <cellStyle name="Comma 3" xfId="307" xr:uid="{836E089A-427F-4873-A6C6-76D1066A64FE}"/>
    <cellStyle name="Comma 3 2" xfId="337" xr:uid="{79C80805-9207-453F-8BB0-6EA2E0AEA6E1}"/>
    <cellStyle name="Comma 3 2 2" xfId="317" xr:uid="{1D0F206E-0A49-4138-B4C3-40237AADAD7E}"/>
    <cellStyle name="Comma 3 3" xfId="311" xr:uid="{C223A81E-C14F-417B-B799-5BEC495B20B0}"/>
    <cellStyle name="Comma 3 4" xfId="371" xr:uid="{2107E40B-F18C-4A07-83AC-B0157FABA1FC}"/>
    <cellStyle name="Comma 4" xfId="203" xr:uid="{11BE4A1D-7C51-4220-9989-B4BF615CF83E}"/>
    <cellStyle name="Comma 5" xfId="310" xr:uid="{7D3AFB0D-160C-40BA-BDB9-C384744920CD}"/>
    <cellStyle name="Comma 6" xfId="374" xr:uid="{19156486-1E27-440C-AA66-790A68A6B1C0}"/>
    <cellStyle name="Currency [0] 2" xfId="205" xr:uid="{03133614-D6D7-498C-A26B-7B18596274E2}"/>
    <cellStyle name="Currency 2" xfId="206" xr:uid="{B6C19C8A-CD17-4083-9D7A-1C8593C4E182}"/>
    <cellStyle name="Currency 3" xfId="312" xr:uid="{DDF1D18E-32DA-4C2E-90EF-48C6BCAEA6DB}"/>
    <cellStyle name="Currency 4" xfId="322" xr:uid="{49D70824-DFA5-4608-B648-2894EF313329}"/>
    <cellStyle name="Default" xfId="314" xr:uid="{831B3ED2-61F0-42E1-AC4E-F94F9E99AA6F}"/>
    <cellStyle name="Default 2" xfId="355" xr:uid="{AC3666D4-59C5-4007-A1FD-FFFC194C0BA5}"/>
    <cellStyle name="Eingabe" xfId="366" xr:uid="{9F7E3BF1-935E-43FC-8272-4D50B9A4A93D}"/>
    <cellStyle name="Ergebnis" xfId="318" xr:uid="{3C9A5928-B1A3-4935-B614-701CE43A345A}"/>
    <cellStyle name="Erklärender Text" xfId="333" xr:uid="{C7E6C4A6-704B-45F5-966E-8D74F799DC46}"/>
    <cellStyle name="Ersatzwert" xfId="327" xr:uid="{DF5B0CE7-DCF2-46BA-B0EC-5FD1472AB4C2}"/>
    <cellStyle name="Excel Built-in Comma 1" xfId="199" xr:uid="{00000000-0005-0000-0000-0000CA000000}"/>
    <cellStyle name="Excel Built-in Normal" xfId="194" xr:uid="{00000000-0005-0000-0000-0000C5000000}"/>
    <cellStyle name="Excel Built-in Normal 1" xfId="195" xr:uid="{00000000-0005-0000-0000-0000C6000000}"/>
    <cellStyle name="Excel Built-in Normal 1 1 1" xfId="196" xr:uid="{00000000-0005-0000-0000-0000C7000000}"/>
    <cellStyle name="Excel Built-in Normal 1 1 1 1 1" xfId="198" xr:uid="{00000000-0005-0000-0000-0000C9000000}"/>
    <cellStyle name="Excel Built-in Normal 2" xfId="197" xr:uid="{00000000-0005-0000-0000-0000C8000000}"/>
    <cellStyle name="Excel Built-in Normal 3" xfId="200" xr:uid="{00000000-0005-0000-0000-0000CB000000}"/>
    <cellStyle name="Explanatory Text 1" xfId="113" xr:uid="{00000000-0005-0000-0000-000074000000}"/>
    <cellStyle name="Explanatory Text 2" xfId="114" xr:uid="{00000000-0005-0000-0000-000075000000}"/>
    <cellStyle name="Explanatory Text 2 2" xfId="291" xr:uid="{FD98BA54-2E6A-4DC1-A6DD-9DD56213AA05}"/>
    <cellStyle name="Explanatory Text 3" xfId="115" xr:uid="{00000000-0005-0000-0000-000076000000}"/>
    <cellStyle name="Explanatory Text 4" xfId="116" xr:uid="{00000000-0005-0000-0000-000077000000}"/>
    <cellStyle name="Explanatory Text 5" xfId="219" xr:uid="{1FF63798-6D63-4504-A237-14AA81E061E3}"/>
    <cellStyle name="Followed Hyperlink" xfId="210" builtinId="9" customBuiltin="1"/>
    <cellStyle name="Followed Hyperlink 2" xfId="341" xr:uid="{87C14DF3-793F-4197-9496-5EA681A43D04}"/>
    <cellStyle name="Followed Hyperlink 3" xfId="380" xr:uid="{465C21FA-5EE9-496C-8B34-E13A783D9062}"/>
    <cellStyle name="Followed Hyperlink 3 2" xfId="332" xr:uid="{FD292773-550C-484E-AD59-41D22421D2CB}"/>
    <cellStyle name="Good 1" xfId="117" xr:uid="{00000000-0005-0000-0000-000078000000}"/>
    <cellStyle name="Good 2" xfId="118" xr:uid="{00000000-0005-0000-0000-000079000000}"/>
    <cellStyle name="Good 2 2" xfId="292" xr:uid="{C79ABB83-956B-49BC-9479-2EC36D742578}"/>
    <cellStyle name="Good 3" xfId="119" xr:uid="{00000000-0005-0000-0000-00007A000000}"/>
    <cellStyle name="Good 4" xfId="120" xr:uid="{00000000-0005-0000-0000-00007B000000}"/>
    <cellStyle name="Good 5" xfId="228" xr:uid="{C9A8BBEB-BD0A-4AFB-9032-5120A85E105E}"/>
    <cellStyle name="Gültig" xfId="379" xr:uid="{80FF6D46-A620-42BB-BC40-434B445F0263}"/>
    <cellStyle name="Gültig 2" xfId="334" xr:uid="{E2E3DF6D-CB8B-4F2B-84DB-4F33940B0C3E}"/>
    <cellStyle name="Gut" xfId="340" xr:uid="{7D3A1975-04EC-47D3-AA47-0D1C72DD36D3}"/>
    <cellStyle name="Heading 1 1" xfId="121" xr:uid="{00000000-0005-0000-0000-00007C000000}"/>
    <cellStyle name="Heading 1 2" xfId="122" xr:uid="{00000000-0005-0000-0000-00007D000000}"/>
    <cellStyle name="Heading 1 2 2" xfId="293" xr:uid="{CA19EE4E-E1D2-4AE1-9D1E-B751C2C72757}"/>
    <cellStyle name="Heading 1 3" xfId="123" xr:uid="{00000000-0005-0000-0000-00007E000000}"/>
    <cellStyle name="Heading 1 4" xfId="124" xr:uid="{00000000-0005-0000-0000-00007F000000}"/>
    <cellStyle name="Heading 1 5" xfId="220" xr:uid="{20F99A0C-9815-4AF6-A83E-F5A0079AD089}"/>
    <cellStyle name="Heading 2 1" xfId="125" xr:uid="{00000000-0005-0000-0000-000080000000}"/>
    <cellStyle name="Heading 2 2" xfId="126" xr:uid="{00000000-0005-0000-0000-000081000000}"/>
    <cellStyle name="Heading 2 2 2" xfId="294" xr:uid="{97DBC81B-72C7-4569-A251-2B13ABB6056A}"/>
    <cellStyle name="Heading 2 3" xfId="127" xr:uid="{00000000-0005-0000-0000-000082000000}"/>
    <cellStyle name="Heading 2 4" xfId="128" xr:uid="{00000000-0005-0000-0000-000083000000}"/>
    <cellStyle name="Heading 2 5" xfId="212" xr:uid="{07824B36-66F4-412E-B70D-8BE4007B2A6C}"/>
    <cellStyle name="Heading 3 1" xfId="129" xr:uid="{00000000-0005-0000-0000-000084000000}"/>
    <cellStyle name="Heading 3 2" xfId="130" xr:uid="{00000000-0005-0000-0000-000085000000}"/>
    <cellStyle name="Heading 3 2 2" xfId="295" xr:uid="{4D9E7FC6-9040-476F-96CC-4815344C5174}"/>
    <cellStyle name="Heading 3 2 3" xfId="225" xr:uid="{4419DA6E-0909-4669-B095-85AF05339382}"/>
    <cellStyle name="Heading 3 3" xfId="131" xr:uid="{00000000-0005-0000-0000-000086000000}"/>
    <cellStyle name="Heading 3 4" xfId="132" xr:uid="{00000000-0005-0000-0000-000087000000}"/>
    <cellStyle name="Heading 3 5" xfId="221" xr:uid="{15983705-7DAB-478B-99B8-ACEC5C2A3B2A}"/>
    <cellStyle name="Heading 4 1" xfId="133" xr:uid="{00000000-0005-0000-0000-000088000000}"/>
    <cellStyle name="Heading 4 2" xfId="134" xr:uid="{00000000-0005-0000-0000-000089000000}"/>
    <cellStyle name="Heading 4 2 2" xfId="296" xr:uid="{A14D4650-911F-41FB-86E4-CD0AAA9E5795}"/>
    <cellStyle name="Heading 4 3" xfId="135" xr:uid="{00000000-0005-0000-0000-00008A000000}"/>
    <cellStyle name="Heading 4 4" xfId="136" xr:uid="{00000000-0005-0000-0000-00008B000000}"/>
    <cellStyle name="Heading 4 5" xfId="223" xr:uid="{BDFFB815-0628-405F-BAAE-29F53F0B0198}"/>
    <cellStyle name="Hyperlink" xfId="208" builtinId="8" customBuiltin="1"/>
    <cellStyle name="Hyperlink 2" xfId="137" xr:uid="{00000000-0005-0000-0000-00008C000000}"/>
    <cellStyle name="Hyperlink 2 2" xfId="315" xr:uid="{91E01DA3-54FB-4317-A6E1-B5ADB1D3B34C}"/>
    <cellStyle name="Hyperlink 3" xfId="138" xr:uid="{00000000-0005-0000-0000-00008D000000}"/>
    <cellStyle name="Hyperlink 3 2" xfId="139" xr:uid="{00000000-0005-0000-0000-00008E000000}"/>
    <cellStyle name="Hyperlink 3 2 2" xfId="330" xr:uid="{CF8193B5-3654-4F87-8888-9685184A0C45}"/>
    <cellStyle name="Hyperlink 3 3" xfId="356" xr:uid="{F2D66592-B93B-4CF4-9C98-54E8DA228DF6}"/>
    <cellStyle name="Hyperlink 4" xfId="140" xr:uid="{00000000-0005-0000-0000-00008F000000}"/>
    <cellStyle name="Input 1" xfId="141" xr:uid="{00000000-0005-0000-0000-000090000000}"/>
    <cellStyle name="Input 2" xfId="142" xr:uid="{00000000-0005-0000-0000-000091000000}"/>
    <cellStyle name="Input 2 2" xfId="297" xr:uid="{40528DCF-5D74-48A9-8D67-7CCBFF50E641}"/>
    <cellStyle name="Input 3" xfId="143" xr:uid="{00000000-0005-0000-0000-000092000000}"/>
    <cellStyle name="Input 4" xfId="144" xr:uid="{00000000-0005-0000-0000-000093000000}"/>
    <cellStyle name="Input 5" xfId="145" xr:uid="{00000000-0005-0000-0000-000094000000}"/>
    <cellStyle name="Input 6" xfId="224" xr:uid="{3C96B3D0-2E22-4837-BC2E-83E8688642D3}"/>
    <cellStyle name="Invalid" xfId="362" xr:uid="{FBA23340-7F0B-4246-8127-93C092DCD41F}"/>
    <cellStyle name="Korrigiert" xfId="378" xr:uid="{324E2FAB-4F1F-47EE-9165-C272B1E6FB35}"/>
    <cellStyle name="Linked Cell 1" xfId="146" xr:uid="{00000000-0005-0000-0000-000095000000}"/>
    <cellStyle name="Linked Cell 2" xfId="147" xr:uid="{00000000-0005-0000-0000-000096000000}"/>
    <cellStyle name="Linked Cell 2 2" xfId="298" xr:uid="{8A689242-E85E-4D7B-A8B9-62554F9D7C75}"/>
    <cellStyle name="Linked Cell 3" xfId="148" xr:uid="{00000000-0005-0000-0000-000097000000}"/>
    <cellStyle name="Linked Cell 4" xfId="149" xr:uid="{00000000-0005-0000-0000-000098000000}"/>
    <cellStyle name="Linked Cell 5" xfId="233" xr:uid="{FF04BBD8-3595-49F4-9C97-DBDD45E0F2ED}"/>
    <cellStyle name="Neutral 1" xfId="150" xr:uid="{00000000-0005-0000-0000-000099000000}"/>
    <cellStyle name="Neutral 2" xfId="151" xr:uid="{00000000-0005-0000-0000-00009A000000}"/>
    <cellStyle name="Neutral 2 2" xfId="299" xr:uid="{4254854B-1264-4797-A9B1-C6235B80E1FE}"/>
    <cellStyle name="Neutral 3" xfId="152" xr:uid="{00000000-0005-0000-0000-00009B000000}"/>
    <cellStyle name="Neutral 4" xfId="153" xr:uid="{00000000-0005-0000-0000-00009C000000}"/>
    <cellStyle name="Neutral 5" xfId="237" xr:uid="{EFABA7AC-3324-4459-B835-95EEBDDACBE8}"/>
    <cellStyle name="Normal" xfId="0" builtinId="0"/>
    <cellStyle name="Normal 10" xfId="154" xr:uid="{00000000-0005-0000-0000-00009D000000}"/>
    <cellStyle name="Normal 11" xfId="155" xr:uid="{00000000-0005-0000-0000-00009E000000}"/>
    <cellStyle name="Normal 11 2" xfId="156" xr:uid="{00000000-0005-0000-0000-00009F000000}"/>
    <cellStyle name="Normal 14" xfId="157" xr:uid="{00000000-0005-0000-0000-0000A0000000}"/>
    <cellStyle name="Normal 14 2" xfId="158" xr:uid="{00000000-0005-0000-0000-0000A1000000}"/>
    <cellStyle name="Normal 2" xfId="159" xr:uid="{00000000-0005-0000-0000-0000A2000000}"/>
    <cellStyle name="Normal 2 1" xfId="160" xr:uid="{00000000-0005-0000-0000-0000A3000000}"/>
    <cellStyle name="Normal 2 2" xfId="161" xr:uid="{00000000-0005-0000-0000-0000A4000000}"/>
    <cellStyle name="Normal 2 2 2" xfId="309" xr:uid="{622FF84F-4911-4F7E-929B-E498591952C6}"/>
    <cellStyle name="Normal 2 2 3" xfId="363" xr:uid="{E3AFDA9A-28BA-490A-A6F9-C9A06E4F3A1E}"/>
    <cellStyle name="Normal 2 3" xfId="162" xr:uid="{00000000-0005-0000-0000-0000A5000000}"/>
    <cellStyle name="Normal 2 4" xfId="163" xr:uid="{00000000-0005-0000-0000-0000A6000000}"/>
    <cellStyle name="Normal 2 5" xfId="164" xr:uid="{00000000-0005-0000-0000-0000A7000000}"/>
    <cellStyle name="Normal 2 6" xfId="300" xr:uid="{C5C0119C-B42D-4CB8-AF07-D22F6EE166CB}"/>
    <cellStyle name="Normal 2 7" xfId="357" xr:uid="{DB789ACB-ECB1-4494-9C35-EB872C934C6F}"/>
    <cellStyle name="Normal 3" xfId="165" xr:uid="{00000000-0005-0000-0000-0000A8000000}"/>
    <cellStyle name="Normal 3 2" xfId="381" xr:uid="{48729D1B-B4D7-429A-9F23-D94551A7E285}"/>
    <cellStyle name="Normal 4" xfId="166" xr:uid="{00000000-0005-0000-0000-0000A9000000}"/>
    <cellStyle name="Normal 4 2" xfId="167" xr:uid="{00000000-0005-0000-0000-0000AA000000}"/>
    <cellStyle name="Normal 5" xfId="168" xr:uid="{00000000-0005-0000-0000-0000AB000000}"/>
    <cellStyle name="Normal 6" xfId="201" xr:uid="{81E134E0-C16D-47CF-A94F-AC45D5D4286C}"/>
    <cellStyle name="Normal 7" xfId="352" xr:uid="{AC3210E1-9C70-4CB8-A2A8-C33E0D98ACCD}"/>
    <cellStyle name="Normal 8" xfId="169" xr:uid="{00000000-0005-0000-0000-0000AC000000}"/>
    <cellStyle name="Normal 8 2" xfId="170" xr:uid="{00000000-0005-0000-0000-0000AD000000}"/>
    <cellStyle name="Note 1" xfId="171" xr:uid="{00000000-0005-0000-0000-0000AE000000}"/>
    <cellStyle name="Note 2" xfId="172" xr:uid="{00000000-0005-0000-0000-0000AF000000}"/>
    <cellStyle name="Note 2 2" xfId="301" xr:uid="{32723181-6713-4F47-9DC2-B07386FECEBD}"/>
    <cellStyle name="Note 3" xfId="173" xr:uid="{00000000-0005-0000-0000-0000B0000000}"/>
    <cellStyle name="Note 4" xfId="174" xr:uid="{00000000-0005-0000-0000-0000B1000000}"/>
    <cellStyle name="Note 5" xfId="175" xr:uid="{00000000-0005-0000-0000-0000B2000000}"/>
    <cellStyle name="Note 6" xfId="213" xr:uid="{C79E28C7-1511-4E8F-B57E-A4C4015E3656}"/>
    <cellStyle name="Notiz" xfId="336" xr:uid="{3A8DDE9A-9537-4CC3-976B-94355A7D2E4B}"/>
    <cellStyle name="Notiz 2" xfId="348" xr:uid="{027D01BB-A19E-4F80-B7AC-D4066D4DA493}"/>
    <cellStyle name="Notiz 2 2" xfId="358" xr:uid="{9AAF8CED-AF5D-4B84-A4AF-909FA3E18D64}"/>
    <cellStyle name="Output 1" xfId="176" xr:uid="{00000000-0005-0000-0000-0000B3000000}"/>
    <cellStyle name="Output 2" xfId="177" xr:uid="{00000000-0005-0000-0000-0000B4000000}"/>
    <cellStyle name="Output 2 2" xfId="302" xr:uid="{EE2DD9CB-E25C-4FE9-8156-B9F59CA7434B}"/>
    <cellStyle name="Output 3" xfId="178" xr:uid="{00000000-0005-0000-0000-0000B5000000}"/>
    <cellStyle name="Output 4" xfId="179" xr:uid="{00000000-0005-0000-0000-0000B6000000}"/>
    <cellStyle name="Output 5" xfId="229" xr:uid="{8483A48F-C40F-4C8F-9CCE-0D6F53AE8A50}"/>
    <cellStyle name="Percent" xfId="2" builtinId="5"/>
    <cellStyle name="Percent 2" xfId="180" xr:uid="{00000000-0005-0000-0000-0000B7000000}"/>
    <cellStyle name="Percent 3" xfId="207" xr:uid="{2D9281EB-2994-478C-8FD0-1A851E3EAAB9}"/>
    <cellStyle name="Schlecht" xfId="349" xr:uid="{9A86A9D7-0257-4870-84F8-CC8C8C5893B7}"/>
    <cellStyle name="sdf" xfId="321" xr:uid="{3B2F2AFB-F0FC-48A1-A490-70F641CACE82}"/>
    <cellStyle name="sdf 2" xfId="316" xr:uid="{19711365-E17F-4F69-80B6-D1BBA6052E1C}"/>
    <cellStyle name="TableStyleLight1" xfId="181" xr:uid="{00000000-0005-0000-0000-0000B8000000}"/>
    <cellStyle name="TEST" xfId="339" xr:uid="{735E82ED-1494-4672-A983-ABFB61E92D9D}"/>
    <cellStyle name="Title 1" xfId="182" xr:uid="{00000000-0005-0000-0000-0000B9000000}"/>
    <cellStyle name="Title 2" xfId="183" xr:uid="{00000000-0005-0000-0000-0000BA000000}"/>
    <cellStyle name="Title 2 2" xfId="245" xr:uid="{2425E656-42B1-44F9-B5DC-D13201426332}"/>
    <cellStyle name="Title 3" xfId="184" xr:uid="{00000000-0005-0000-0000-0000BB000000}"/>
    <cellStyle name="Title 4" xfId="185" xr:uid="{00000000-0005-0000-0000-0000BC000000}"/>
    <cellStyle name="Title 5" xfId="218" xr:uid="{AD8F026F-D528-470F-87E3-C70DE56E83E0}"/>
    <cellStyle name="Total 1" xfId="186" xr:uid="{00000000-0005-0000-0000-0000BD000000}"/>
    <cellStyle name="Total 2" xfId="187" xr:uid="{00000000-0005-0000-0000-0000BE000000}"/>
    <cellStyle name="Total 2 2" xfId="303" xr:uid="{E5061327-2F8D-4359-A390-D6B627F9D3B2}"/>
    <cellStyle name="Total 3" xfId="188" xr:uid="{00000000-0005-0000-0000-0000BF000000}"/>
    <cellStyle name="Total 4" xfId="189" xr:uid="{00000000-0005-0000-0000-0000C0000000}"/>
    <cellStyle name="Total 5" xfId="234" xr:uid="{07B885FB-A596-4525-B542-5D38CC278B54}"/>
    <cellStyle name="Überschrift" xfId="377" xr:uid="{4616D817-B36F-4488-A67E-12E2E94F7A32}"/>
    <cellStyle name="Überschrift 1" xfId="320" xr:uid="{EEAC0980-BF94-4D1B-B5DC-45DBDDF06714}"/>
    <cellStyle name="Überschrift 2" xfId="359" xr:uid="{6735BC0B-0F0C-47A5-A93E-39D216E24E37}"/>
    <cellStyle name="Überschrift 3" xfId="351" xr:uid="{8DC6CD73-FFC1-4A82-9B98-804187C136C6}"/>
    <cellStyle name="Überschrift 4" xfId="346" xr:uid="{8729DC78-F15A-4A4A-8AB9-393370986BE8}"/>
    <cellStyle name="Ungültig" xfId="360" xr:uid="{E5923968-81B9-4950-9D4F-BD97F40ABAC1}"/>
    <cellStyle name="Ungültig 2" xfId="364" xr:uid="{7FA06825-8A9A-43C8-9411-B48130924E07}"/>
    <cellStyle name="UserBit_1" xfId="347" xr:uid="{4FCFFB9D-B4FE-4C90-91C8-0998DA4E7EC3}"/>
    <cellStyle name="Verknüpfte Zelle" xfId="361" xr:uid="{0D6DF97B-AD86-41A2-AE6E-0B3ADF1A0FEC}"/>
    <cellStyle name="Warnender Text" xfId="372" xr:uid="{5C6CA423-D5D5-4095-99E8-F8A9D7CD6963}"/>
    <cellStyle name="Warning Text 1" xfId="190" xr:uid="{00000000-0005-0000-0000-0000C1000000}"/>
    <cellStyle name="Warning Text 2" xfId="191" xr:uid="{00000000-0005-0000-0000-0000C2000000}"/>
    <cellStyle name="Warning Text 2 2" xfId="304" xr:uid="{85023AF8-42B5-4A32-92BE-212F81E15057}"/>
    <cellStyle name="Warning Text 3" xfId="192" xr:uid="{00000000-0005-0000-0000-0000C3000000}"/>
    <cellStyle name="Warning Text 4" xfId="193" xr:uid="{00000000-0005-0000-0000-0000C4000000}"/>
    <cellStyle name="Warning Text 5" xfId="216" xr:uid="{130ADA1B-65C9-4179-9981-71BBDAE7A821}"/>
    <cellStyle name="Zelle überprüfen" xfId="350" xr:uid="{242AAFAF-6CF8-4451-B67A-213536BA2AEB}"/>
  </cellStyles>
  <dxfs count="55"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E46C0A"/>
        </patternFill>
      </fill>
    </dxf>
    <dxf>
      <fill>
        <patternFill>
          <bgColor rgb="FFFCD5B5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AC090"/>
      <rgbColor rgb="FFD7E4BD"/>
      <rgbColor rgb="FF800000"/>
      <rgbColor rgb="FF008000"/>
      <rgbColor rgb="FF000080"/>
      <rgbColor rgb="FF669900"/>
      <rgbColor rgb="FF800080"/>
      <rgbColor rgb="FF0070C0"/>
      <rgbColor rgb="FFC0C0C0"/>
      <rgbColor rgb="FF808080"/>
      <rgbColor rgb="FF93CDDD"/>
      <rgbColor rgb="FFE46C0A"/>
      <rgbColor rgb="FFFFFFCC"/>
      <rgbColor rgb="FFCCFFFF"/>
      <rgbColor rgb="FFFDEADA"/>
      <rgbColor rgb="FFFF8080"/>
      <rgbColor rgb="FF0066CC"/>
      <rgbColor rgb="FFCCCCFF"/>
      <rgbColor rgb="FF000080"/>
      <rgbColor rgb="FFFCD5B5"/>
      <rgbColor rgb="FFFFC000"/>
      <rgbColor rgb="FFDCE6F2"/>
      <rgbColor rgb="FFEEECE1"/>
      <rgbColor rgb="FF800000"/>
      <rgbColor rgb="FF77933C"/>
      <rgbColor rgb="FF0000FF"/>
      <rgbColor rgb="FFC3D69B"/>
      <rgbColor rgb="FFDBEEF4"/>
      <rgbColor rgb="FFCCFFCC"/>
      <rgbColor rgb="FFFFFF99"/>
      <rgbColor rgb="FF99CCFF"/>
      <rgbColor rgb="FFFF99CC"/>
      <rgbColor rgb="FFCC99FF"/>
      <rgbColor rgb="FFFFCC99"/>
      <rgbColor rgb="FFBFBFB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339966"/>
      <rgbColor rgb="FF0D0D0D"/>
      <rgbColor rgb="FFD9D9D9"/>
      <rgbColor rgb="FF993300"/>
      <rgbColor rgb="FFCCC1D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1"/>
  <sheetViews>
    <sheetView tabSelected="1" topLeftCell="A12" zoomScale="112" zoomScaleNormal="112" workbookViewId="0">
      <selection activeCell="I65" sqref="I65"/>
    </sheetView>
  </sheetViews>
  <sheetFormatPr defaultColWidth="9.109375" defaultRowHeight="12" outlineLevelCol="3" x14ac:dyDescent="0.3"/>
  <cols>
    <col min="1" max="1" width="39.33203125" style="2" customWidth="1"/>
    <col min="2" max="2" width="34.5546875" style="2" bestFit="1" customWidth="1"/>
    <col min="3" max="4" width="17.109375" style="2" customWidth="1"/>
    <col min="5" max="5" width="10.6640625" style="2" customWidth="1" outlineLevel="3"/>
    <col min="6" max="6" width="12.88671875" style="2" customWidth="1" outlineLevel="3"/>
    <col min="7" max="8" width="11" style="2" customWidth="1" outlineLevel="3"/>
    <col min="9" max="9" width="9.109375" style="2" customWidth="1" outlineLevel="3"/>
    <col min="10" max="10" width="10.6640625" style="4" customWidth="1" outlineLevel="3"/>
    <col min="11" max="11" width="10.6640625" style="5" customWidth="1" outlineLevel="3"/>
    <col min="12" max="12" width="13.88671875" style="5" customWidth="1" outlineLevel="3"/>
    <col min="13" max="13" width="13.44140625" style="5" customWidth="1"/>
    <col min="14" max="14" width="12" style="5" customWidth="1"/>
    <col min="15" max="15" width="11" style="5" customWidth="1"/>
    <col min="16" max="16" width="6.88671875" style="5" customWidth="1"/>
    <col min="17" max="17" width="10.109375" style="5" customWidth="1"/>
    <col min="18" max="18" width="7.6640625" style="2" customWidth="1"/>
    <col min="19" max="19" width="9" style="4" customWidth="1"/>
    <col min="20" max="20" width="8.5546875" style="2" customWidth="1"/>
    <col min="21" max="21" width="14.44140625" style="2" customWidth="1"/>
    <col min="22" max="22" width="12.109375" style="2" customWidth="1"/>
    <col min="23" max="23" width="9.44140625" style="2" customWidth="1"/>
    <col min="24" max="24" width="9" style="2" customWidth="1"/>
    <col min="25" max="25" width="14.5546875" style="2" customWidth="1"/>
    <col min="26" max="26" width="11.109375" style="2" customWidth="1"/>
    <col min="27" max="27" width="7.6640625" style="2" customWidth="1"/>
    <col min="28" max="28" width="13.44140625" style="2" customWidth="1"/>
    <col min="29" max="29" width="10.33203125" style="2" customWidth="1"/>
    <col min="30" max="30" width="20" style="7" customWidth="1"/>
    <col min="31" max="31" width="10.5546875" style="7" customWidth="1"/>
    <col min="32" max="32" width="9.33203125" style="7" customWidth="1"/>
    <col min="33" max="33" width="7.33203125" style="2" customWidth="1"/>
    <col min="34" max="34" width="7.109375" style="2" customWidth="1"/>
    <col min="35" max="35" width="7.6640625" style="2" customWidth="1"/>
    <col min="36" max="36" width="6.6640625" style="2" customWidth="1"/>
    <col min="37" max="37" width="9.33203125" style="2" customWidth="1"/>
    <col min="38" max="38" width="10.44140625" style="2" customWidth="1"/>
    <col min="39" max="39" width="15" style="2" customWidth="1"/>
    <col min="40" max="40" width="10.109375" style="2" customWidth="1"/>
    <col min="41" max="41" width="11.44140625" style="2" customWidth="1"/>
    <col min="42" max="42" width="10.109375" style="2" customWidth="1"/>
    <col min="43" max="43" width="11.109375" style="2" customWidth="1"/>
    <col min="44" max="44" width="11.88671875" style="2" customWidth="1"/>
    <col min="45" max="45" width="13.5546875" style="2" customWidth="1"/>
    <col min="46" max="46" width="10.5546875" style="2" customWidth="1"/>
    <col min="47" max="47" width="18.33203125" style="2" customWidth="1"/>
    <col min="48" max="48" width="8.6640625" style="2" customWidth="1"/>
    <col min="49" max="49" width="10.5546875" style="2" customWidth="1"/>
    <col min="50" max="50" width="9.5546875" style="2" customWidth="1"/>
    <col min="51" max="51" width="23" style="2" customWidth="1"/>
    <col min="52" max="52" width="6.5546875" style="2" customWidth="1"/>
    <col min="53" max="53" width="10.44140625" style="2" customWidth="1"/>
    <col min="54" max="54" width="9.5546875" style="2" customWidth="1"/>
    <col min="55" max="58" width="9.109375" style="2"/>
    <col min="59" max="61" width="12.5546875" style="2" customWidth="1"/>
    <col min="62" max="67" width="10.6640625" style="2" customWidth="1"/>
    <col min="68" max="68" width="9.88671875" style="2" customWidth="1"/>
    <col min="69" max="69" width="10.6640625" style="2" customWidth="1"/>
    <col min="70" max="71" width="9.109375" style="2"/>
    <col min="72" max="72" width="9.88671875" style="2" customWidth="1"/>
    <col min="73" max="73" width="10.6640625" style="2" customWidth="1"/>
    <col min="74" max="74" width="11.33203125" style="2" customWidth="1"/>
    <col min="75" max="16384" width="9.109375" style="2"/>
  </cols>
  <sheetData>
    <row r="1" spans="1:38" ht="48" x14ac:dyDescent="0.3">
      <c r="A1" s="152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H1" s="4"/>
      <c r="J1" s="11" t="s">
        <v>6</v>
      </c>
      <c r="K1" s="12" t="s">
        <v>7</v>
      </c>
      <c r="L1" s="12" t="s">
        <v>8</v>
      </c>
      <c r="M1" s="13"/>
      <c r="N1" s="13"/>
      <c r="O1" s="2"/>
      <c r="P1" s="13"/>
      <c r="Q1" s="2"/>
      <c r="T1" s="14"/>
      <c r="U1" s="14"/>
      <c r="V1" s="14"/>
      <c r="W1" s="14"/>
      <c r="X1" s="14"/>
      <c r="Y1" s="14"/>
      <c r="Z1" s="14"/>
      <c r="AA1" s="14"/>
      <c r="AB1" s="14"/>
      <c r="AC1" s="14"/>
      <c r="AD1" s="15"/>
      <c r="AE1" s="15"/>
      <c r="AF1" s="15"/>
      <c r="AG1" s="14"/>
      <c r="AH1" s="14"/>
      <c r="AI1" s="14"/>
      <c r="AJ1" s="14"/>
      <c r="AK1" s="14"/>
      <c r="AL1" s="14"/>
    </row>
    <row r="2" spans="1:38" x14ac:dyDescent="0.3">
      <c r="A2" s="154" t="s">
        <v>9</v>
      </c>
      <c r="B2" s="155">
        <v>45000</v>
      </c>
      <c r="C2" s="156">
        <v>15765</v>
      </c>
      <c r="D2" s="156">
        <f>(D3+D4+D5+D6)*1.7</f>
        <v>5488.0586366935477</v>
      </c>
      <c r="E2" s="156">
        <f t="shared" ref="E2:E18" si="0">SUM(C2:D2)</f>
        <v>21253.058636693546</v>
      </c>
      <c r="F2" s="156">
        <f t="shared" ref="F2:F18" si="1">B2-E2</f>
        <v>23746.941363306454</v>
      </c>
      <c r="H2" s="333" t="s">
        <v>10</v>
      </c>
      <c r="I2" s="333"/>
      <c r="J2" s="19">
        <v>6000</v>
      </c>
      <c r="K2" s="20">
        <v>0</v>
      </c>
      <c r="L2" s="21">
        <v>0.05</v>
      </c>
      <c r="M2" s="22"/>
      <c r="N2" s="22"/>
      <c r="O2" s="2"/>
      <c r="P2" s="13"/>
      <c r="Q2" s="2"/>
      <c r="T2" s="13"/>
      <c r="U2" s="13"/>
      <c r="V2" s="13"/>
      <c r="W2" s="13"/>
      <c r="X2" s="13"/>
      <c r="Y2" s="13"/>
      <c r="Z2" s="13"/>
      <c r="AA2" s="13"/>
      <c r="AB2" s="13"/>
      <c r="AC2" s="13"/>
      <c r="AG2" s="13"/>
      <c r="AH2" s="13"/>
      <c r="AI2" s="13"/>
      <c r="AJ2" s="13"/>
      <c r="AK2" s="13"/>
      <c r="AL2" s="13"/>
    </row>
    <row r="3" spans="1:38" x14ac:dyDescent="0.3">
      <c r="A3" s="155" t="s">
        <v>11</v>
      </c>
      <c r="B3" s="155">
        <v>3020</v>
      </c>
      <c r="C3" s="155">
        <v>2656</v>
      </c>
      <c r="D3" s="156">
        <f>U75</f>
        <v>711.26978629032249</v>
      </c>
      <c r="E3" s="156">
        <f t="shared" si="0"/>
        <v>3367.2697862903224</v>
      </c>
      <c r="F3" s="156">
        <f t="shared" si="1"/>
        <v>-347.26978629032237</v>
      </c>
      <c r="H3" s="4"/>
      <c r="J3" s="4" t="s">
        <v>12</v>
      </c>
      <c r="K3" s="5" t="s">
        <v>13</v>
      </c>
      <c r="L3" s="13"/>
      <c r="M3" s="13"/>
      <c r="N3" s="13"/>
      <c r="O3" s="2"/>
      <c r="P3" s="13"/>
      <c r="Q3" s="2"/>
      <c r="T3" s="13"/>
      <c r="U3" s="13"/>
      <c r="V3" s="13"/>
      <c r="W3" s="13"/>
      <c r="X3" s="13"/>
      <c r="Y3" s="13"/>
      <c r="Z3" s="13"/>
      <c r="AA3" s="13"/>
      <c r="AB3" s="13"/>
      <c r="AC3" s="13"/>
      <c r="AG3" s="13"/>
      <c r="AH3" s="13"/>
      <c r="AI3" s="13"/>
      <c r="AJ3" s="13"/>
      <c r="AK3" s="13"/>
      <c r="AL3" s="13"/>
    </row>
    <row r="4" spans="1:38" x14ac:dyDescent="0.3">
      <c r="A4" s="155" t="s">
        <v>14</v>
      </c>
      <c r="B4" s="155">
        <v>2880</v>
      </c>
      <c r="C4" s="156">
        <v>1978</v>
      </c>
      <c r="D4" s="156">
        <f>B4-C4</f>
        <v>902</v>
      </c>
      <c r="E4" s="155">
        <f t="shared" si="0"/>
        <v>2880</v>
      </c>
      <c r="F4" s="155">
        <f t="shared" si="1"/>
        <v>0</v>
      </c>
      <c r="H4" s="4"/>
      <c r="I4" s="2" t="s">
        <v>15</v>
      </c>
      <c r="J4" s="24">
        <f>+J2*1.5</f>
        <v>9000</v>
      </c>
      <c r="K4" s="24" t="s">
        <v>16</v>
      </c>
      <c r="L4" s="26"/>
      <c r="M4" s="13"/>
      <c r="N4" s="2"/>
      <c r="O4" s="4"/>
      <c r="P4" s="13"/>
      <c r="Q4" s="13"/>
      <c r="R4" s="13"/>
      <c r="S4" s="13"/>
      <c r="T4" s="13"/>
      <c r="Y4" s="13"/>
      <c r="Z4" s="13"/>
      <c r="AA4" s="13"/>
      <c r="AB4" s="13"/>
      <c r="AC4" s="13"/>
      <c r="AG4" s="13"/>
      <c r="AH4" s="13"/>
      <c r="AI4" s="13"/>
      <c r="AJ4" s="13"/>
      <c r="AK4" s="13"/>
      <c r="AL4" s="13"/>
    </row>
    <row r="5" spans="1:38" ht="13.8" x14ac:dyDescent="0.3">
      <c r="A5" s="155" t="s">
        <v>17</v>
      </c>
      <c r="B5" s="155">
        <v>2880</v>
      </c>
      <c r="C5" s="156">
        <v>1957</v>
      </c>
      <c r="D5" s="156">
        <f>B5-C5</f>
        <v>923</v>
      </c>
      <c r="E5" s="155">
        <f t="shared" si="0"/>
        <v>2880</v>
      </c>
      <c r="F5" s="155">
        <f t="shared" si="1"/>
        <v>0</v>
      </c>
      <c r="H5" s="4"/>
      <c r="I5" s="2" t="s">
        <v>16</v>
      </c>
      <c r="J5" s="27">
        <f>+J2*1.2</f>
        <v>7200</v>
      </c>
      <c r="K5" s="27">
        <f>+J4</f>
        <v>9000</v>
      </c>
      <c r="L5" s="26"/>
      <c r="M5" s="13"/>
      <c r="N5" s="2"/>
      <c r="O5" s="28"/>
      <c r="P5" s="28"/>
      <c r="Q5" s="334" t="s">
        <v>18</v>
      </c>
      <c r="R5" s="334"/>
      <c r="S5" s="13">
        <f>C3+C4+C5+C6</f>
        <v>8059</v>
      </c>
      <c r="T5" s="13"/>
      <c r="Y5" s="13"/>
      <c r="Z5" s="13"/>
      <c r="AA5" s="13"/>
      <c r="AB5" s="13"/>
      <c r="AC5" s="13"/>
      <c r="AG5" s="13"/>
      <c r="AH5" s="13"/>
      <c r="AI5" s="13"/>
      <c r="AJ5" s="13"/>
      <c r="AK5" s="13"/>
      <c r="AL5" s="13"/>
    </row>
    <row r="6" spans="1:38" ht="13.8" x14ac:dyDescent="0.3">
      <c r="A6" s="155" t="s">
        <v>19</v>
      </c>
      <c r="B6" s="157">
        <v>2160</v>
      </c>
      <c r="C6" s="157">
        <v>1468</v>
      </c>
      <c r="D6" s="156">
        <f>B6-C6</f>
        <v>692</v>
      </c>
      <c r="E6" s="157">
        <f t="shared" si="0"/>
        <v>2160</v>
      </c>
      <c r="F6" s="157">
        <f t="shared" si="1"/>
        <v>0</v>
      </c>
      <c r="H6" s="4"/>
      <c r="I6" s="2" t="s">
        <v>20</v>
      </c>
      <c r="J6" s="29">
        <f>+J2</f>
        <v>6000</v>
      </c>
      <c r="K6" s="29">
        <f>+J5</f>
        <v>7200</v>
      </c>
      <c r="L6" s="26"/>
      <c r="M6" s="13"/>
      <c r="N6" s="2"/>
      <c r="O6" s="334" t="s">
        <v>21</v>
      </c>
      <c r="P6" s="334"/>
      <c r="Q6" s="334"/>
      <c r="R6" s="334"/>
      <c r="S6" s="30">
        <v>4781</v>
      </c>
      <c r="T6" s="13"/>
      <c r="Y6" s="13"/>
      <c r="Z6" s="13"/>
      <c r="AA6" s="13"/>
      <c r="AB6" s="13"/>
      <c r="AC6" s="13"/>
      <c r="AG6" s="13"/>
      <c r="AH6" s="13"/>
      <c r="AI6" s="13"/>
      <c r="AJ6" s="13"/>
      <c r="AK6" s="13"/>
      <c r="AL6" s="13"/>
    </row>
    <row r="7" spans="1:38" ht="13.8" x14ac:dyDescent="0.3">
      <c r="A7" s="158" t="s">
        <v>22</v>
      </c>
      <c r="B7" s="155">
        <f>B2-B3-B4-B5-B6</f>
        <v>34060</v>
      </c>
      <c r="C7" s="156">
        <f>C2-(SUM(C3:C6))</f>
        <v>7706</v>
      </c>
      <c r="D7" s="156">
        <v>0</v>
      </c>
      <c r="E7" s="156">
        <f t="shared" si="0"/>
        <v>7706</v>
      </c>
      <c r="F7" s="156">
        <f t="shared" si="1"/>
        <v>26354</v>
      </c>
      <c r="H7" s="4"/>
      <c r="I7" s="2" t="s">
        <v>23</v>
      </c>
      <c r="J7" s="31">
        <v>0</v>
      </c>
      <c r="K7" s="31" t="e">
        <f>+#REF!</f>
        <v>#REF!</v>
      </c>
      <c r="L7" s="13"/>
      <c r="M7" s="13"/>
      <c r="N7" s="334" t="s">
        <v>24</v>
      </c>
      <c r="O7" s="334"/>
      <c r="P7" s="334"/>
      <c r="Q7" s="334"/>
      <c r="R7" s="334"/>
      <c r="S7" s="30">
        <v>4597</v>
      </c>
      <c r="T7" s="13"/>
      <c r="Y7" s="13"/>
      <c r="Z7" s="13"/>
      <c r="AA7" s="13"/>
      <c r="AB7" s="13"/>
      <c r="AC7" s="13"/>
      <c r="AG7" s="13"/>
      <c r="AH7" s="13"/>
      <c r="AI7" s="13"/>
      <c r="AJ7" s="13"/>
      <c r="AK7" s="13"/>
      <c r="AL7" s="13"/>
    </row>
    <row r="8" spans="1:38" x14ac:dyDescent="0.2">
      <c r="A8" s="155" t="s">
        <v>25</v>
      </c>
      <c r="B8" s="159">
        <v>4108.26</v>
      </c>
      <c r="C8" s="159">
        <v>4108</v>
      </c>
      <c r="D8" s="160">
        <v>0</v>
      </c>
      <c r="E8" s="159">
        <f t="shared" si="0"/>
        <v>4108</v>
      </c>
      <c r="F8" s="159">
        <f t="shared" si="1"/>
        <v>0.26000000000021828</v>
      </c>
      <c r="H8" s="4"/>
      <c r="J8" s="2"/>
      <c r="K8" s="2"/>
      <c r="L8" s="13"/>
      <c r="M8" s="13"/>
      <c r="N8" s="2"/>
      <c r="O8" s="33"/>
      <c r="P8" s="33"/>
      <c r="Q8" s="33" t="s">
        <v>26</v>
      </c>
      <c r="R8" s="33"/>
      <c r="S8" s="34">
        <f>S6/S7</f>
        <v>1.0400261039808572</v>
      </c>
      <c r="T8" s="13"/>
      <c r="Y8" s="13"/>
      <c r="Z8" s="13"/>
      <c r="AA8" s="13"/>
      <c r="AB8" s="13"/>
      <c r="AC8" s="13"/>
      <c r="AG8" s="13"/>
      <c r="AH8" s="13"/>
      <c r="AI8" s="13"/>
      <c r="AJ8" s="13"/>
      <c r="AK8" s="13"/>
      <c r="AL8" s="13"/>
    </row>
    <row r="9" spans="1:38" x14ac:dyDescent="0.3">
      <c r="A9" s="155" t="s">
        <v>27</v>
      </c>
      <c r="B9" s="156">
        <v>3791.52</v>
      </c>
      <c r="C9" s="156">
        <v>3791.52</v>
      </c>
      <c r="D9" s="155">
        <v>0</v>
      </c>
      <c r="E9" s="156">
        <f t="shared" si="0"/>
        <v>3791.52</v>
      </c>
      <c r="F9" s="156">
        <f t="shared" si="1"/>
        <v>0</v>
      </c>
      <c r="H9" s="4"/>
      <c r="L9" s="13"/>
      <c r="M9" s="13"/>
      <c r="N9" s="2"/>
      <c r="O9" s="2"/>
      <c r="P9" s="2"/>
      <c r="Q9" s="2"/>
      <c r="S9" s="2"/>
      <c r="T9" s="13"/>
      <c r="Y9" s="13"/>
      <c r="Z9" s="13"/>
      <c r="AA9" s="13"/>
      <c r="AB9" s="13"/>
      <c r="AC9" s="13"/>
      <c r="AG9" s="13"/>
      <c r="AH9" s="13"/>
      <c r="AI9" s="13"/>
      <c r="AJ9" s="13"/>
      <c r="AK9" s="13"/>
      <c r="AL9" s="13"/>
    </row>
    <row r="10" spans="1:38" x14ac:dyDescent="0.3">
      <c r="A10" s="155" t="s">
        <v>28</v>
      </c>
      <c r="B10" s="155">
        <v>7713</v>
      </c>
      <c r="C10" s="155">
        <v>7713</v>
      </c>
      <c r="D10" s="155">
        <v>0</v>
      </c>
      <c r="E10" s="156">
        <f t="shared" si="0"/>
        <v>7713</v>
      </c>
      <c r="F10" s="155">
        <f t="shared" si="1"/>
        <v>0</v>
      </c>
      <c r="G10" s="35"/>
      <c r="H10" s="4"/>
      <c r="L10" s="13"/>
      <c r="M10" s="13"/>
      <c r="N10" s="2"/>
      <c r="O10" s="4"/>
      <c r="P10" s="13"/>
      <c r="Q10" s="13"/>
      <c r="R10" s="13"/>
      <c r="S10" s="13"/>
      <c r="T10" s="13"/>
      <c r="Y10" s="13"/>
      <c r="Z10" s="13"/>
      <c r="AA10" s="13"/>
      <c r="AB10" s="13"/>
      <c r="AC10" s="13"/>
      <c r="AG10" s="13"/>
      <c r="AH10" s="13"/>
      <c r="AI10" s="13"/>
      <c r="AJ10" s="13"/>
      <c r="AK10" s="13"/>
      <c r="AL10" s="13"/>
    </row>
    <row r="11" spans="1:38" x14ac:dyDescent="0.3">
      <c r="A11" s="155" t="s">
        <v>29</v>
      </c>
      <c r="B11" s="155">
        <v>9400</v>
      </c>
      <c r="C11" s="155">
        <v>9400</v>
      </c>
      <c r="D11" s="155">
        <v>0</v>
      </c>
      <c r="E11" s="156">
        <f t="shared" si="0"/>
        <v>9400</v>
      </c>
      <c r="F11" s="155">
        <f t="shared" si="1"/>
        <v>0</v>
      </c>
      <c r="H11" s="4"/>
      <c r="K11" s="5" t="s">
        <v>30</v>
      </c>
      <c r="L11" s="13"/>
      <c r="M11" s="13"/>
      <c r="N11" s="13"/>
      <c r="O11" s="2"/>
      <c r="P11" s="13"/>
      <c r="Q11" s="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G11" s="13"/>
      <c r="AH11" s="13"/>
      <c r="AI11" s="13"/>
      <c r="AJ11" s="13"/>
      <c r="AK11" s="13"/>
      <c r="AL11" s="13"/>
    </row>
    <row r="12" spans="1:38" x14ac:dyDescent="0.3">
      <c r="A12" s="155" t="s">
        <v>31</v>
      </c>
      <c r="B12" s="155">
        <v>10500</v>
      </c>
      <c r="C12" s="155">
        <v>10500</v>
      </c>
      <c r="D12" s="155">
        <v>0</v>
      </c>
      <c r="E12" s="156">
        <f t="shared" si="0"/>
        <v>10500</v>
      </c>
      <c r="F12" s="155">
        <f t="shared" si="1"/>
        <v>0</v>
      </c>
      <c r="H12" s="4"/>
      <c r="L12" s="13"/>
      <c r="M12" s="13"/>
      <c r="N12" s="13"/>
      <c r="O12" s="2"/>
      <c r="P12" s="13"/>
      <c r="Q12" s="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G12" s="13"/>
      <c r="AH12" s="13"/>
      <c r="AI12" s="13"/>
      <c r="AJ12" s="13"/>
      <c r="AK12" s="13"/>
      <c r="AL12" s="13"/>
    </row>
    <row r="13" spans="1:38" x14ac:dyDescent="0.3">
      <c r="A13" s="155" t="s">
        <v>32</v>
      </c>
      <c r="B13" s="155">
        <v>10500</v>
      </c>
      <c r="C13" s="155">
        <v>10500</v>
      </c>
      <c r="D13" s="157">
        <v>0</v>
      </c>
      <c r="E13" s="161">
        <f t="shared" si="0"/>
        <v>10500</v>
      </c>
      <c r="F13" s="157">
        <f t="shared" si="1"/>
        <v>0</v>
      </c>
      <c r="H13" s="4"/>
      <c r="L13" s="13"/>
      <c r="M13" s="13"/>
      <c r="N13" s="13"/>
      <c r="O13" s="2"/>
      <c r="P13" s="13"/>
      <c r="Q13" s="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G13" s="13"/>
      <c r="AH13" s="13"/>
      <c r="AI13" s="13"/>
      <c r="AJ13" s="13"/>
      <c r="AK13" s="13"/>
      <c r="AL13" s="13"/>
    </row>
    <row r="14" spans="1:38" x14ac:dyDescent="0.3">
      <c r="A14" s="155" t="s">
        <v>33</v>
      </c>
      <c r="B14" s="155">
        <v>7000</v>
      </c>
      <c r="C14" s="158">
        <v>7000</v>
      </c>
      <c r="D14" s="158">
        <v>0</v>
      </c>
      <c r="E14" s="156">
        <f t="shared" si="0"/>
        <v>7000</v>
      </c>
      <c r="F14" s="155">
        <f t="shared" si="1"/>
        <v>0</v>
      </c>
      <c r="H14" s="4">
        <v>629</v>
      </c>
      <c r="I14" s="4">
        <f>H14-D3</f>
        <v>-82.269786290322486</v>
      </c>
      <c r="L14" s="13"/>
      <c r="M14" s="13"/>
      <c r="N14" s="13"/>
      <c r="O14" s="2"/>
      <c r="P14" s="13"/>
      <c r="Q14" s="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G14" s="13"/>
      <c r="AH14" s="13"/>
      <c r="AI14" s="13"/>
      <c r="AJ14" s="13"/>
      <c r="AK14" s="13"/>
      <c r="AL14" s="13"/>
    </row>
    <row r="15" spans="1:38" x14ac:dyDescent="0.3">
      <c r="A15" s="155" t="s">
        <v>34</v>
      </c>
      <c r="B15" s="155">
        <v>52</v>
      </c>
      <c r="C15" s="155">
        <v>49</v>
      </c>
      <c r="D15" s="2">
        <v>1</v>
      </c>
      <c r="E15" s="156">
        <f t="shared" si="0"/>
        <v>50</v>
      </c>
      <c r="F15" s="155">
        <f t="shared" si="1"/>
        <v>2</v>
      </c>
      <c r="H15" s="4">
        <v>-1577.1</v>
      </c>
      <c r="L15" s="13"/>
      <c r="M15" s="13"/>
      <c r="N15" s="13"/>
      <c r="O15" s="2"/>
      <c r="P15" s="13"/>
      <c r="Q15" s="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G15" s="13"/>
      <c r="AH15" s="13"/>
      <c r="AI15" s="13"/>
      <c r="AJ15" s="13"/>
      <c r="AK15" s="13"/>
      <c r="AL15" s="13"/>
    </row>
    <row r="16" spans="1:38" x14ac:dyDescent="0.3">
      <c r="A16" s="155" t="s">
        <v>35</v>
      </c>
      <c r="B16" s="155">
        <v>0</v>
      </c>
      <c r="C16" s="155">
        <v>0</v>
      </c>
      <c r="D16" s="155">
        <v>0</v>
      </c>
      <c r="E16" s="159">
        <f t="shared" si="0"/>
        <v>0</v>
      </c>
      <c r="F16" s="160">
        <f t="shared" si="1"/>
        <v>0</v>
      </c>
      <c r="H16" s="4">
        <f>H15+H14</f>
        <v>-948.09999999999991</v>
      </c>
      <c r="L16" s="13"/>
      <c r="M16" s="13"/>
      <c r="N16" s="13"/>
      <c r="O16" s="2"/>
      <c r="P16" s="13"/>
      <c r="Q16" s="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G16" s="13"/>
      <c r="AH16" s="13"/>
      <c r="AI16" s="13"/>
      <c r="AJ16" s="13"/>
      <c r="AK16" s="13"/>
      <c r="AL16" s="13"/>
    </row>
    <row r="17" spans="1:77" x14ac:dyDescent="0.3">
      <c r="A17" s="155" t="s">
        <v>36</v>
      </c>
      <c r="B17" s="155">
        <v>23</v>
      </c>
      <c r="C17" s="155">
        <v>23</v>
      </c>
      <c r="D17" s="155">
        <v>0</v>
      </c>
      <c r="E17" s="156">
        <f t="shared" si="0"/>
        <v>23</v>
      </c>
      <c r="F17" s="155">
        <f t="shared" si="1"/>
        <v>0</v>
      </c>
      <c r="H17" s="4"/>
      <c r="L17" s="13"/>
      <c r="M17" s="13"/>
      <c r="N17" s="13"/>
      <c r="O17" s="2"/>
      <c r="P17" s="13"/>
      <c r="Q17" s="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G17" s="13"/>
      <c r="AH17" s="13"/>
      <c r="AI17" s="13"/>
      <c r="AJ17" s="13"/>
      <c r="AK17" s="13"/>
      <c r="AL17" s="13"/>
    </row>
    <row r="18" spans="1:77" x14ac:dyDescent="0.3">
      <c r="A18" s="155" t="s">
        <v>37</v>
      </c>
      <c r="B18" s="155">
        <v>131</v>
      </c>
      <c r="C18" s="155">
        <v>131</v>
      </c>
      <c r="D18" s="155">
        <v>0</v>
      </c>
      <c r="E18" s="156">
        <f t="shared" si="0"/>
        <v>131</v>
      </c>
      <c r="F18" s="155">
        <f t="shared" si="1"/>
        <v>0</v>
      </c>
      <c r="H18" s="4"/>
      <c r="L18" s="13"/>
      <c r="M18" s="13"/>
      <c r="N18" s="13"/>
      <c r="O18" s="2"/>
      <c r="P18" s="13"/>
      <c r="Q18" s="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G18" s="13"/>
      <c r="AH18" s="13"/>
      <c r="AI18" s="13"/>
      <c r="AJ18" s="13"/>
      <c r="AK18" s="13"/>
      <c r="AL18" s="13"/>
    </row>
    <row r="19" spans="1:77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3"/>
      <c r="K19" s="162"/>
      <c r="L19" s="162"/>
      <c r="M19" s="162"/>
      <c r="N19" s="162"/>
      <c r="O19" s="162"/>
      <c r="P19" s="162"/>
      <c r="Q19" s="162"/>
      <c r="R19" s="162"/>
      <c r="S19" s="16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G19" s="13"/>
      <c r="AH19" s="13"/>
      <c r="AI19" s="13"/>
      <c r="AJ19" s="13"/>
      <c r="AK19" s="13"/>
      <c r="AL19" s="13"/>
    </row>
    <row r="20" spans="1:77" x14ac:dyDescent="0.3">
      <c r="A20" s="14"/>
      <c r="B20" s="164"/>
      <c r="C20" s="14"/>
      <c r="D20" s="14"/>
      <c r="E20" s="42"/>
      <c r="F20" s="42"/>
      <c r="G20" s="42"/>
      <c r="H20" s="42"/>
      <c r="I20" s="13"/>
      <c r="J20" s="43"/>
      <c r="K20" s="22"/>
      <c r="L20" s="22"/>
      <c r="M20" s="22"/>
      <c r="N20" s="22"/>
      <c r="O20" s="22"/>
      <c r="P20" s="22"/>
      <c r="Q20" s="22"/>
      <c r="R20" s="13"/>
      <c r="S20" s="45" t="s">
        <v>38</v>
      </c>
      <c r="T20" s="165"/>
      <c r="U20" s="165">
        <v>0.5</v>
      </c>
      <c r="V20" s="165" t="s">
        <v>39</v>
      </c>
      <c r="W20" s="165"/>
      <c r="X20" s="34">
        <f>S8</f>
        <v>1.0400261039808572</v>
      </c>
      <c r="Y20" s="165"/>
      <c r="Z20" s="165" t="s">
        <v>40</v>
      </c>
      <c r="AA20" s="166">
        <v>1.78</v>
      </c>
      <c r="AB20" s="165" t="s">
        <v>41</v>
      </c>
      <c r="AC20" s="167">
        <v>7.9</v>
      </c>
      <c r="AD20" s="7">
        <f>+AA20*(AC20*(30.5*24-AF20)+AF20*20)</f>
        <v>10422.612000000001</v>
      </c>
      <c r="AE20" s="7" t="s">
        <v>42</v>
      </c>
      <c r="AF20" s="168">
        <v>6</v>
      </c>
      <c r="AG20" s="165"/>
      <c r="AH20" s="165"/>
      <c r="AI20" s="165"/>
      <c r="AJ20" s="165"/>
      <c r="AK20" s="165"/>
      <c r="AL20" s="165"/>
    </row>
    <row r="21" spans="1:77" ht="13.5" customHeight="1" x14ac:dyDescent="0.3">
      <c r="A21" s="14"/>
      <c r="B21" s="14"/>
      <c r="C21" s="326" t="s">
        <v>43</v>
      </c>
      <c r="D21" s="326"/>
      <c r="E21" s="327" t="s">
        <v>44</v>
      </c>
      <c r="F21" s="327"/>
      <c r="G21" s="327"/>
      <c r="H21" s="327"/>
      <c r="I21" s="327"/>
      <c r="J21" s="327"/>
      <c r="K21" s="327"/>
      <c r="L21" s="327"/>
      <c r="M21" s="327"/>
      <c r="N21" s="169"/>
      <c r="O21" s="328" t="s">
        <v>45</v>
      </c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9" t="s">
        <v>46</v>
      </c>
      <c r="AA21" s="329"/>
      <c r="AB21" s="329"/>
      <c r="AC21" s="329"/>
      <c r="AD21" s="329"/>
      <c r="AE21" s="330" t="s">
        <v>47</v>
      </c>
      <c r="AF21" s="330"/>
      <c r="AG21" s="330"/>
      <c r="AH21" s="330"/>
      <c r="AI21" s="330"/>
      <c r="AJ21" s="330"/>
      <c r="AK21" s="330"/>
      <c r="AL21" s="330"/>
      <c r="AM21" s="331" t="s">
        <v>48</v>
      </c>
      <c r="AN21" s="331"/>
      <c r="AO21" s="331"/>
      <c r="AP21" s="331"/>
      <c r="AQ21" s="331"/>
      <c r="AR21" s="331"/>
      <c r="AS21" s="331"/>
      <c r="AT21" s="331"/>
      <c r="AU21" s="332" t="s">
        <v>49</v>
      </c>
      <c r="AV21" s="332"/>
      <c r="AW21" s="332"/>
      <c r="AX21" s="332"/>
    </row>
    <row r="22" spans="1:77" ht="42.75" customHeight="1" x14ac:dyDescent="0.3">
      <c r="A22" s="152" t="s">
        <v>50</v>
      </c>
      <c r="B22" s="152" t="s">
        <v>51</v>
      </c>
      <c r="C22" s="170" t="s">
        <v>52</v>
      </c>
      <c r="D22" s="170" t="s">
        <v>53</v>
      </c>
      <c r="E22" s="170" t="s">
        <v>54</v>
      </c>
      <c r="F22" s="170" t="s">
        <v>55</v>
      </c>
      <c r="G22" s="171" t="s">
        <v>56</v>
      </c>
      <c r="H22" s="172" t="s">
        <v>57</v>
      </c>
      <c r="I22" s="173" t="s">
        <v>58</v>
      </c>
      <c r="J22" s="174" t="s">
        <v>59</v>
      </c>
      <c r="K22" s="172" t="s">
        <v>60</v>
      </c>
      <c r="L22" s="170" t="s">
        <v>61</v>
      </c>
      <c r="M22" s="172" t="s">
        <v>62</v>
      </c>
      <c r="N22" s="175" t="s">
        <v>63</v>
      </c>
      <c r="O22" s="176" t="s">
        <v>64</v>
      </c>
      <c r="P22" s="171" t="s">
        <v>56</v>
      </c>
      <c r="Q22" s="177" t="s">
        <v>65</v>
      </c>
      <c r="R22" s="178" t="s">
        <v>66</v>
      </c>
      <c r="S22" s="179" t="s">
        <v>67</v>
      </c>
      <c r="T22" s="172" t="s">
        <v>68</v>
      </c>
      <c r="U22" s="171" t="s">
        <v>69</v>
      </c>
      <c r="V22" s="177" t="s">
        <v>70</v>
      </c>
      <c r="W22" s="171" t="s">
        <v>71</v>
      </c>
      <c r="X22" s="171" t="s">
        <v>72</v>
      </c>
      <c r="Y22" s="171" t="s">
        <v>73</v>
      </c>
      <c r="Z22" s="177" t="s">
        <v>74</v>
      </c>
      <c r="AA22" s="62" t="s">
        <v>75</v>
      </c>
      <c r="AB22" s="63" t="s">
        <v>76</v>
      </c>
      <c r="AC22" s="64" t="s">
        <v>77</v>
      </c>
      <c r="AD22" s="180" t="s">
        <v>78</v>
      </c>
      <c r="AE22" s="181" t="s">
        <v>64</v>
      </c>
      <c r="AF22" s="180" t="s">
        <v>56</v>
      </c>
      <c r="AG22" s="172" t="s">
        <v>57</v>
      </c>
      <c r="AH22" s="152" t="s">
        <v>58</v>
      </c>
      <c r="AI22" s="172" t="s">
        <v>79</v>
      </c>
      <c r="AJ22" s="172" t="s">
        <v>60</v>
      </c>
      <c r="AK22" s="172" t="s">
        <v>68</v>
      </c>
      <c r="AL22" s="172" t="s">
        <v>80</v>
      </c>
      <c r="AM22" s="64" t="s">
        <v>81</v>
      </c>
      <c r="AN22" s="64" t="s">
        <v>82</v>
      </c>
      <c r="AO22" s="63" t="s">
        <v>83</v>
      </c>
      <c r="AP22" s="64" t="s">
        <v>47</v>
      </c>
      <c r="AQ22" s="64" t="s">
        <v>84</v>
      </c>
      <c r="AR22" s="64" t="s">
        <v>85</v>
      </c>
      <c r="AS22" s="67" t="s">
        <v>63</v>
      </c>
      <c r="AT22" s="64" t="s">
        <v>86</v>
      </c>
      <c r="AU22" s="64" t="s">
        <v>87</v>
      </c>
      <c r="AV22" s="63" t="s">
        <v>88</v>
      </c>
      <c r="AW22" s="63" t="s">
        <v>89</v>
      </c>
      <c r="AX22" s="63" t="s">
        <v>90</v>
      </c>
      <c r="AY22" s="62" t="s">
        <v>91</v>
      </c>
      <c r="BA22" s="70" t="s">
        <v>92</v>
      </c>
      <c r="BB22" s="70" t="s">
        <v>93</v>
      </c>
      <c r="BC22" s="70" t="s">
        <v>94</v>
      </c>
      <c r="BD22" s="70" t="s">
        <v>95</v>
      </c>
      <c r="BE22" s="70" t="s">
        <v>96</v>
      </c>
      <c r="BF22" s="70"/>
      <c r="BG22" s="70" t="s">
        <v>97</v>
      </c>
      <c r="BH22" s="70" t="s">
        <v>98</v>
      </c>
      <c r="BI22" s="70" t="s">
        <v>99</v>
      </c>
      <c r="BJ22" s="70" t="s">
        <v>100</v>
      </c>
      <c r="BK22" s="70" t="s">
        <v>101</v>
      </c>
      <c r="BL22" s="70" t="s">
        <v>102</v>
      </c>
      <c r="BM22" s="70" t="s">
        <v>103</v>
      </c>
      <c r="BN22" s="70" t="s">
        <v>104</v>
      </c>
      <c r="BO22" s="70" t="s">
        <v>105</v>
      </c>
      <c r="BP22" s="70" t="s">
        <v>106</v>
      </c>
      <c r="BQ22" s="70" t="s">
        <v>107</v>
      </c>
      <c r="BR22" s="71" t="s">
        <v>108</v>
      </c>
      <c r="BS22" s="71"/>
      <c r="BT22" s="70" t="s">
        <v>106</v>
      </c>
      <c r="BU22" s="70" t="s">
        <v>105</v>
      </c>
      <c r="BV22" s="70" t="s">
        <v>109</v>
      </c>
      <c r="BW22" s="70" t="s">
        <v>110</v>
      </c>
      <c r="BX22" s="70" t="s">
        <v>111</v>
      </c>
      <c r="BY22" s="70" t="s">
        <v>112</v>
      </c>
    </row>
    <row r="23" spans="1:77" ht="14.4" x14ac:dyDescent="0.3">
      <c r="A23" s="182" t="s">
        <v>113</v>
      </c>
      <c r="B23" s="154" t="s">
        <v>114</v>
      </c>
      <c r="C23" s="154" t="s">
        <v>115</v>
      </c>
      <c r="D23" s="183" t="s">
        <v>116</v>
      </c>
      <c r="E23" s="154" t="s">
        <v>117</v>
      </c>
      <c r="F23" s="154" t="s">
        <v>118</v>
      </c>
      <c r="G23" s="155" t="str">
        <f t="shared" ref="G23:G54" si="2">IF(E23="Rack","No of Racks",(IF(E23="Space","Sq Ft","U Space")))</f>
        <v>No of Racks</v>
      </c>
      <c r="H23" s="154">
        <v>5</v>
      </c>
      <c r="I23" s="154">
        <v>5</v>
      </c>
      <c r="J23" s="184">
        <f>H23-I23</f>
        <v>0</v>
      </c>
      <c r="K23" s="154">
        <v>5</v>
      </c>
      <c r="L23" s="154"/>
      <c r="M23" s="185">
        <f>1395000/12/2</f>
        <v>58125</v>
      </c>
      <c r="N23" s="186">
        <f>M23*12</f>
        <v>697500</v>
      </c>
      <c r="O23" s="187" t="str">
        <f t="shared" ref="O23:O55" si="3">C23</f>
        <v>Subscribed</v>
      </c>
      <c r="P23" s="154" t="s">
        <v>108</v>
      </c>
      <c r="Q23" s="154">
        <v>11</v>
      </c>
      <c r="R23" s="188">
        <v>6.97</v>
      </c>
      <c r="S23" s="189">
        <f t="shared" ref="S23:S31" si="4">Q23-R23</f>
        <v>4.03</v>
      </c>
      <c r="T23" s="190"/>
      <c r="U23" s="190">
        <f t="shared" ref="U23:U64" si="5">IF(S23&lt;=0,0,(IF(O23="Rated",(S23+T23)*$U$20,(S23+T23))))</f>
        <v>4.03</v>
      </c>
      <c r="V23" s="191">
        <f t="shared" ref="V23:V66" si="6">IF(O23="Rated",Q23*$U$20,Q23)</f>
        <v>11</v>
      </c>
      <c r="W23" s="192">
        <v>4.84</v>
      </c>
      <c r="X23" s="190"/>
      <c r="Y23" s="85">
        <f>484100/5/12</f>
        <v>8068.333333333333</v>
      </c>
      <c r="Z23" s="193" t="str">
        <f t="shared" ref="Z23:Z32" si="7">D23</f>
        <v>Bundled</v>
      </c>
      <c r="AA23" s="190"/>
      <c r="AB23" s="190"/>
      <c r="AC23" s="194"/>
      <c r="AD23">
        <v>5015.180999999995</v>
      </c>
      <c r="AE23" s="122"/>
      <c r="AF23" s="155" t="str">
        <f t="shared" ref="AF23:AF44" si="8">IF(AE23="No of Seats","No of Seats",(IF(AE23="Space","Sq Ft","")))</f>
        <v/>
      </c>
      <c r="AG23" s="190"/>
      <c r="AH23" s="190"/>
      <c r="AI23" s="190"/>
      <c r="AJ23" s="190"/>
      <c r="AK23" s="190"/>
      <c r="AL23" s="185"/>
      <c r="AM23" s="85">
        <f t="shared" ref="AM23:AM34" si="9">M23*K23</f>
        <v>290625</v>
      </c>
      <c r="AN23" s="85">
        <f t="shared" ref="AN23:AN45" si="10">Y23*X23</f>
        <v>0</v>
      </c>
      <c r="AO23" s="85">
        <f t="shared" ref="AO23:AO45" si="11">AD23*AC23*AA23</f>
        <v>0</v>
      </c>
      <c r="AP23" s="85">
        <f t="shared" ref="AP23:AP45" si="12">AL23*AJ23</f>
        <v>0</v>
      </c>
      <c r="AQ23" s="86">
        <f>(50000+270000)/12</f>
        <v>26666.666666666668</v>
      </c>
      <c r="AR23" s="87">
        <f t="shared" ref="AR23:AR45" si="13">SUBTOTAL(9,AM23:AQ23)</f>
        <v>0</v>
      </c>
      <c r="AS23" s="88">
        <f t="shared" ref="AS23:AS45" si="14">AR23*12</f>
        <v>0</v>
      </c>
      <c r="AT23" s="87" t="s">
        <v>119</v>
      </c>
      <c r="AU23" s="71" t="s">
        <v>120</v>
      </c>
      <c r="AV23" s="195">
        <v>42339</v>
      </c>
      <c r="AW23" s="71">
        <v>4</v>
      </c>
      <c r="AX23" s="195">
        <v>43800</v>
      </c>
      <c r="AY23" s="71" t="s">
        <v>121</v>
      </c>
      <c r="BA23" s="86">
        <f t="shared" ref="BA23:BA45" si="15">IF(E23="Rack",AR23/H23,0)+IF(E23="U Space",AR23*40/H23,0)+IF(E23="Space",AR23*30/H23,0)</f>
        <v>0</v>
      </c>
      <c r="BB23" s="86">
        <f t="shared" ref="BB23:BB45" si="16">+AR23/V23</f>
        <v>0</v>
      </c>
      <c r="BC23" s="86">
        <f t="shared" ref="BC23:BC45" si="17">+($AM23+$AN23+$AO23-BJ23)/$V23</f>
        <v>19876.188956271242</v>
      </c>
      <c r="BD23" s="86">
        <f t="shared" ref="BD23:BD45" si="18">+($AM23+$AN23+$AO23-BK23)/$V23</f>
        <v>19876.188956271242</v>
      </c>
      <c r="BE23" s="86">
        <f t="shared" ref="BE23:BE45" si="19">+($AM23+$AN23+IF(D23="Bundled",0,V23*0.85*AA23*AC23*30.5*24)-BL23)/$V23</f>
        <v>15997.842545454543</v>
      </c>
      <c r="BF23" s="86"/>
      <c r="BG23" s="92">
        <f t="shared" ref="BG23:BG45" si="20">+AM23+AN23+AO23</f>
        <v>290625</v>
      </c>
      <c r="BH23" s="92">
        <f t="shared" ref="BH23:BH45" si="21">+BG23-BI23</f>
        <v>175976.26799999998</v>
      </c>
      <c r="BI23" s="92">
        <f t="shared" ref="BI23:BI45" si="22">IF(D23="Bundled",MIN(V23*$AD$20*(1+$K$2),BG23),AO23)</f>
        <v>114648.73200000002</v>
      </c>
      <c r="BJ23" s="93">
        <f t="shared" ref="BJ23:BJ64" si="23">IF($AD23&gt;0,$AD23*$AA$20*$AC$20*(1+$AF$20*(20/$AC$20)/732),$AD$20*W23)</f>
        <v>71986.921481016325</v>
      </c>
      <c r="BK23" s="93">
        <f t="shared" ref="BK23:BK64" si="24">IF($AD23&gt;0,$AD23*$AA$20*$AC$20*(1+$AF$20*(20/$AC$20)/732),+$AD$20*(W23+U23))</f>
        <v>71986.921481016325</v>
      </c>
      <c r="BL23" s="93">
        <f t="shared" ref="BL23:BL45" si="25">IF(D23="Bundled",$AD$20*V23,$AD$20*V23*0.85)</f>
        <v>114648.73200000002</v>
      </c>
      <c r="BM23" s="93">
        <f t="shared" ref="BM23:BM45" si="26">+BC23*V23</f>
        <v>218638.07851898368</v>
      </c>
      <c r="BN23" s="93">
        <f t="shared" ref="BN23:BN45" si="27">+$J$2*V23</f>
        <v>66000</v>
      </c>
      <c r="BO23" s="93">
        <f t="shared" ref="BO23:BO45" si="28">+BH23-BN23</f>
        <v>109976.26799999998</v>
      </c>
      <c r="BP23" s="93">
        <f t="shared" ref="BP23:BP45" si="29">+BI23-BJ23</f>
        <v>42661.810518983693</v>
      </c>
      <c r="BQ23" s="93">
        <f t="shared" ref="BQ23:BQ45" si="30">+BO23+BP23</f>
        <v>152638.07851898368</v>
      </c>
      <c r="BR23" s="93">
        <f t="shared" ref="BR23:BR45" si="31">+V23</f>
        <v>11</v>
      </c>
      <c r="BS23" s="93">
        <f t="shared" ref="BS23:BS45" si="32">+BC23</f>
        <v>19876.188956271242</v>
      </c>
      <c r="BT23" s="93">
        <f t="shared" ref="BT23:BT45" si="33">IF(D23="Bundled",BL23-BJ23,AO23-BJ23)</f>
        <v>42661.810518983693</v>
      </c>
      <c r="BU23" s="93">
        <f t="shared" ref="BU23:BU45" si="34">IF(D23="Bundled",+(BE23-$J$2)*V23,(AM23+AN23)-V23*$J$2)</f>
        <v>109976.26799999998</v>
      </c>
      <c r="BV23" s="93">
        <f t="shared" ref="BV23:BV45" si="35">+BT23+BU23</f>
        <v>152638.07851898368</v>
      </c>
      <c r="BW23" s="93">
        <f t="shared" ref="BW23:BW45" si="36">+BT23/$BR23</f>
        <v>3878.3464108166995</v>
      </c>
      <c r="BX23" s="93">
        <f t="shared" ref="BX23:BX45" si="37">+BU23/$BR23</f>
        <v>9997.8425454545431</v>
      </c>
      <c r="BY23" s="93">
        <f t="shared" ref="BY23:BY45" si="38">+BV23/$BR23</f>
        <v>13876.188956271244</v>
      </c>
    </row>
    <row r="24" spans="1:77" ht="14.4" x14ac:dyDescent="0.3">
      <c r="A24" s="182" t="s">
        <v>122</v>
      </c>
      <c r="B24" s="154" t="s">
        <v>123</v>
      </c>
      <c r="C24" s="154" t="s">
        <v>124</v>
      </c>
      <c r="D24" s="183" t="s">
        <v>116</v>
      </c>
      <c r="E24" s="154" t="s">
        <v>117</v>
      </c>
      <c r="F24" s="154" t="s">
        <v>118</v>
      </c>
      <c r="G24" s="155" t="str">
        <f t="shared" si="2"/>
        <v>No of Racks</v>
      </c>
      <c r="H24" s="154">
        <v>1</v>
      </c>
      <c r="I24" s="154">
        <v>1</v>
      </c>
      <c r="J24" s="184">
        <f>H24-I24</f>
        <v>0</v>
      </c>
      <c r="K24" s="154">
        <v>1</v>
      </c>
      <c r="L24" s="154"/>
      <c r="M24" s="185">
        <f>897750/12</f>
        <v>74812.5</v>
      </c>
      <c r="N24" s="186">
        <f t="shared" ref="N24:N45" si="39">M24*12</f>
        <v>897750</v>
      </c>
      <c r="O24" s="187" t="str">
        <f t="shared" si="3"/>
        <v>Rated</v>
      </c>
      <c r="P24" s="154" t="s">
        <v>125</v>
      </c>
      <c r="Q24" s="154">
        <v>7</v>
      </c>
      <c r="R24" s="196">
        <v>1.17</v>
      </c>
      <c r="S24" s="189">
        <f t="shared" si="4"/>
        <v>5.83</v>
      </c>
      <c r="T24" s="190"/>
      <c r="U24" s="190">
        <f t="shared" si="5"/>
        <v>2.915</v>
      </c>
      <c r="V24" s="190">
        <f t="shared" si="6"/>
        <v>3.5</v>
      </c>
      <c r="W24" s="192">
        <v>0.78</v>
      </c>
      <c r="X24" s="190"/>
      <c r="Y24" s="85"/>
      <c r="Z24" s="193" t="str">
        <f t="shared" si="7"/>
        <v>Bundled</v>
      </c>
      <c r="AA24" s="190"/>
      <c r="AB24" s="190"/>
      <c r="AC24" s="194"/>
      <c r="AD24" s="197"/>
      <c r="AE24" s="122"/>
      <c r="AF24" s="155" t="str">
        <f t="shared" si="8"/>
        <v/>
      </c>
      <c r="AG24" s="190"/>
      <c r="AH24" s="190"/>
      <c r="AI24" s="190"/>
      <c r="AJ24" s="190"/>
      <c r="AK24" s="190"/>
      <c r="AL24" s="185"/>
      <c r="AM24" s="85">
        <f t="shared" si="9"/>
        <v>74812.5</v>
      </c>
      <c r="AN24" s="85">
        <f t="shared" si="10"/>
        <v>0</v>
      </c>
      <c r="AO24" s="85">
        <f t="shared" si="11"/>
        <v>0</v>
      </c>
      <c r="AP24" s="85">
        <f t="shared" si="12"/>
        <v>0</v>
      </c>
      <c r="AR24" s="87">
        <f t="shared" si="13"/>
        <v>0</v>
      </c>
      <c r="AS24" s="88">
        <f t="shared" si="14"/>
        <v>0</v>
      </c>
      <c r="AT24" s="87" t="s">
        <v>119</v>
      </c>
      <c r="AU24" s="71"/>
      <c r="AV24" s="195">
        <v>43040</v>
      </c>
      <c r="AW24" s="71">
        <v>1</v>
      </c>
      <c r="AX24" s="195">
        <v>43374</v>
      </c>
      <c r="AY24" s="71"/>
      <c r="BA24" s="86">
        <f t="shared" si="15"/>
        <v>0</v>
      </c>
      <c r="BB24" s="86">
        <f t="shared" si="16"/>
        <v>0</v>
      </c>
      <c r="BC24" s="86">
        <f t="shared" si="17"/>
        <v>19052.246468571429</v>
      </c>
      <c r="BD24" s="86">
        <f t="shared" si="18"/>
        <v>10371.699617142856</v>
      </c>
      <c r="BE24" s="86">
        <f t="shared" si="19"/>
        <v>10952.387999999997</v>
      </c>
      <c r="BF24" s="86"/>
      <c r="BG24" s="95">
        <f t="shared" si="20"/>
        <v>74812.5</v>
      </c>
      <c r="BH24" s="95">
        <f t="shared" si="21"/>
        <v>38333.357999999993</v>
      </c>
      <c r="BI24" s="95">
        <f t="shared" si="22"/>
        <v>36479.142000000007</v>
      </c>
      <c r="BJ24" s="93">
        <f t="shared" si="23"/>
        <v>8129.6373600000006</v>
      </c>
      <c r="BK24" s="93">
        <f t="shared" si="24"/>
        <v>38511.551340000005</v>
      </c>
      <c r="BL24" s="93">
        <f t="shared" si="25"/>
        <v>36479.142000000007</v>
      </c>
      <c r="BM24" s="93">
        <f t="shared" si="26"/>
        <v>66682.862640000007</v>
      </c>
      <c r="BN24" s="93">
        <f t="shared" si="27"/>
        <v>21000</v>
      </c>
      <c r="BO24" s="93">
        <f t="shared" si="28"/>
        <v>17333.357999999993</v>
      </c>
      <c r="BP24" s="93">
        <f t="shared" si="29"/>
        <v>28349.504640000006</v>
      </c>
      <c r="BQ24" s="93">
        <f t="shared" si="30"/>
        <v>45682.862639999999</v>
      </c>
      <c r="BR24" s="93">
        <f t="shared" si="31"/>
        <v>3.5</v>
      </c>
      <c r="BS24" s="93">
        <f t="shared" si="32"/>
        <v>19052.246468571429</v>
      </c>
      <c r="BT24" s="93">
        <f t="shared" si="33"/>
        <v>28349.504640000006</v>
      </c>
      <c r="BU24" s="93">
        <f t="shared" si="34"/>
        <v>17333.357999999989</v>
      </c>
      <c r="BV24" s="93">
        <f t="shared" si="35"/>
        <v>45682.862639999992</v>
      </c>
      <c r="BW24" s="93">
        <f t="shared" si="36"/>
        <v>8099.8584685714304</v>
      </c>
      <c r="BX24" s="93">
        <f t="shared" si="37"/>
        <v>4952.3879999999972</v>
      </c>
      <c r="BY24" s="93">
        <f t="shared" si="38"/>
        <v>13052.246468571426</v>
      </c>
    </row>
    <row r="25" spans="1:77" ht="14.4" x14ac:dyDescent="0.3">
      <c r="A25" s="182" t="s">
        <v>122</v>
      </c>
      <c r="B25" s="154" t="s">
        <v>126</v>
      </c>
      <c r="C25" s="154" t="s">
        <v>124</v>
      </c>
      <c r="D25" s="183" t="s">
        <v>116</v>
      </c>
      <c r="E25" s="154" t="s">
        <v>117</v>
      </c>
      <c r="F25" s="154" t="s">
        <v>118</v>
      </c>
      <c r="G25" s="155" t="str">
        <f t="shared" si="2"/>
        <v>No of Racks</v>
      </c>
      <c r="H25" s="154">
        <v>5</v>
      </c>
      <c r="I25" s="154">
        <v>5</v>
      </c>
      <c r="J25" s="184">
        <v>0</v>
      </c>
      <c r="K25" s="154">
        <v>5</v>
      </c>
      <c r="L25" s="154"/>
      <c r="M25" s="185">
        <f>2200001/12</f>
        <v>183333.41666666666</v>
      </c>
      <c r="N25" s="186">
        <f t="shared" si="39"/>
        <v>2200001</v>
      </c>
      <c r="O25" s="187" t="str">
        <f t="shared" si="3"/>
        <v>Rated</v>
      </c>
      <c r="P25" s="154" t="s">
        <v>125</v>
      </c>
      <c r="Q25" s="154">
        <v>35</v>
      </c>
      <c r="R25" s="196">
        <v>16.739999999999998</v>
      </c>
      <c r="S25" s="189">
        <f t="shared" si="4"/>
        <v>18.260000000000002</v>
      </c>
      <c r="T25" s="190"/>
      <c r="U25" s="190">
        <f t="shared" si="5"/>
        <v>9.1300000000000008</v>
      </c>
      <c r="V25" s="190">
        <f t="shared" si="6"/>
        <v>17.5</v>
      </c>
      <c r="W25" s="192">
        <v>12.79</v>
      </c>
      <c r="X25" s="190"/>
      <c r="Y25" s="85">
        <f>90000/12</f>
        <v>7500</v>
      </c>
      <c r="Z25" s="193" t="str">
        <f t="shared" si="7"/>
        <v>Bundled</v>
      </c>
      <c r="AA25" s="190"/>
      <c r="AB25" s="190"/>
      <c r="AC25" s="194"/>
      <c r="AD25" s="197"/>
      <c r="AE25" s="122"/>
      <c r="AF25" s="155" t="str">
        <f t="shared" si="8"/>
        <v/>
      </c>
      <c r="AG25" s="190"/>
      <c r="AH25" s="190"/>
      <c r="AI25" s="190"/>
      <c r="AJ25" s="190"/>
      <c r="AK25" s="190"/>
      <c r="AL25" s="185"/>
      <c r="AM25" s="85">
        <f t="shared" si="9"/>
        <v>916667.08333333326</v>
      </c>
      <c r="AN25" s="85">
        <f t="shared" si="10"/>
        <v>0</v>
      </c>
      <c r="AO25" s="85">
        <f t="shared" si="11"/>
        <v>0</v>
      </c>
      <c r="AP25" s="85">
        <f t="shared" si="12"/>
        <v>0</v>
      </c>
      <c r="AQ25" s="86">
        <f>(50000+65000+25000+100000+629996.99)/12</f>
        <v>72499.749166666661</v>
      </c>
      <c r="AR25" s="87">
        <f t="shared" si="13"/>
        <v>0</v>
      </c>
      <c r="AS25" s="88">
        <f t="shared" si="14"/>
        <v>0</v>
      </c>
      <c r="AT25" s="87" t="s">
        <v>119</v>
      </c>
      <c r="AU25" s="71" t="s">
        <v>127</v>
      </c>
      <c r="AV25" s="195">
        <v>43101</v>
      </c>
      <c r="AW25" s="71">
        <v>2</v>
      </c>
      <c r="AX25" s="195">
        <v>43830</v>
      </c>
      <c r="AY25" s="71"/>
      <c r="BA25" s="86">
        <f t="shared" si="15"/>
        <v>0</v>
      </c>
      <c r="BB25" s="86">
        <f t="shared" si="16"/>
        <v>0</v>
      </c>
      <c r="BC25" s="86">
        <f t="shared" si="17"/>
        <v>44763.535763047614</v>
      </c>
      <c r="BD25" s="86">
        <f t="shared" si="18"/>
        <v>39325.910188190464</v>
      </c>
      <c r="BE25" s="86">
        <f t="shared" si="19"/>
        <v>41958.36419047619</v>
      </c>
      <c r="BF25" s="86"/>
      <c r="BG25" s="95">
        <f t="shared" si="20"/>
        <v>916667.08333333326</v>
      </c>
      <c r="BH25" s="95">
        <f t="shared" si="21"/>
        <v>734271.37333333329</v>
      </c>
      <c r="BI25" s="95">
        <f t="shared" si="22"/>
        <v>182395.71000000002</v>
      </c>
      <c r="BJ25" s="93">
        <f t="shared" si="23"/>
        <v>133305.20748000001</v>
      </c>
      <c r="BK25" s="93">
        <f t="shared" si="24"/>
        <v>228463.65504000004</v>
      </c>
      <c r="BL25" s="93">
        <f t="shared" si="25"/>
        <v>182395.71000000002</v>
      </c>
      <c r="BM25" s="93">
        <f t="shared" si="26"/>
        <v>783361.87585333327</v>
      </c>
      <c r="BN25" s="93">
        <f t="shared" si="27"/>
        <v>105000</v>
      </c>
      <c r="BO25" s="93">
        <f t="shared" si="28"/>
        <v>629271.37333333329</v>
      </c>
      <c r="BP25" s="93">
        <f t="shared" si="29"/>
        <v>49090.502520000009</v>
      </c>
      <c r="BQ25" s="93">
        <f t="shared" si="30"/>
        <v>678361.87585333327</v>
      </c>
      <c r="BR25" s="93">
        <f t="shared" si="31"/>
        <v>17.5</v>
      </c>
      <c r="BS25" s="93">
        <f t="shared" si="32"/>
        <v>44763.535763047614</v>
      </c>
      <c r="BT25" s="93">
        <f t="shared" si="33"/>
        <v>49090.502520000009</v>
      </c>
      <c r="BU25" s="93">
        <f t="shared" si="34"/>
        <v>629271.37333333329</v>
      </c>
      <c r="BV25" s="93">
        <f t="shared" si="35"/>
        <v>678361.87585333327</v>
      </c>
      <c r="BW25" s="93">
        <f t="shared" si="36"/>
        <v>2805.1715725714289</v>
      </c>
      <c r="BX25" s="93">
        <f t="shared" si="37"/>
        <v>35958.36419047619</v>
      </c>
      <c r="BY25" s="93">
        <f t="shared" si="38"/>
        <v>38763.535763047614</v>
      </c>
    </row>
    <row r="26" spans="1:77" ht="14.4" x14ac:dyDescent="0.3">
      <c r="A26" s="182" t="s">
        <v>122</v>
      </c>
      <c r="B26" s="154" t="s">
        <v>128</v>
      </c>
      <c r="C26" s="154" t="s">
        <v>124</v>
      </c>
      <c r="D26" s="183" t="s">
        <v>116</v>
      </c>
      <c r="E26" s="154" t="s">
        <v>117</v>
      </c>
      <c r="F26" s="154" t="s">
        <v>118</v>
      </c>
      <c r="G26" s="155" t="str">
        <f t="shared" si="2"/>
        <v>No of Racks</v>
      </c>
      <c r="H26" s="154">
        <v>2</v>
      </c>
      <c r="I26" s="154">
        <v>0</v>
      </c>
      <c r="J26" s="184">
        <f t="shared" ref="J26:J46" si="40">H26-I26</f>
        <v>2</v>
      </c>
      <c r="K26" s="154">
        <v>2</v>
      </c>
      <c r="L26" s="154"/>
      <c r="M26" s="185">
        <f>(609500+545100)/12</f>
        <v>96216.666666666672</v>
      </c>
      <c r="N26" s="85">
        <f t="shared" si="39"/>
        <v>1154600</v>
      </c>
      <c r="O26" s="187" t="str">
        <f t="shared" si="3"/>
        <v>Rated</v>
      </c>
      <c r="P26" s="154" t="s">
        <v>125</v>
      </c>
      <c r="Q26" s="154">
        <v>12</v>
      </c>
      <c r="R26" s="198">
        <v>10.130000000000001</v>
      </c>
      <c r="S26" s="189">
        <f t="shared" si="4"/>
        <v>1.8699999999999992</v>
      </c>
      <c r="T26" s="190"/>
      <c r="U26" s="190">
        <f t="shared" si="5"/>
        <v>0.93499999999999961</v>
      </c>
      <c r="V26" s="190">
        <f t="shared" si="6"/>
        <v>6</v>
      </c>
      <c r="W26" s="192">
        <v>4.1399999999999997</v>
      </c>
      <c r="X26" s="190"/>
      <c r="Y26" s="85">
        <f>65000/12</f>
        <v>5416.666666666667</v>
      </c>
      <c r="Z26" s="193" t="str">
        <f t="shared" si="7"/>
        <v>Bundled</v>
      </c>
      <c r="AA26" s="190"/>
      <c r="AB26" s="190"/>
      <c r="AC26" s="194"/>
      <c r="AD26" s="197"/>
      <c r="AE26" s="122"/>
      <c r="AF26" s="155" t="str">
        <f t="shared" si="8"/>
        <v/>
      </c>
      <c r="AG26" s="190"/>
      <c r="AH26" s="190"/>
      <c r="AI26" s="190"/>
      <c r="AJ26" s="190"/>
      <c r="AK26" s="190"/>
      <c r="AL26" s="185"/>
      <c r="AM26" s="85">
        <f t="shared" si="9"/>
        <v>192433.33333333334</v>
      </c>
      <c r="AN26" s="85">
        <f t="shared" si="10"/>
        <v>0</v>
      </c>
      <c r="AO26" s="85">
        <f t="shared" si="11"/>
        <v>0</v>
      </c>
      <c r="AP26" s="85">
        <f t="shared" si="12"/>
        <v>0</v>
      </c>
      <c r="AQ26" s="86">
        <f>(10000+20000+80000)/12</f>
        <v>9166.6666666666661</v>
      </c>
      <c r="AR26" s="87">
        <f t="shared" si="13"/>
        <v>0</v>
      </c>
      <c r="AS26" s="87">
        <f t="shared" si="14"/>
        <v>0</v>
      </c>
      <c r="AT26" s="87" t="s">
        <v>119</v>
      </c>
      <c r="AU26" s="71">
        <v>121000205</v>
      </c>
      <c r="AV26" s="195">
        <v>43604</v>
      </c>
      <c r="AW26" s="71">
        <v>1</v>
      </c>
      <c r="AX26" s="195">
        <v>43941</v>
      </c>
      <c r="AY26" s="71"/>
      <c r="BA26" s="86">
        <f t="shared" si="15"/>
        <v>0</v>
      </c>
      <c r="BB26" s="86">
        <f t="shared" si="16"/>
        <v>0</v>
      </c>
      <c r="BC26" s="86">
        <f t="shared" si="17"/>
        <v>24880.619942222223</v>
      </c>
      <c r="BD26" s="86">
        <f t="shared" si="18"/>
        <v>23256.429572222227</v>
      </c>
      <c r="BE26" s="86">
        <f t="shared" si="19"/>
        <v>21649.610222222222</v>
      </c>
      <c r="BF26" s="86"/>
      <c r="BG26" s="95">
        <f t="shared" si="20"/>
        <v>192433.33333333334</v>
      </c>
      <c r="BH26" s="95">
        <f t="shared" si="21"/>
        <v>129897.66133333334</v>
      </c>
      <c r="BI26" s="95">
        <f t="shared" si="22"/>
        <v>62535.672000000006</v>
      </c>
      <c r="BJ26" s="93">
        <f t="shared" si="23"/>
        <v>43149.613680000002</v>
      </c>
      <c r="BK26" s="93">
        <f t="shared" si="24"/>
        <v>52894.755899999996</v>
      </c>
      <c r="BL26" s="93">
        <f t="shared" si="25"/>
        <v>62535.672000000006</v>
      </c>
      <c r="BM26" s="93">
        <f t="shared" si="26"/>
        <v>149283.71965333333</v>
      </c>
      <c r="BN26" s="93">
        <f t="shared" si="27"/>
        <v>36000</v>
      </c>
      <c r="BO26" s="93">
        <f t="shared" si="28"/>
        <v>93897.661333333337</v>
      </c>
      <c r="BP26" s="93">
        <f t="shared" si="29"/>
        <v>19386.058320000004</v>
      </c>
      <c r="BQ26" s="93">
        <f t="shared" si="30"/>
        <v>113283.71965333333</v>
      </c>
      <c r="BR26" s="93">
        <f t="shared" si="31"/>
        <v>6</v>
      </c>
      <c r="BS26" s="93">
        <f t="shared" si="32"/>
        <v>24880.619942222223</v>
      </c>
      <c r="BT26" s="93">
        <f t="shared" si="33"/>
        <v>19386.058320000004</v>
      </c>
      <c r="BU26" s="93">
        <f t="shared" si="34"/>
        <v>93897.661333333323</v>
      </c>
      <c r="BV26" s="93">
        <f t="shared" si="35"/>
        <v>113283.71965333333</v>
      </c>
      <c r="BW26" s="93">
        <f t="shared" si="36"/>
        <v>3231.0097200000005</v>
      </c>
      <c r="BX26" s="93">
        <f t="shared" si="37"/>
        <v>15649.61022222222</v>
      </c>
      <c r="BY26" s="93">
        <f t="shared" si="38"/>
        <v>18880.619942222223</v>
      </c>
    </row>
    <row r="27" spans="1:77" ht="18" customHeight="1" x14ac:dyDescent="0.3">
      <c r="A27" s="182" t="s">
        <v>113</v>
      </c>
      <c r="B27" s="154" t="s">
        <v>129</v>
      </c>
      <c r="C27" s="154" t="s">
        <v>124</v>
      </c>
      <c r="D27" s="183" t="s">
        <v>130</v>
      </c>
      <c r="E27" s="154" t="s">
        <v>117</v>
      </c>
      <c r="F27" s="154" t="s">
        <v>131</v>
      </c>
      <c r="G27" s="155" t="str">
        <f t="shared" si="2"/>
        <v>No of Racks</v>
      </c>
      <c r="H27" s="154">
        <v>122</v>
      </c>
      <c r="I27" s="154">
        <v>114</v>
      </c>
      <c r="J27" s="184">
        <f t="shared" si="40"/>
        <v>8</v>
      </c>
      <c r="K27" s="154">
        <v>122</v>
      </c>
      <c r="L27" s="154">
        <v>0</v>
      </c>
      <c r="M27" s="185">
        <f>170000/12</f>
        <v>14166.666666666666</v>
      </c>
      <c r="N27" s="85">
        <f t="shared" si="39"/>
        <v>170000</v>
      </c>
      <c r="O27" s="187" t="str">
        <f t="shared" si="3"/>
        <v>Rated</v>
      </c>
      <c r="P27" s="154" t="s">
        <v>125</v>
      </c>
      <c r="Q27" s="156">
        <f>H27*6</f>
        <v>732</v>
      </c>
      <c r="R27" s="199">
        <v>1240</v>
      </c>
      <c r="S27" s="189">
        <f t="shared" si="4"/>
        <v>-508</v>
      </c>
      <c r="T27" s="190"/>
      <c r="U27" s="190">
        <f t="shared" si="5"/>
        <v>0</v>
      </c>
      <c r="V27" s="190">
        <f t="shared" si="6"/>
        <v>366</v>
      </c>
      <c r="W27" s="200">
        <f>AD27/(24*30)</f>
        <v>578.64027777777778</v>
      </c>
      <c r="X27" s="190">
        <v>601.60500000088905</v>
      </c>
      <c r="Y27" s="85">
        <f>39000/12</f>
        <v>3250</v>
      </c>
      <c r="Z27" s="193" t="str">
        <f t="shared" si="7"/>
        <v>Metered</v>
      </c>
      <c r="AA27" s="190">
        <v>1.8</v>
      </c>
      <c r="AB27" s="183" t="s">
        <v>132</v>
      </c>
      <c r="AC27" s="194">
        <v>8.1999999999999993</v>
      </c>
      <c r="AD27" s="201">
        <v>416621</v>
      </c>
      <c r="AE27" s="202" t="s">
        <v>133</v>
      </c>
      <c r="AF27" s="155" t="str">
        <f t="shared" si="8"/>
        <v>No of Seats</v>
      </c>
      <c r="AG27" s="156">
        <v>30</v>
      </c>
      <c r="AH27" s="156">
        <v>30</v>
      </c>
      <c r="AI27" s="154">
        <f>AG27-AH27</f>
        <v>0</v>
      </c>
      <c r="AJ27" s="156">
        <v>30</v>
      </c>
      <c r="AK27" s="156">
        <v>0</v>
      </c>
      <c r="AL27" s="85">
        <f>100000/12</f>
        <v>8333.3333333333339</v>
      </c>
      <c r="AM27" s="85">
        <f t="shared" si="9"/>
        <v>1728333.3333333333</v>
      </c>
      <c r="AN27" s="85">
        <f t="shared" si="10"/>
        <v>1955216.2500028894</v>
      </c>
      <c r="AO27" s="85">
        <f t="shared" si="11"/>
        <v>6149325.96</v>
      </c>
      <c r="AP27" s="85">
        <f t="shared" si="12"/>
        <v>250000.00000000003</v>
      </c>
      <c r="AQ27" s="86"/>
      <c r="AR27" s="87">
        <f t="shared" si="13"/>
        <v>10082875.543336224</v>
      </c>
      <c r="AS27" s="87">
        <f t="shared" si="14"/>
        <v>120994506.52003469</v>
      </c>
      <c r="AT27" s="87" t="s">
        <v>134</v>
      </c>
      <c r="AU27" s="70" t="s">
        <v>135</v>
      </c>
      <c r="AV27" s="195">
        <v>43132</v>
      </c>
      <c r="AW27" s="71">
        <v>4</v>
      </c>
      <c r="AX27" s="195">
        <v>44562</v>
      </c>
      <c r="AY27" s="71"/>
      <c r="BA27" s="86">
        <f t="shared" si="15"/>
        <v>82646.520847018226</v>
      </c>
      <c r="BB27" s="86">
        <f t="shared" si="16"/>
        <v>27548.84028233941</v>
      </c>
      <c r="BC27" s="86">
        <f t="shared" si="17"/>
        <v>10526.720403185058</v>
      </c>
      <c r="BD27" s="86">
        <f t="shared" si="18"/>
        <v>10526.720403185058</v>
      </c>
      <c r="BE27" s="86">
        <f t="shared" si="19"/>
        <v>10388.794923869458</v>
      </c>
      <c r="BF27" s="86"/>
      <c r="BG27" s="95">
        <f t="shared" si="20"/>
        <v>9832875.5433362238</v>
      </c>
      <c r="BH27" s="95">
        <f t="shared" si="21"/>
        <v>3683549.5833362238</v>
      </c>
      <c r="BI27" s="95">
        <f t="shared" si="22"/>
        <v>6149325.96</v>
      </c>
      <c r="BJ27" s="93">
        <f t="shared" si="23"/>
        <v>5980095.8757704925</v>
      </c>
      <c r="BK27" s="93">
        <f t="shared" si="24"/>
        <v>5980095.8757704925</v>
      </c>
      <c r="BL27" s="93">
        <f t="shared" si="25"/>
        <v>3242474.5932000005</v>
      </c>
      <c r="BM27" s="93">
        <f t="shared" si="26"/>
        <v>3852779.6675657313</v>
      </c>
      <c r="BN27" s="93">
        <f t="shared" si="27"/>
        <v>2196000</v>
      </c>
      <c r="BO27" s="93">
        <f t="shared" si="28"/>
        <v>1487549.5833362238</v>
      </c>
      <c r="BP27" s="93">
        <f t="shared" si="29"/>
        <v>169230.08422950748</v>
      </c>
      <c r="BQ27" s="93">
        <f t="shared" si="30"/>
        <v>1656779.6675657313</v>
      </c>
      <c r="BR27" s="93">
        <f t="shared" si="31"/>
        <v>366</v>
      </c>
      <c r="BS27" s="93">
        <f t="shared" si="32"/>
        <v>10526.720403185058</v>
      </c>
      <c r="BT27" s="93">
        <f t="shared" si="33"/>
        <v>169230.08422950748</v>
      </c>
      <c r="BU27" s="93">
        <f t="shared" si="34"/>
        <v>1487549.5833362229</v>
      </c>
      <c r="BV27" s="93">
        <f t="shared" si="35"/>
        <v>1656779.6675657304</v>
      </c>
      <c r="BW27" s="93">
        <f t="shared" si="36"/>
        <v>462.37727931559419</v>
      </c>
      <c r="BX27" s="93">
        <f t="shared" si="37"/>
        <v>4064.3431238694616</v>
      </c>
      <c r="BY27" s="93">
        <f t="shared" si="38"/>
        <v>4526.7204031850561</v>
      </c>
    </row>
    <row r="28" spans="1:77" ht="14.4" x14ac:dyDescent="0.3">
      <c r="A28" s="182" t="s">
        <v>136</v>
      </c>
      <c r="B28" s="154" t="s">
        <v>129</v>
      </c>
      <c r="C28" s="154" t="s">
        <v>124</v>
      </c>
      <c r="D28" s="183" t="s">
        <v>130</v>
      </c>
      <c r="E28" s="154" t="s">
        <v>117</v>
      </c>
      <c r="F28" s="154" t="s">
        <v>131</v>
      </c>
      <c r="G28" s="155" t="str">
        <f t="shared" si="2"/>
        <v>No of Racks</v>
      </c>
      <c r="H28" s="154">
        <v>325</v>
      </c>
      <c r="I28" s="154">
        <v>279</v>
      </c>
      <c r="J28" s="184">
        <f t="shared" si="40"/>
        <v>46</v>
      </c>
      <c r="K28" s="154">
        <v>325</v>
      </c>
      <c r="L28" s="154">
        <v>0</v>
      </c>
      <c r="M28" s="185">
        <f>170000/12</f>
        <v>14166.666666666666</v>
      </c>
      <c r="N28" s="85">
        <f t="shared" si="39"/>
        <v>170000</v>
      </c>
      <c r="O28" s="187" t="str">
        <f t="shared" si="3"/>
        <v>Rated</v>
      </c>
      <c r="P28" s="154" t="s">
        <v>125</v>
      </c>
      <c r="Q28" s="156">
        <f>H28*6</f>
        <v>1950</v>
      </c>
      <c r="R28" s="199">
        <v>2084.3000000000002</v>
      </c>
      <c r="S28" s="189">
        <f t="shared" si="4"/>
        <v>-134.30000000000018</v>
      </c>
      <c r="T28" s="190"/>
      <c r="U28" s="190">
        <f t="shared" si="5"/>
        <v>0</v>
      </c>
      <c r="V28" s="190">
        <f t="shared" si="6"/>
        <v>975</v>
      </c>
      <c r="W28" s="200">
        <f>AD28/(24*30)</f>
        <v>905.875</v>
      </c>
      <c r="X28" s="190">
        <v>1194.4781111111099</v>
      </c>
      <c r="Y28" s="85">
        <f>39000/12</f>
        <v>3250</v>
      </c>
      <c r="Z28" s="193" t="str">
        <f t="shared" si="7"/>
        <v>Metered</v>
      </c>
      <c r="AA28" s="190">
        <v>1.8</v>
      </c>
      <c r="AB28" s="183" t="s">
        <v>132</v>
      </c>
      <c r="AC28" s="194">
        <v>8.1999999999999993</v>
      </c>
      <c r="AD28" s="201">
        <v>652230</v>
      </c>
      <c r="AE28" s="122"/>
      <c r="AF28" s="155" t="str">
        <f t="shared" si="8"/>
        <v/>
      </c>
      <c r="AG28" s="190"/>
      <c r="AH28" s="190"/>
      <c r="AI28" s="154"/>
      <c r="AJ28" s="190"/>
      <c r="AK28" s="190"/>
      <c r="AL28" s="185"/>
      <c r="AM28" s="85">
        <f t="shared" si="9"/>
        <v>4604166.666666666</v>
      </c>
      <c r="AN28" s="85">
        <f t="shared" si="10"/>
        <v>3882053.8611111073</v>
      </c>
      <c r="AO28" s="85">
        <f t="shared" si="11"/>
        <v>9626914.8000000007</v>
      </c>
      <c r="AP28" s="85">
        <f t="shared" si="12"/>
        <v>0</v>
      </c>
      <c r="AQ28" s="86"/>
      <c r="AR28" s="87">
        <f t="shared" si="13"/>
        <v>18113135.327777773</v>
      </c>
      <c r="AS28" s="87">
        <f t="shared" si="14"/>
        <v>217357623.93333328</v>
      </c>
      <c r="AT28" s="87" t="s">
        <v>134</v>
      </c>
      <c r="AU28" s="71" t="s">
        <v>137</v>
      </c>
      <c r="AV28" s="195">
        <v>43132</v>
      </c>
      <c r="AW28" s="71">
        <v>4</v>
      </c>
      <c r="AX28" s="195">
        <v>44562</v>
      </c>
      <c r="AY28" s="71"/>
      <c r="BA28" s="86">
        <f t="shared" si="15"/>
        <v>55732.724085470072</v>
      </c>
      <c r="BB28" s="86">
        <f t="shared" si="16"/>
        <v>18577.574695156691</v>
      </c>
      <c r="BC28" s="86">
        <f t="shared" si="17"/>
        <v>8975.542784942314</v>
      </c>
      <c r="BD28" s="86">
        <f t="shared" si="18"/>
        <v>8975.542784942314</v>
      </c>
      <c r="BE28" s="86">
        <f t="shared" si="19"/>
        <v>9028.2677259259199</v>
      </c>
      <c r="BF28" s="86"/>
      <c r="BG28" s="95">
        <f t="shared" si="20"/>
        <v>18113135.327777773</v>
      </c>
      <c r="BH28" s="95">
        <f t="shared" si="21"/>
        <v>8486220.5277777724</v>
      </c>
      <c r="BI28" s="95">
        <f t="shared" si="22"/>
        <v>9626914.8000000007</v>
      </c>
      <c r="BJ28" s="93">
        <f t="shared" si="23"/>
        <v>9361981.112459017</v>
      </c>
      <c r="BK28" s="93">
        <f t="shared" si="24"/>
        <v>9361981.112459017</v>
      </c>
      <c r="BL28" s="93">
        <f t="shared" si="25"/>
        <v>8637739.6950000003</v>
      </c>
      <c r="BM28" s="93">
        <f t="shared" si="26"/>
        <v>8751154.2153187562</v>
      </c>
      <c r="BN28" s="93">
        <f t="shared" si="27"/>
        <v>5850000</v>
      </c>
      <c r="BO28" s="93">
        <f t="shared" si="28"/>
        <v>2636220.5277777724</v>
      </c>
      <c r="BP28" s="93">
        <f t="shared" si="29"/>
        <v>264933.68754098378</v>
      </c>
      <c r="BQ28" s="93">
        <f t="shared" si="30"/>
        <v>2901154.2153187562</v>
      </c>
      <c r="BR28" s="93">
        <f t="shared" si="31"/>
        <v>975</v>
      </c>
      <c r="BS28" s="93">
        <f t="shared" si="32"/>
        <v>8975.542784942314</v>
      </c>
      <c r="BT28" s="93">
        <f t="shared" si="33"/>
        <v>264933.68754098378</v>
      </c>
      <c r="BU28" s="93">
        <f t="shared" si="34"/>
        <v>2636220.5277777724</v>
      </c>
      <c r="BV28" s="93">
        <f t="shared" si="35"/>
        <v>2901154.2153187562</v>
      </c>
      <c r="BW28" s="93">
        <f t="shared" si="36"/>
        <v>271.72685901639363</v>
      </c>
      <c r="BX28" s="93">
        <f t="shared" si="37"/>
        <v>2703.8159259259205</v>
      </c>
      <c r="BY28" s="93">
        <f t="shared" si="38"/>
        <v>2975.542784942314</v>
      </c>
    </row>
    <row r="29" spans="1:77" ht="14.4" x14ac:dyDescent="0.3">
      <c r="A29" s="182" t="s">
        <v>138</v>
      </c>
      <c r="B29" s="154" t="s">
        <v>129</v>
      </c>
      <c r="C29" s="154" t="s">
        <v>124</v>
      </c>
      <c r="D29" s="183" t="s">
        <v>130</v>
      </c>
      <c r="E29" s="154" t="s">
        <v>117</v>
      </c>
      <c r="F29" s="154" t="s">
        <v>131</v>
      </c>
      <c r="G29" s="155" t="str">
        <f t="shared" si="2"/>
        <v>No of Racks</v>
      </c>
      <c r="H29" s="154">
        <v>150</v>
      </c>
      <c r="I29" s="154">
        <v>121</v>
      </c>
      <c r="J29" s="184">
        <f t="shared" si="40"/>
        <v>29</v>
      </c>
      <c r="K29" s="154">
        <v>150</v>
      </c>
      <c r="L29" s="154">
        <v>0</v>
      </c>
      <c r="M29" s="185">
        <f>170000/12</f>
        <v>14166.666666666666</v>
      </c>
      <c r="N29" s="85">
        <f t="shared" si="39"/>
        <v>170000</v>
      </c>
      <c r="O29" s="187" t="str">
        <f t="shared" si="3"/>
        <v>Rated</v>
      </c>
      <c r="P29" s="154" t="s">
        <v>125</v>
      </c>
      <c r="Q29" s="156">
        <f>H29*6+9*35</f>
        <v>1215</v>
      </c>
      <c r="R29" s="199">
        <v>582</v>
      </c>
      <c r="S29" s="189">
        <f t="shared" si="4"/>
        <v>633</v>
      </c>
      <c r="T29" s="190"/>
      <c r="U29" s="190">
        <f t="shared" si="5"/>
        <v>316.5</v>
      </c>
      <c r="V29" s="190">
        <f t="shared" si="6"/>
        <v>607.5</v>
      </c>
      <c r="W29" s="200">
        <f>AD29/(24*30)</f>
        <v>480.52499999999998</v>
      </c>
      <c r="X29" s="190">
        <v>572.29111111111104</v>
      </c>
      <c r="Y29" s="85">
        <f>39000/12</f>
        <v>3250</v>
      </c>
      <c r="Z29" s="193" t="str">
        <f t="shared" si="7"/>
        <v>Metered</v>
      </c>
      <c r="AA29" s="190">
        <v>1.8</v>
      </c>
      <c r="AB29" s="183" t="s">
        <v>132</v>
      </c>
      <c r="AC29" s="194">
        <v>8.1999999999999993</v>
      </c>
      <c r="AD29" s="201">
        <v>345978</v>
      </c>
      <c r="AE29" s="122"/>
      <c r="AF29" s="155" t="str">
        <f t="shared" si="8"/>
        <v/>
      </c>
      <c r="AG29" s="190"/>
      <c r="AH29" s="190"/>
      <c r="AI29" s="154"/>
      <c r="AJ29" s="190"/>
      <c r="AK29" s="190"/>
      <c r="AL29" s="185"/>
      <c r="AM29" s="85">
        <f t="shared" si="9"/>
        <v>2125000</v>
      </c>
      <c r="AN29" s="85">
        <f t="shared" si="10"/>
        <v>1859946.1111111108</v>
      </c>
      <c r="AO29" s="85">
        <f t="shared" si="11"/>
        <v>5106635.2799999993</v>
      </c>
      <c r="AP29" s="85">
        <f t="shared" si="12"/>
        <v>0</v>
      </c>
      <c r="AQ29" s="86"/>
      <c r="AR29" s="87">
        <f t="shared" si="13"/>
        <v>9091581.3911111094</v>
      </c>
      <c r="AS29" s="87">
        <f t="shared" si="14"/>
        <v>109098976.69333331</v>
      </c>
      <c r="AT29" s="87" t="s">
        <v>134</v>
      </c>
      <c r="AU29" s="71">
        <v>721006047</v>
      </c>
      <c r="AV29" s="195">
        <v>43132</v>
      </c>
      <c r="AW29" s="71">
        <v>4</v>
      </c>
      <c r="AX29" s="195">
        <v>44562</v>
      </c>
      <c r="AY29" s="71"/>
      <c r="BA29" s="86">
        <f t="shared" si="15"/>
        <v>60610.542607407398</v>
      </c>
      <c r="BB29" s="86">
        <f t="shared" si="16"/>
        <v>14965.566075903062</v>
      </c>
      <c r="BC29" s="86">
        <f t="shared" si="17"/>
        <v>6790.9156219868501</v>
      </c>
      <c r="BD29" s="86">
        <f t="shared" si="18"/>
        <v>6790.9156219868501</v>
      </c>
      <c r="BE29" s="86">
        <f t="shared" si="19"/>
        <v>6884.033875903061</v>
      </c>
      <c r="BF29" s="86"/>
      <c r="BG29" s="95">
        <f t="shared" si="20"/>
        <v>9091581.3911111094</v>
      </c>
      <c r="BH29" s="95">
        <f t="shared" si="21"/>
        <v>3984946.1111111101</v>
      </c>
      <c r="BI29" s="95">
        <f t="shared" si="22"/>
        <v>5106635.2799999993</v>
      </c>
      <c r="BJ29" s="93">
        <f t="shared" si="23"/>
        <v>4966100.1507540978</v>
      </c>
      <c r="BK29" s="93">
        <f t="shared" si="24"/>
        <v>4966100.1507540978</v>
      </c>
      <c r="BL29" s="93">
        <f t="shared" si="25"/>
        <v>5381976.2715000007</v>
      </c>
      <c r="BM29" s="93">
        <f t="shared" si="26"/>
        <v>4125481.2403570116</v>
      </c>
      <c r="BN29" s="93">
        <f t="shared" si="27"/>
        <v>3645000</v>
      </c>
      <c r="BO29" s="93">
        <f t="shared" si="28"/>
        <v>339946.11111111008</v>
      </c>
      <c r="BP29" s="93">
        <f t="shared" si="29"/>
        <v>140535.12924590148</v>
      </c>
      <c r="BQ29" s="93">
        <f t="shared" si="30"/>
        <v>480481.24035701156</v>
      </c>
      <c r="BR29" s="93">
        <f t="shared" si="31"/>
        <v>607.5</v>
      </c>
      <c r="BS29" s="93">
        <f t="shared" si="32"/>
        <v>6790.9156219868501</v>
      </c>
      <c r="BT29" s="93">
        <f t="shared" si="33"/>
        <v>140535.12924590148</v>
      </c>
      <c r="BU29" s="93">
        <f t="shared" si="34"/>
        <v>339946.11111111101</v>
      </c>
      <c r="BV29" s="93">
        <f t="shared" si="35"/>
        <v>480481.24035701249</v>
      </c>
      <c r="BW29" s="93">
        <f t="shared" si="36"/>
        <v>231.33354608378843</v>
      </c>
      <c r="BX29" s="93">
        <f t="shared" si="37"/>
        <v>559.58207590306336</v>
      </c>
      <c r="BY29" s="93">
        <f t="shared" si="38"/>
        <v>790.91562198685187</v>
      </c>
    </row>
    <row r="30" spans="1:77" ht="14.4" x14ac:dyDescent="0.3">
      <c r="A30" s="182" t="s">
        <v>122</v>
      </c>
      <c r="B30" s="154" t="s">
        <v>139</v>
      </c>
      <c r="C30" s="154" t="s">
        <v>124</v>
      </c>
      <c r="D30" s="183" t="s">
        <v>116</v>
      </c>
      <c r="E30" s="154" t="s">
        <v>117</v>
      </c>
      <c r="F30" s="154" t="s">
        <v>118</v>
      </c>
      <c r="G30" s="155" t="str">
        <f t="shared" si="2"/>
        <v>No of Racks</v>
      </c>
      <c r="H30" s="154">
        <v>2</v>
      </c>
      <c r="I30" s="154">
        <v>2</v>
      </c>
      <c r="J30" s="184">
        <f t="shared" si="40"/>
        <v>0</v>
      </c>
      <c r="K30" s="154">
        <v>2</v>
      </c>
      <c r="L30" s="154"/>
      <c r="M30" s="185">
        <f>500000/12</f>
        <v>41666.666666666664</v>
      </c>
      <c r="N30" s="85">
        <f t="shared" si="39"/>
        <v>500000</v>
      </c>
      <c r="O30" s="187" t="str">
        <f t="shared" si="3"/>
        <v>Rated</v>
      </c>
      <c r="P30" s="154" t="s">
        <v>125</v>
      </c>
      <c r="Q30" s="154">
        <v>3</v>
      </c>
      <c r="R30" s="196">
        <v>1.81</v>
      </c>
      <c r="S30" s="189">
        <f t="shared" si="4"/>
        <v>1.19</v>
      </c>
      <c r="T30" s="190"/>
      <c r="U30" s="190">
        <f t="shared" si="5"/>
        <v>0.59499999999999997</v>
      </c>
      <c r="V30" s="190">
        <f t="shared" si="6"/>
        <v>1.5</v>
      </c>
      <c r="W30" s="192">
        <v>3.57</v>
      </c>
      <c r="X30" s="190">
        <f>S30*-1</f>
        <v>-1.19</v>
      </c>
      <c r="Y30" s="85">
        <f>90000/12</f>
        <v>7500</v>
      </c>
      <c r="Z30" s="193" t="str">
        <f t="shared" si="7"/>
        <v>Bundled</v>
      </c>
      <c r="AA30" s="190"/>
      <c r="AB30" s="190"/>
      <c r="AC30" s="194"/>
      <c r="AD30" s="203"/>
      <c r="AE30" s="122"/>
      <c r="AF30" s="155" t="str">
        <f t="shared" si="8"/>
        <v/>
      </c>
      <c r="AG30" s="190"/>
      <c r="AH30" s="190"/>
      <c r="AI30" s="190"/>
      <c r="AJ30" s="190"/>
      <c r="AK30" s="190"/>
      <c r="AL30" s="185"/>
      <c r="AM30" s="85">
        <f t="shared" si="9"/>
        <v>83333.333333333328</v>
      </c>
      <c r="AN30" s="85">
        <f t="shared" si="10"/>
        <v>-8925</v>
      </c>
      <c r="AO30" s="85">
        <f t="shared" si="11"/>
        <v>0</v>
      </c>
      <c r="AP30" s="85">
        <f t="shared" si="12"/>
        <v>0</v>
      </c>
      <c r="AQ30" s="86">
        <f>60000/12</f>
        <v>5000</v>
      </c>
      <c r="AR30" s="87">
        <f t="shared" si="13"/>
        <v>0</v>
      </c>
      <c r="AS30" s="87">
        <f t="shared" si="14"/>
        <v>0</v>
      </c>
      <c r="AT30" s="87" t="s">
        <v>134</v>
      </c>
      <c r="AU30" s="71" t="s">
        <v>140</v>
      </c>
      <c r="AV30" s="195">
        <v>42370</v>
      </c>
      <c r="AW30" s="71">
        <v>5</v>
      </c>
      <c r="AX30" s="195">
        <v>44197</v>
      </c>
      <c r="AY30" s="71"/>
      <c r="BA30" s="86">
        <f t="shared" si="15"/>
        <v>0</v>
      </c>
      <c r="BB30" s="86">
        <f t="shared" si="16"/>
        <v>0</v>
      </c>
      <c r="BC30" s="86">
        <f t="shared" si="17"/>
        <v>24799.738995555552</v>
      </c>
      <c r="BD30" s="86">
        <f t="shared" si="18"/>
        <v>20665.43623555555</v>
      </c>
      <c r="BE30" s="86">
        <f t="shared" si="19"/>
        <v>39182.943555555546</v>
      </c>
      <c r="BF30" s="86"/>
      <c r="BG30" s="95">
        <f t="shared" si="20"/>
        <v>74408.333333333328</v>
      </c>
      <c r="BH30" s="95">
        <f t="shared" si="21"/>
        <v>58774.415333333323</v>
      </c>
      <c r="BI30" s="95">
        <f t="shared" si="22"/>
        <v>15633.918000000001</v>
      </c>
      <c r="BJ30" s="93">
        <f t="shared" si="23"/>
        <v>37208.724840000003</v>
      </c>
      <c r="BK30" s="93">
        <f t="shared" si="24"/>
        <v>43410.178980000004</v>
      </c>
      <c r="BL30" s="93">
        <f t="shared" si="25"/>
        <v>15633.918000000001</v>
      </c>
      <c r="BM30" s="93">
        <f t="shared" si="26"/>
        <v>37199.608493333326</v>
      </c>
      <c r="BN30" s="93">
        <f t="shared" si="27"/>
        <v>9000</v>
      </c>
      <c r="BO30" s="93">
        <f t="shared" si="28"/>
        <v>49774.415333333323</v>
      </c>
      <c r="BP30" s="93">
        <f t="shared" si="29"/>
        <v>-21574.806840000001</v>
      </c>
      <c r="BQ30" s="93">
        <f t="shared" si="30"/>
        <v>28199.608493333322</v>
      </c>
      <c r="BR30" s="93">
        <f t="shared" si="31"/>
        <v>1.5</v>
      </c>
      <c r="BS30" s="93">
        <f t="shared" si="32"/>
        <v>24799.738995555552</v>
      </c>
      <c r="BT30" s="93">
        <f t="shared" si="33"/>
        <v>-21574.806840000001</v>
      </c>
      <c r="BU30" s="93">
        <f t="shared" si="34"/>
        <v>49774.415333333323</v>
      </c>
      <c r="BV30" s="93">
        <f t="shared" si="35"/>
        <v>28199.608493333322</v>
      </c>
      <c r="BW30" s="93">
        <f t="shared" si="36"/>
        <v>-14383.20456</v>
      </c>
      <c r="BX30" s="93">
        <f t="shared" si="37"/>
        <v>33182.943555555546</v>
      </c>
      <c r="BY30" s="93">
        <f t="shared" si="38"/>
        <v>18799.738995555548</v>
      </c>
    </row>
    <row r="31" spans="1:77" ht="14.4" x14ac:dyDescent="0.3">
      <c r="A31" s="182" t="s">
        <v>122</v>
      </c>
      <c r="B31" s="154" t="s">
        <v>141</v>
      </c>
      <c r="C31" s="154" t="s">
        <v>124</v>
      </c>
      <c r="D31" s="183" t="s">
        <v>116</v>
      </c>
      <c r="E31" s="154" t="s">
        <v>117</v>
      </c>
      <c r="F31" s="154" t="s">
        <v>118</v>
      </c>
      <c r="G31" s="155" t="str">
        <f t="shared" si="2"/>
        <v>No of Racks</v>
      </c>
      <c r="H31" s="154">
        <v>2</v>
      </c>
      <c r="I31" s="154">
        <v>2</v>
      </c>
      <c r="J31" s="184">
        <f t="shared" si="40"/>
        <v>0</v>
      </c>
      <c r="K31" s="154">
        <v>2</v>
      </c>
      <c r="L31" s="154"/>
      <c r="M31" s="185">
        <f>410000/12</f>
        <v>34166.666666666664</v>
      </c>
      <c r="N31" s="186">
        <f t="shared" si="39"/>
        <v>410000</v>
      </c>
      <c r="O31" s="187" t="str">
        <f t="shared" si="3"/>
        <v>Rated</v>
      </c>
      <c r="P31" s="154" t="s">
        <v>125</v>
      </c>
      <c r="Q31" s="154">
        <v>12</v>
      </c>
      <c r="R31" s="196">
        <v>1.38</v>
      </c>
      <c r="S31" s="189">
        <f t="shared" si="4"/>
        <v>10.620000000000001</v>
      </c>
      <c r="T31" s="190"/>
      <c r="U31" s="190">
        <f t="shared" si="5"/>
        <v>5.3100000000000005</v>
      </c>
      <c r="V31" s="190">
        <f t="shared" si="6"/>
        <v>6</v>
      </c>
      <c r="W31" s="192">
        <v>2.62</v>
      </c>
      <c r="X31" s="190"/>
      <c r="Y31" s="85">
        <f>80000/12</f>
        <v>6666.666666666667</v>
      </c>
      <c r="Z31" s="193" t="str">
        <f t="shared" si="7"/>
        <v>Bundled</v>
      </c>
      <c r="AA31" s="190"/>
      <c r="AB31" s="190"/>
      <c r="AC31" s="194"/>
      <c r="AD31" s="203"/>
      <c r="AE31" s="122"/>
      <c r="AF31" s="155" t="str">
        <f t="shared" si="8"/>
        <v/>
      </c>
      <c r="AG31" s="190"/>
      <c r="AH31" s="190"/>
      <c r="AI31" s="190"/>
      <c r="AJ31" s="190"/>
      <c r="AK31" s="190"/>
      <c r="AL31" s="185"/>
      <c r="AM31" s="85">
        <f t="shared" si="9"/>
        <v>68333.333333333328</v>
      </c>
      <c r="AN31" s="85">
        <f t="shared" si="10"/>
        <v>0</v>
      </c>
      <c r="AO31" s="85">
        <f t="shared" si="11"/>
        <v>0</v>
      </c>
      <c r="AP31" s="85">
        <f t="shared" si="12"/>
        <v>0</v>
      </c>
      <c r="AQ31" s="86">
        <f>(18750+87500+12500)/12</f>
        <v>9895.8333333333339</v>
      </c>
      <c r="AR31" s="87">
        <f t="shared" si="13"/>
        <v>0</v>
      </c>
      <c r="AS31" s="88">
        <f t="shared" si="14"/>
        <v>0</v>
      </c>
      <c r="AT31" s="87" t="s">
        <v>119</v>
      </c>
      <c r="AU31" s="71" t="s">
        <v>142</v>
      </c>
      <c r="AV31" s="195">
        <v>43132</v>
      </c>
      <c r="AW31" s="71">
        <v>5</v>
      </c>
      <c r="AX31" s="195">
        <v>44927</v>
      </c>
      <c r="AY31" s="71"/>
      <c r="BA31" s="86">
        <f t="shared" si="15"/>
        <v>0</v>
      </c>
      <c r="BB31" s="86">
        <f t="shared" si="16"/>
        <v>0</v>
      </c>
      <c r="BC31" s="86">
        <f t="shared" si="17"/>
        <v>6837.6816488888871</v>
      </c>
      <c r="BD31" s="86">
        <f t="shared" si="18"/>
        <v>-2386.3299711111154</v>
      </c>
      <c r="BE31" s="86">
        <f t="shared" si="19"/>
        <v>966.27688888888713</v>
      </c>
      <c r="BF31" s="86"/>
      <c r="BG31" s="92">
        <f t="shared" si="20"/>
        <v>68333.333333333328</v>
      </c>
      <c r="BH31" s="92">
        <f t="shared" si="21"/>
        <v>5797.6613333333225</v>
      </c>
      <c r="BI31" s="92">
        <f t="shared" si="22"/>
        <v>62535.672000000006</v>
      </c>
      <c r="BJ31" s="93">
        <f t="shared" si="23"/>
        <v>27307.243440000002</v>
      </c>
      <c r="BK31" s="93">
        <f t="shared" si="24"/>
        <v>82651.31316000002</v>
      </c>
      <c r="BL31" s="93">
        <f t="shared" si="25"/>
        <v>62535.672000000006</v>
      </c>
      <c r="BM31" s="93">
        <f t="shared" si="26"/>
        <v>41026.089893333323</v>
      </c>
      <c r="BN31" s="93">
        <f t="shared" si="27"/>
        <v>36000</v>
      </c>
      <c r="BO31" s="93">
        <f t="shared" si="28"/>
        <v>-30202.338666666677</v>
      </c>
      <c r="BP31" s="93">
        <f t="shared" si="29"/>
        <v>35228.42856</v>
      </c>
      <c r="BQ31" s="93">
        <f t="shared" si="30"/>
        <v>5026.0898933333228</v>
      </c>
      <c r="BR31" s="93">
        <f t="shared" si="31"/>
        <v>6</v>
      </c>
      <c r="BS31" s="93">
        <f t="shared" si="32"/>
        <v>6837.6816488888871</v>
      </c>
      <c r="BT31" s="93">
        <f t="shared" si="33"/>
        <v>35228.42856</v>
      </c>
      <c r="BU31" s="93">
        <f t="shared" si="34"/>
        <v>-30202.338666666677</v>
      </c>
      <c r="BV31" s="93">
        <f t="shared" si="35"/>
        <v>5026.0898933333228</v>
      </c>
      <c r="BW31" s="93">
        <f t="shared" si="36"/>
        <v>5871.4047600000004</v>
      </c>
      <c r="BX31" s="93">
        <f t="shared" si="37"/>
        <v>-5033.7231111111132</v>
      </c>
      <c r="BY31" s="93">
        <f t="shared" si="38"/>
        <v>837.68164888888714</v>
      </c>
    </row>
    <row r="32" spans="1:77" ht="14.4" x14ac:dyDescent="0.3">
      <c r="A32" s="182" t="s">
        <v>122</v>
      </c>
      <c r="B32" s="204" t="s">
        <v>143</v>
      </c>
      <c r="C32" s="154" t="s">
        <v>124</v>
      </c>
      <c r="D32" s="183" t="s">
        <v>116</v>
      </c>
      <c r="E32" s="154" t="s">
        <v>117</v>
      </c>
      <c r="F32" s="154" t="s">
        <v>118</v>
      </c>
      <c r="G32" s="155" t="str">
        <f t="shared" si="2"/>
        <v>No of Racks</v>
      </c>
      <c r="H32" s="154">
        <v>20</v>
      </c>
      <c r="I32" s="154">
        <v>13</v>
      </c>
      <c r="J32" s="184">
        <f t="shared" si="40"/>
        <v>7</v>
      </c>
      <c r="K32" s="154">
        <v>0</v>
      </c>
      <c r="L32" s="154"/>
      <c r="M32" s="185">
        <v>0</v>
      </c>
      <c r="N32" s="186">
        <f t="shared" si="39"/>
        <v>0</v>
      </c>
      <c r="O32" s="187" t="str">
        <f t="shared" si="3"/>
        <v>Rated</v>
      </c>
      <c r="P32" s="154" t="s">
        <v>125</v>
      </c>
      <c r="Q32" s="154">
        <v>120</v>
      </c>
      <c r="R32" s="205">
        <v>19.38</v>
      </c>
      <c r="S32" s="189">
        <v>19.54</v>
      </c>
      <c r="T32" s="190"/>
      <c r="U32" s="190">
        <f t="shared" si="5"/>
        <v>9.77</v>
      </c>
      <c r="V32" s="190">
        <f t="shared" si="6"/>
        <v>60</v>
      </c>
      <c r="W32" s="206">
        <v>18.45</v>
      </c>
      <c r="X32" s="190"/>
      <c r="Y32" s="85"/>
      <c r="Z32" s="193" t="str">
        <f t="shared" si="7"/>
        <v>Bundled</v>
      </c>
      <c r="AA32" s="190"/>
      <c r="AB32" s="190"/>
      <c r="AC32" s="194"/>
      <c r="AD32" s="203"/>
      <c r="AE32" s="122"/>
      <c r="AF32" s="155" t="str">
        <f t="shared" si="8"/>
        <v/>
      </c>
      <c r="AG32" s="190"/>
      <c r="AH32" s="190"/>
      <c r="AI32" s="190"/>
      <c r="AJ32" s="190"/>
      <c r="AK32" s="190"/>
      <c r="AL32" s="185"/>
      <c r="AM32" s="85">
        <f t="shared" si="9"/>
        <v>0</v>
      </c>
      <c r="AN32" s="85">
        <f t="shared" si="10"/>
        <v>0</v>
      </c>
      <c r="AO32" s="85">
        <f t="shared" si="11"/>
        <v>0</v>
      </c>
      <c r="AP32" s="85">
        <f t="shared" si="12"/>
        <v>0</v>
      </c>
      <c r="AQ32" s="86"/>
      <c r="AR32" s="87">
        <f t="shared" si="13"/>
        <v>0</v>
      </c>
      <c r="AS32" s="88">
        <f t="shared" si="14"/>
        <v>0</v>
      </c>
      <c r="AT32" s="87"/>
      <c r="AU32" s="71"/>
      <c r="AV32" s="71"/>
      <c r="AW32" s="71"/>
      <c r="AX32" s="71"/>
      <c r="AY32" s="71"/>
      <c r="BA32" s="86">
        <f t="shared" si="15"/>
        <v>0</v>
      </c>
      <c r="BB32" s="86">
        <f t="shared" si="16"/>
        <v>0</v>
      </c>
      <c r="BC32" s="86">
        <f t="shared" si="17"/>
        <v>-3204.9531900000002</v>
      </c>
      <c r="BD32" s="86">
        <f t="shared" si="18"/>
        <v>-4902.1018440000007</v>
      </c>
      <c r="BE32" s="86">
        <f t="shared" si="19"/>
        <v>-10422.612000000001</v>
      </c>
      <c r="BF32" s="86"/>
      <c r="BG32" s="92">
        <f t="shared" si="20"/>
        <v>0</v>
      </c>
      <c r="BH32" s="92">
        <f t="shared" si="21"/>
        <v>0</v>
      </c>
      <c r="BI32" s="92">
        <f t="shared" si="22"/>
        <v>0</v>
      </c>
      <c r="BJ32" s="93">
        <f t="shared" si="23"/>
        <v>192297.19140000001</v>
      </c>
      <c r="BK32" s="93">
        <f t="shared" si="24"/>
        <v>294126.11064000003</v>
      </c>
      <c r="BL32" s="93">
        <f t="shared" si="25"/>
        <v>625356.72000000009</v>
      </c>
      <c r="BM32" s="93">
        <f t="shared" si="26"/>
        <v>-192297.19140000001</v>
      </c>
      <c r="BN32" s="93">
        <f t="shared" si="27"/>
        <v>360000</v>
      </c>
      <c r="BO32" s="93">
        <f t="shared" si="28"/>
        <v>-360000</v>
      </c>
      <c r="BP32" s="93">
        <f t="shared" si="29"/>
        <v>-192297.19140000001</v>
      </c>
      <c r="BQ32" s="93">
        <f t="shared" si="30"/>
        <v>-552297.19140000001</v>
      </c>
      <c r="BR32" s="93">
        <f t="shared" si="31"/>
        <v>60</v>
      </c>
      <c r="BS32" s="93">
        <f t="shared" si="32"/>
        <v>-3204.9531900000002</v>
      </c>
      <c r="BT32" s="93">
        <f t="shared" si="33"/>
        <v>433059.52860000008</v>
      </c>
      <c r="BU32" s="93">
        <f t="shared" si="34"/>
        <v>-985356.72000000009</v>
      </c>
      <c r="BV32" s="93">
        <f t="shared" si="35"/>
        <v>-552297.19140000001</v>
      </c>
      <c r="BW32" s="93">
        <f t="shared" si="36"/>
        <v>7217.6588100000017</v>
      </c>
      <c r="BX32" s="93">
        <f t="shared" si="37"/>
        <v>-16422.612000000001</v>
      </c>
      <c r="BY32" s="93">
        <f t="shared" si="38"/>
        <v>-9204.9531900000002</v>
      </c>
    </row>
    <row r="33" spans="1:77" s="101" customFormat="1" ht="14.4" x14ac:dyDescent="0.3">
      <c r="A33" s="207" t="s">
        <v>122</v>
      </c>
      <c r="B33" s="154" t="s">
        <v>144</v>
      </c>
      <c r="C33" s="208" t="s">
        <v>115</v>
      </c>
      <c r="D33" s="209" t="s">
        <v>116</v>
      </c>
      <c r="E33" s="208" t="s">
        <v>117</v>
      </c>
      <c r="F33" s="208" t="s">
        <v>118</v>
      </c>
      <c r="G33" s="210" t="str">
        <f t="shared" si="2"/>
        <v>No of Racks</v>
      </c>
      <c r="H33" s="210">
        <v>5</v>
      </c>
      <c r="I33" s="210">
        <v>5</v>
      </c>
      <c r="J33" s="211">
        <f t="shared" si="40"/>
        <v>0</v>
      </c>
      <c r="K33" s="210">
        <v>5</v>
      </c>
      <c r="L33" s="210"/>
      <c r="M33" s="97">
        <f>312500/12</f>
        <v>26041.666666666668</v>
      </c>
      <c r="N33" s="85">
        <f t="shared" si="39"/>
        <v>312500</v>
      </c>
      <c r="O33" s="212" t="str">
        <f t="shared" si="3"/>
        <v>Subscribed</v>
      </c>
      <c r="P33" s="208" t="s">
        <v>108</v>
      </c>
      <c r="Q33" s="191">
        <v>12.6812862903226</v>
      </c>
      <c r="R33" s="213">
        <v>12.13</v>
      </c>
      <c r="S33" s="214">
        <f t="shared" ref="S33:S74" si="41">Q33-R33</f>
        <v>0.55128629032259902</v>
      </c>
      <c r="T33" s="191"/>
      <c r="U33" s="191">
        <f t="shared" si="5"/>
        <v>0.55128629032259902</v>
      </c>
      <c r="V33" s="191">
        <f t="shared" si="6"/>
        <v>12.6812862903226</v>
      </c>
      <c r="W33" s="206">
        <f>R33</f>
        <v>12.13</v>
      </c>
      <c r="X33" s="190"/>
      <c r="Y33" s="97">
        <f>115000/12</f>
        <v>9583.3333333333339</v>
      </c>
      <c r="Z33" s="215" t="s">
        <v>130</v>
      </c>
      <c r="AA33" s="210"/>
      <c r="AB33" s="209" t="s">
        <v>145</v>
      </c>
      <c r="AC33" s="216">
        <v>17</v>
      </c>
      <c r="AD33" s="217">
        <v>8798.4109999999928</v>
      </c>
      <c r="AE33" s="218"/>
      <c r="AF33" s="210" t="str">
        <f t="shared" si="8"/>
        <v/>
      </c>
      <c r="AG33" s="210"/>
      <c r="AH33" s="210"/>
      <c r="AI33" s="210"/>
      <c r="AJ33" s="210"/>
      <c r="AK33" s="210"/>
      <c r="AL33" s="219"/>
      <c r="AM33" s="97">
        <f t="shared" si="9"/>
        <v>130208.33333333334</v>
      </c>
      <c r="AN33" s="97">
        <f t="shared" si="10"/>
        <v>0</v>
      </c>
      <c r="AO33" s="97">
        <f t="shared" si="11"/>
        <v>0</v>
      </c>
      <c r="AP33" s="97">
        <f t="shared" si="12"/>
        <v>0</v>
      </c>
      <c r="AQ33" s="98">
        <f>60000+10000+20000+1250000/12</f>
        <v>194166.66666666669</v>
      </c>
      <c r="AR33" s="99">
        <f t="shared" si="13"/>
        <v>0</v>
      </c>
      <c r="AS33" s="87">
        <f t="shared" si="14"/>
        <v>0</v>
      </c>
      <c r="AT33" s="99" t="s">
        <v>119</v>
      </c>
      <c r="AU33" s="100">
        <v>121000307</v>
      </c>
      <c r="AV33" s="220">
        <v>43391</v>
      </c>
      <c r="AW33" s="100">
        <v>1</v>
      </c>
      <c r="AX33" s="220">
        <v>43727</v>
      </c>
      <c r="AY33" s="100" t="s">
        <v>146</v>
      </c>
      <c r="BA33" s="98">
        <f t="shared" si="15"/>
        <v>0</v>
      </c>
      <c r="BB33" s="98">
        <f t="shared" si="16"/>
        <v>0</v>
      </c>
      <c r="BC33" s="98">
        <f t="shared" si="17"/>
        <v>308.93338298607222</v>
      </c>
      <c r="BD33" s="98">
        <f t="shared" si="18"/>
        <v>308.93338298607222</v>
      </c>
      <c r="BE33" s="98">
        <f t="shared" si="19"/>
        <v>-154.85758200389324</v>
      </c>
      <c r="BF33" s="98"/>
      <c r="BG33" s="221">
        <f t="shared" si="20"/>
        <v>130208.33333333334</v>
      </c>
      <c r="BH33" s="221">
        <f t="shared" si="21"/>
        <v>0</v>
      </c>
      <c r="BI33" s="221">
        <f t="shared" si="22"/>
        <v>130208.33333333334</v>
      </c>
      <c r="BJ33" s="102">
        <f t="shared" si="23"/>
        <v>126290.66065904908</v>
      </c>
      <c r="BK33" s="102">
        <f t="shared" si="24"/>
        <v>126290.66065904908</v>
      </c>
      <c r="BL33" s="102">
        <f t="shared" si="25"/>
        <v>132172.12666495182</v>
      </c>
      <c r="BM33" s="102">
        <f t="shared" si="26"/>
        <v>3917.6726742842588</v>
      </c>
      <c r="BN33" s="102">
        <f t="shared" si="27"/>
        <v>76087.717741935601</v>
      </c>
      <c r="BO33" s="102">
        <f t="shared" si="28"/>
        <v>-76087.717741935601</v>
      </c>
      <c r="BP33" s="102">
        <f t="shared" si="29"/>
        <v>3917.6726742842584</v>
      </c>
      <c r="BQ33" s="102">
        <f t="shared" si="30"/>
        <v>-72170.045067651343</v>
      </c>
      <c r="BR33" s="102">
        <f t="shared" si="31"/>
        <v>12.6812862903226</v>
      </c>
      <c r="BS33" s="102">
        <f t="shared" si="32"/>
        <v>308.93338298607222</v>
      </c>
      <c r="BT33" s="102">
        <f t="shared" si="33"/>
        <v>5881.4660059027374</v>
      </c>
      <c r="BU33" s="102">
        <f t="shared" si="34"/>
        <v>-78051.51107355408</v>
      </c>
      <c r="BV33" s="102">
        <f t="shared" si="35"/>
        <v>-72170.045067651343</v>
      </c>
      <c r="BW33" s="102">
        <f t="shared" si="36"/>
        <v>463.7909649899654</v>
      </c>
      <c r="BX33" s="102">
        <f t="shared" si="37"/>
        <v>-6154.8575820038932</v>
      </c>
      <c r="BY33" s="102">
        <f t="shared" si="38"/>
        <v>-5691.0666170139284</v>
      </c>
    </row>
    <row r="34" spans="1:77" s="101" customFormat="1" ht="14.4" x14ac:dyDescent="0.3">
      <c r="A34" s="207" t="s">
        <v>122</v>
      </c>
      <c r="B34" s="154" t="s">
        <v>144</v>
      </c>
      <c r="C34" s="208" t="s">
        <v>115</v>
      </c>
      <c r="D34" s="209" t="s">
        <v>116</v>
      </c>
      <c r="E34" s="208" t="s">
        <v>117</v>
      </c>
      <c r="F34" s="208" t="s">
        <v>118</v>
      </c>
      <c r="G34" s="210" t="str">
        <f t="shared" si="2"/>
        <v>No of Racks</v>
      </c>
      <c r="H34" s="210">
        <v>2</v>
      </c>
      <c r="I34" s="210">
        <v>2</v>
      </c>
      <c r="J34" s="211">
        <f t="shared" si="40"/>
        <v>0</v>
      </c>
      <c r="K34" s="210">
        <v>2</v>
      </c>
      <c r="L34" s="210"/>
      <c r="M34" s="97">
        <f>(124164+112877)/12</f>
        <v>19753.416666666668</v>
      </c>
      <c r="N34" s="85">
        <f t="shared" si="39"/>
        <v>237041</v>
      </c>
      <c r="O34" s="212" t="str">
        <f t="shared" si="3"/>
        <v>Subscribed</v>
      </c>
      <c r="P34" s="208" t="s">
        <v>108</v>
      </c>
      <c r="Q34" s="191">
        <v>1.49</v>
      </c>
      <c r="R34" s="213">
        <v>0</v>
      </c>
      <c r="S34" s="214">
        <f t="shared" si="41"/>
        <v>1.49</v>
      </c>
      <c r="T34" s="191"/>
      <c r="U34" s="191">
        <f t="shared" si="5"/>
        <v>1.49</v>
      </c>
      <c r="V34" s="191">
        <f t="shared" si="6"/>
        <v>1.49</v>
      </c>
      <c r="W34" s="206">
        <f>R34</f>
        <v>0</v>
      </c>
      <c r="X34" s="190"/>
      <c r="Y34" s="97">
        <f>115000/12</f>
        <v>9583.3333333333339</v>
      </c>
      <c r="Z34" s="215" t="s">
        <v>130</v>
      </c>
      <c r="AA34" s="210"/>
      <c r="AB34" s="209" t="s">
        <v>145</v>
      </c>
      <c r="AC34" s="216">
        <v>17</v>
      </c>
      <c r="AD34" s="222">
        <v>0</v>
      </c>
      <c r="AE34" s="218"/>
      <c r="AF34" s="210" t="str">
        <f t="shared" si="8"/>
        <v/>
      </c>
      <c r="AG34" s="210"/>
      <c r="AH34" s="210"/>
      <c r="AI34" s="210"/>
      <c r="AJ34" s="210"/>
      <c r="AK34" s="210"/>
      <c r="AL34" s="219"/>
      <c r="AM34" s="97">
        <f t="shared" si="9"/>
        <v>39506.833333333336</v>
      </c>
      <c r="AN34" s="97">
        <f t="shared" si="10"/>
        <v>0</v>
      </c>
      <c r="AO34" s="97">
        <f t="shared" si="11"/>
        <v>0</v>
      </c>
      <c r="AP34" s="97">
        <f t="shared" si="12"/>
        <v>0</v>
      </c>
      <c r="AQ34" s="98"/>
      <c r="AR34" s="99">
        <f t="shared" si="13"/>
        <v>0</v>
      </c>
      <c r="AS34" s="87">
        <f t="shared" si="14"/>
        <v>0</v>
      </c>
      <c r="AT34" s="99" t="s">
        <v>119</v>
      </c>
      <c r="AU34" s="100">
        <v>121000317</v>
      </c>
      <c r="AV34" s="220">
        <v>43574</v>
      </c>
      <c r="AW34" s="100">
        <v>0.6</v>
      </c>
      <c r="AX34" s="220">
        <v>43757</v>
      </c>
      <c r="AY34" s="100" t="s">
        <v>146</v>
      </c>
      <c r="BA34" s="98">
        <f t="shared" si="15"/>
        <v>0</v>
      </c>
      <c r="BB34" s="98">
        <f t="shared" si="16"/>
        <v>0</v>
      </c>
      <c r="BC34" s="98">
        <f t="shared" si="17"/>
        <v>26514.653243847875</v>
      </c>
      <c r="BD34" s="98">
        <f t="shared" si="18"/>
        <v>16092.041243847874</v>
      </c>
      <c r="BE34" s="98">
        <f t="shared" si="19"/>
        <v>16092.041243847874</v>
      </c>
      <c r="BF34" s="98"/>
      <c r="BG34" s="221">
        <f t="shared" si="20"/>
        <v>39506.833333333336</v>
      </c>
      <c r="BH34" s="221">
        <f t="shared" si="21"/>
        <v>23977.141453333334</v>
      </c>
      <c r="BI34" s="221">
        <f t="shared" si="22"/>
        <v>15529.691880000002</v>
      </c>
      <c r="BJ34" s="102">
        <f t="shared" si="23"/>
        <v>0</v>
      </c>
      <c r="BK34" s="102">
        <f t="shared" si="24"/>
        <v>15529.691880000002</v>
      </c>
      <c r="BL34" s="102">
        <f t="shared" si="25"/>
        <v>15529.691880000002</v>
      </c>
      <c r="BM34" s="102">
        <f t="shared" si="26"/>
        <v>39506.833333333336</v>
      </c>
      <c r="BN34" s="102">
        <f t="shared" si="27"/>
        <v>8940</v>
      </c>
      <c r="BO34" s="102">
        <f t="shared" si="28"/>
        <v>15037.141453333334</v>
      </c>
      <c r="BP34" s="102">
        <f t="shared" si="29"/>
        <v>15529.691880000002</v>
      </c>
      <c r="BQ34" s="102">
        <f t="shared" si="30"/>
        <v>30566.833333333336</v>
      </c>
      <c r="BR34" s="102">
        <f t="shared" si="31"/>
        <v>1.49</v>
      </c>
      <c r="BS34" s="102">
        <f t="shared" si="32"/>
        <v>26514.653243847875</v>
      </c>
      <c r="BT34" s="102">
        <f t="shared" si="33"/>
        <v>15529.691880000002</v>
      </c>
      <c r="BU34" s="102">
        <f t="shared" si="34"/>
        <v>15037.141453333332</v>
      </c>
      <c r="BV34" s="102">
        <f t="shared" si="35"/>
        <v>30566.833333333336</v>
      </c>
      <c r="BW34" s="102">
        <f t="shared" si="36"/>
        <v>10422.612000000001</v>
      </c>
      <c r="BX34" s="102">
        <f t="shared" si="37"/>
        <v>10092.041243847874</v>
      </c>
      <c r="BY34" s="102">
        <f t="shared" si="38"/>
        <v>20514.653243847875</v>
      </c>
    </row>
    <row r="35" spans="1:77" ht="24" x14ac:dyDescent="0.3">
      <c r="A35" s="154" t="s">
        <v>147</v>
      </c>
      <c r="B35" s="223" t="s">
        <v>148</v>
      </c>
      <c r="C35" s="154" t="s">
        <v>124</v>
      </c>
      <c r="D35" s="183" t="s">
        <v>116</v>
      </c>
      <c r="E35" s="154" t="s">
        <v>117</v>
      </c>
      <c r="F35" s="154" t="s">
        <v>118</v>
      </c>
      <c r="G35" s="155" t="str">
        <f t="shared" si="2"/>
        <v>No of Racks</v>
      </c>
      <c r="H35" s="154">
        <v>3</v>
      </c>
      <c r="I35" s="154">
        <v>3</v>
      </c>
      <c r="J35" s="184">
        <f t="shared" si="40"/>
        <v>0</v>
      </c>
      <c r="K35" s="154">
        <v>2</v>
      </c>
      <c r="L35" s="154"/>
      <c r="M35" s="185">
        <f>(485000+675000)/12/2</f>
        <v>48333.333333333336</v>
      </c>
      <c r="N35" s="186">
        <f t="shared" si="39"/>
        <v>580000</v>
      </c>
      <c r="O35" s="187" t="str">
        <f t="shared" si="3"/>
        <v>Rated</v>
      </c>
      <c r="P35" s="154" t="s">
        <v>125</v>
      </c>
      <c r="Q35" s="154">
        <v>12</v>
      </c>
      <c r="R35" s="224">
        <v>3.8</v>
      </c>
      <c r="S35" s="189">
        <f t="shared" si="41"/>
        <v>8.1999999999999993</v>
      </c>
      <c r="T35" s="190"/>
      <c r="U35" s="190">
        <f t="shared" si="5"/>
        <v>4.0999999999999996</v>
      </c>
      <c r="V35" s="190">
        <f t="shared" si="6"/>
        <v>6</v>
      </c>
      <c r="W35" s="224">
        <v>3.8</v>
      </c>
      <c r="X35" s="190"/>
      <c r="Y35" s="85"/>
      <c r="Z35" s="193" t="str">
        <f t="shared" ref="Z35:Z45" si="42">D35</f>
        <v>Bundled</v>
      </c>
      <c r="AA35" s="190"/>
      <c r="AB35" s="190"/>
      <c r="AC35" s="194"/>
      <c r="AD35" s="203"/>
      <c r="AE35" s="122"/>
      <c r="AF35" s="155" t="str">
        <f t="shared" si="8"/>
        <v/>
      </c>
      <c r="AG35" s="190"/>
      <c r="AH35" s="190"/>
      <c r="AI35" s="190"/>
      <c r="AJ35" s="190"/>
      <c r="AK35" s="190"/>
      <c r="AL35" s="185"/>
      <c r="AM35" s="85">
        <f>M35</f>
        <v>48333.333333333336</v>
      </c>
      <c r="AN35" s="85">
        <f t="shared" si="10"/>
        <v>0</v>
      </c>
      <c r="AO35" s="85">
        <f t="shared" si="11"/>
        <v>0</v>
      </c>
      <c r="AP35" s="85">
        <f t="shared" si="12"/>
        <v>0</v>
      </c>
      <c r="AQ35" s="86">
        <f>1200000/12</f>
        <v>100000</v>
      </c>
      <c r="AR35" s="87">
        <f t="shared" si="13"/>
        <v>0</v>
      </c>
      <c r="AS35" s="88">
        <f t="shared" si="14"/>
        <v>0</v>
      </c>
      <c r="AT35" s="87" t="s">
        <v>119</v>
      </c>
      <c r="AU35" s="71" t="s">
        <v>149</v>
      </c>
      <c r="AV35" s="195">
        <v>42309</v>
      </c>
      <c r="AW35" s="71">
        <v>1</v>
      </c>
      <c r="AX35" s="195">
        <v>42675</v>
      </c>
      <c r="AY35" s="70" t="s">
        <v>150</v>
      </c>
      <c r="BA35" s="86">
        <f t="shared" si="15"/>
        <v>0</v>
      </c>
      <c r="BB35" s="86">
        <f t="shared" si="16"/>
        <v>0</v>
      </c>
      <c r="BC35" s="86">
        <f t="shared" si="17"/>
        <v>1454.5679555555555</v>
      </c>
      <c r="BD35" s="86">
        <f t="shared" si="18"/>
        <v>-5667.5502444444437</v>
      </c>
      <c r="BE35" s="86">
        <f t="shared" si="19"/>
        <v>-2367.0564444444449</v>
      </c>
      <c r="BF35" s="86"/>
      <c r="BG35" s="95">
        <f t="shared" si="20"/>
        <v>48333.333333333336</v>
      </c>
      <c r="BH35" s="95">
        <f t="shared" si="21"/>
        <v>0</v>
      </c>
      <c r="BI35" s="95">
        <f t="shared" si="22"/>
        <v>48333.333333333336</v>
      </c>
      <c r="BJ35" s="93">
        <f t="shared" si="23"/>
        <v>39605.925600000002</v>
      </c>
      <c r="BK35" s="93">
        <f t="shared" si="24"/>
        <v>82338.6348</v>
      </c>
      <c r="BL35" s="93">
        <f t="shared" si="25"/>
        <v>62535.672000000006</v>
      </c>
      <c r="BM35" s="93">
        <f t="shared" si="26"/>
        <v>8727.4077333333335</v>
      </c>
      <c r="BN35" s="93">
        <f t="shared" si="27"/>
        <v>36000</v>
      </c>
      <c r="BO35" s="93">
        <f t="shared" si="28"/>
        <v>-36000</v>
      </c>
      <c r="BP35" s="93">
        <f t="shared" si="29"/>
        <v>8727.4077333333335</v>
      </c>
      <c r="BQ35" s="93">
        <f t="shared" si="30"/>
        <v>-27272.592266666667</v>
      </c>
      <c r="BR35" s="93">
        <f t="shared" si="31"/>
        <v>6</v>
      </c>
      <c r="BS35" s="93">
        <f t="shared" si="32"/>
        <v>1454.5679555555555</v>
      </c>
      <c r="BT35" s="93">
        <f t="shared" si="33"/>
        <v>22929.746400000004</v>
      </c>
      <c r="BU35" s="93">
        <f t="shared" si="34"/>
        <v>-50202.338666666663</v>
      </c>
      <c r="BV35" s="93">
        <f t="shared" si="35"/>
        <v>-27272.592266666659</v>
      </c>
      <c r="BW35" s="93">
        <f t="shared" si="36"/>
        <v>3821.6244000000006</v>
      </c>
      <c r="BX35" s="93">
        <f t="shared" si="37"/>
        <v>-8367.0564444444444</v>
      </c>
      <c r="BY35" s="93">
        <f t="shared" si="38"/>
        <v>-4545.4320444444429</v>
      </c>
    </row>
    <row r="36" spans="1:77" ht="14.4" x14ac:dyDescent="0.3">
      <c r="A36" s="154" t="s">
        <v>151</v>
      </c>
      <c r="B36" s="223" t="s">
        <v>148</v>
      </c>
      <c r="C36" s="154" t="s">
        <v>124</v>
      </c>
      <c r="D36" s="183" t="s">
        <v>116</v>
      </c>
      <c r="E36" s="154" t="s">
        <v>117</v>
      </c>
      <c r="F36" s="154" t="s">
        <v>118</v>
      </c>
      <c r="G36" s="155" t="str">
        <f t="shared" si="2"/>
        <v>No of Racks</v>
      </c>
      <c r="H36" s="154">
        <v>1</v>
      </c>
      <c r="I36" s="154">
        <v>1</v>
      </c>
      <c r="J36" s="184">
        <f t="shared" si="40"/>
        <v>0</v>
      </c>
      <c r="K36" s="154">
        <v>1</v>
      </c>
      <c r="L36" s="154"/>
      <c r="M36" s="185">
        <f>920000/12</f>
        <v>76666.666666666672</v>
      </c>
      <c r="N36" s="186">
        <f t="shared" si="39"/>
        <v>920000</v>
      </c>
      <c r="O36" s="187" t="str">
        <f t="shared" si="3"/>
        <v>Rated</v>
      </c>
      <c r="P36" s="154" t="s">
        <v>125</v>
      </c>
      <c r="Q36" s="154">
        <v>6</v>
      </c>
      <c r="R36" s="224">
        <v>5</v>
      </c>
      <c r="S36" s="189">
        <f t="shared" si="41"/>
        <v>1</v>
      </c>
      <c r="T36" s="190"/>
      <c r="U36" s="190">
        <f t="shared" si="5"/>
        <v>0.5</v>
      </c>
      <c r="V36" s="190">
        <f t="shared" si="6"/>
        <v>3</v>
      </c>
      <c r="W36" s="224">
        <v>5</v>
      </c>
      <c r="X36" s="190"/>
      <c r="Y36" s="85"/>
      <c r="Z36" s="193" t="str">
        <f t="shared" si="42"/>
        <v>Bundled</v>
      </c>
      <c r="AA36" s="190"/>
      <c r="AB36" s="190"/>
      <c r="AC36" s="194"/>
      <c r="AD36" s="203"/>
      <c r="AE36" s="122"/>
      <c r="AF36" s="155" t="str">
        <f t="shared" si="8"/>
        <v/>
      </c>
      <c r="AG36" s="190"/>
      <c r="AH36" s="190"/>
      <c r="AI36" s="190"/>
      <c r="AJ36" s="190"/>
      <c r="AK36" s="190"/>
      <c r="AL36" s="185"/>
      <c r="AM36" s="85">
        <f>M36</f>
        <v>76666.666666666672</v>
      </c>
      <c r="AN36" s="85">
        <f t="shared" si="10"/>
        <v>0</v>
      </c>
      <c r="AO36" s="85">
        <f t="shared" si="11"/>
        <v>0</v>
      </c>
      <c r="AP36" s="85">
        <f t="shared" si="12"/>
        <v>0</v>
      </c>
      <c r="AQ36" s="86">
        <f>400000/12</f>
        <v>33333.333333333336</v>
      </c>
      <c r="AR36" s="87">
        <f t="shared" si="13"/>
        <v>0</v>
      </c>
      <c r="AS36" s="88">
        <f t="shared" si="14"/>
        <v>0</v>
      </c>
      <c r="AT36" s="87" t="s">
        <v>119</v>
      </c>
      <c r="AU36" s="225" t="s">
        <v>152</v>
      </c>
      <c r="AV36" s="195">
        <v>43635</v>
      </c>
      <c r="AW36" s="71">
        <v>1</v>
      </c>
      <c r="AX36" s="195">
        <v>43971</v>
      </c>
      <c r="AY36" s="71"/>
      <c r="BA36" s="86">
        <f t="shared" si="15"/>
        <v>0</v>
      </c>
      <c r="BB36" s="86">
        <f t="shared" si="16"/>
        <v>0</v>
      </c>
      <c r="BC36" s="86">
        <f t="shared" si="17"/>
        <v>8184.5355555555552</v>
      </c>
      <c r="BD36" s="86">
        <f t="shared" si="18"/>
        <v>6447.4335555555544</v>
      </c>
      <c r="BE36" s="86">
        <f t="shared" si="19"/>
        <v>15132.943555555556</v>
      </c>
      <c r="BF36" s="86"/>
      <c r="BG36" s="95">
        <f t="shared" si="20"/>
        <v>76666.666666666672</v>
      </c>
      <c r="BH36" s="95">
        <f t="shared" si="21"/>
        <v>45398.830666666669</v>
      </c>
      <c r="BI36" s="95">
        <f t="shared" si="22"/>
        <v>31267.836000000003</v>
      </c>
      <c r="BJ36" s="93">
        <f t="shared" si="23"/>
        <v>52113.060000000005</v>
      </c>
      <c r="BK36" s="93">
        <f t="shared" si="24"/>
        <v>57324.366000000009</v>
      </c>
      <c r="BL36" s="93">
        <f t="shared" si="25"/>
        <v>31267.836000000003</v>
      </c>
      <c r="BM36" s="93">
        <f t="shared" si="26"/>
        <v>24553.606666666667</v>
      </c>
      <c r="BN36" s="93">
        <f t="shared" si="27"/>
        <v>18000</v>
      </c>
      <c r="BO36" s="93">
        <f t="shared" si="28"/>
        <v>27398.830666666669</v>
      </c>
      <c r="BP36" s="93">
        <f t="shared" si="29"/>
        <v>-20845.224000000002</v>
      </c>
      <c r="BQ36" s="93">
        <f t="shared" si="30"/>
        <v>6553.6066666666666</v>
      </c>
      <c r="BR36" s="93">
        <f t="shared" si="31"/>
        <v>3</v>
      </c>
      <c r="BS36" s="93">
        <f t="shared" si="32"/>
        <v>8184.5355555555552</v>
      </c>
      <c r="BT36" s="93">
        <f t="shared" si="33"/>
        <v>-20845.224000000002</v>
      </c>
      <c r="BU36" s="93">
        <f t="shared" si="34"/>
        <v>27398.830666666669</v>
      </c>
      <c r="BV36" s="93">
        <f t="shared" si="35"/>
        <v>6553.6066666666666</v>
      </c>
      <c r="BW36" s="93">
        <f t="shared" si="36"/>
        <v>-6948.4080000000004</v>
      </c>
      <c r="BX36" s="93">
        <f t="shared" si="37"/>
        <v>9132.9435555555556</v>
      </c>
      <c r="BY36" s="93">
        <f t="shared" si="38"/>
        <v>2184.5355555555557</v>
      </c>
    </row>
    <row r="37" spans="1:77" ht="14.4" x14ac:dyDescent="0.3">
      <c r="A37" s="154" t="s">
        <v>147</v>
      </c>
      <c r="B37" s="204" t="s">
        <v>153</v>
      </c>
      <c r="C37" s="154" t="s">
        <v>124</v>
      </c>
      <c r="D37" s="183" t="s">
        <v>116</v>
      </c>
      <c r="E37" s="154" t="s">
        <v>117</v>
      </c>
      <c r="F37" s="154" t="s">
        <v>118</v>
      </c>
      <c r="G37" s="155" t="str">
        <f t="shared" si="2"/>
        <v>No of Racks</v>
      </c>
      <c r="H37" s="154">
        <v>1</v>
      </c>
      <c r="I37" s="154">
        <v>1</v>
      </c>
      <c r="J37" s="184">
        <f t="shared" si="40"/>
        <v>0</v>
      </c>
      <c r="K37" s="154">
        <v>1</v>
      </c>
      <c r="L37" s="154"/>
      <c r="M37" s="185"/>
      <c r="N37" s="186">
        <f t="shared" si="39"/>
        <v>0</v>
      </c>
      <c r="O37" s="187" t="str">
        <f t="shared" si="3"/>
        <v>Rated</v>
      </c>
      <c r="P37" s="154" t="s">
        <v>125</v>
      </c>
      <c r="Q37" s="154">
        <v>3</v>
      </c>
      <c r="R37" s="224">
        <v>2</v>
      </c>
      <c r="S37" s="189">
        <f t="shared" si="41"/>
        <v>1</v>
      </c>
      <c r="T37" s="190"/>
      <c r="U37" s="190">
        <f t="shared" si="5"/>
        <v>0.5</v>
      </c>
      <c r="V37" s="190">
        <f t="shared" si="6"/>
        <v>1.5</v>
      </c>
      <c r="W37" s="224">
        <v>2</v>
      </c>
      <c r="X37" s="190"/>
      <c r="Y37" s="85"/>
      <c r="Z37" s="193" t="str">
        <f t="shared" si="42"/>
        <v>Bundled</v>
      </c>
      <c r="AA37" s="190"/>
      <c r="AB37" s="190"/>
      <c r="AC37" s="194"/>
      <c r="AD37" s="203"/>
      <c r="AE37" s="122"/>
      <c r="AF37" s="155" t="str">
        <f t="shared" si="8"/>
        <v/>
      </c>
      <c r="AG37" s="190"/>
      <c r="AH37" s="190"/>
      <c r="AI37" s="190"/>
      <c r="AJ37" s="190"/>
      <c r="AK37" s="190"/>
      <c r="AL37" s="185"/>
      <c r="AM37" s="85">
        <f>M37*K37</f>
        <v>0</v>
      </c>
      <c r="AN37" s="85">
        <f t="shared" si="10"/>
        <v>0</v>
      </c>
      <c r="AO37" s="85">
        <f t="shared" si="11"/>
        <v>0</v>
      </c>
      <c r="AP37" s="85">
        <f t="shared" si="12"/>
        <v>0</v>
      </c>
      <c r="AQ37" s="86">
        <f>(100000+100000+70000+10000)/12</f>
        <v>23333.333333333332</v>
      </c>
      <c r="AR37" s="87">
        <f t="shared" si="13"/>
        <v>0</v>
      </c>
      <c r="AS37" s="88">
        <f t="shared" si="14"/>
        <v>0</v>
      </c>
      <c r="AT37" s="87" t="s">
        <v>119</v>
      </c>
      <c r="AU37" s="71"/>
      <c r="AV37" s="71"/>
      <c r="AW37" s="71"/>
      <c r="AX37" s="71"/>
      <c r="AY37" s="103" t="s">
        <v>154</v>
      </c>
      <c r="BA37" s="86">
        <f t="shared" si="15"/>
        <v>0</v>
      </c>
      <c r="BB37" s="86">
        <f t="shared" si="16"/>
        <v>0</v>
      </c>
      <c r="BC37" s="86">
        <f t="shared" si="17"/>
        <v>-13896.816000000001</v>
      </c>
      <c r="BD37" s="86">
        <f t="shared" si="18"/>
        <v>-17371.02</v>
      </c>
      <c r="BE37" s="86">
        <f t="shared" si="19"/>
        <v>-10422.612000000001</v>
      </c>
      <c r="BF37" s="86"/>
      <c r="BG37" s="92">
        <f t="shared" si="20"/>
        <v>0</v>
      </c>
      <c r="BH37" s="92">
        <f t="shared" si="21"/>
        <v>0</v>
      </c>
      <c r="BI37" s="92">
        <f t="shared" si="22"/>
        <v>0</v>
      </c>
      <c r="BJ37" s="93">
        <f t="shared" si="23"/>
        <v>20845.224000000002</v>
      </c>
      <c r="BK37" s="93">
        <f t="shared" si="24"/>
        <v>26056.530000000002</v>
      </c>
      <c r="BL37" s="93">
        <f t="shared" si="25"/>
        <v>15633.918000000001</v>
      </c>
      <c r="BM37" s="93">
        <f t="shared" si="26"/>
        <v>-20845.224000000002</v>
      </c>
      <c r="BN37" s="93">
        <f t="shared" si="27"/>
        <v>9000</v>
      </c>
      <c r="BO37" s="93">
        <f t="shared" si="28"/>
        <v>-9000</v>
      </c>
      <c r="BP37" s="93">
        <f t="shared" si="29"/>
        <v>-20845.224000000002</v>
      </c>
      <c r="BQ37" s="93">
        <f t="shared" si="30"/>
        <v>-29845.224000000002</v>
      </c>
      <c r="BR37" s="93">
        <f t="shared" si="31"/>
        <v>1.5</v>
      </c>
      <c r="BS37" s="93">
        <f t="shared" si="32"/>
        <v>-13896.816000000001</v>
      </c>
      <c r="BT37" s="93">
        <f t="shared" si="33"/>
        <v>-5211.3060000000005</v>
      </c>
      <c r="BU37" s="93">
        <f t="shared" si="34"/>
        <v>-24633.918000000001</v>
      </c>
      <c r="BV37" s="93">
        <f t="shared" si="35"/>
        <v>-29845.224000000002</v>
      </c>
      <c r="BW37" s="93">
        <f t="shared" si="36"/>
        <v>-3474.2040000000002</v>
      </c>
      <c r="BX37" s="93">
        <f t="shared" si="37"/>
        <v>-16422.612000000001</v>
      </c>
      <c r="BY37" s="93">
        <f t="shared" si="38"/>
        <v>-19896.816000000003</v>
      </c>
    </row>
    <row r="38" spans="1:77" ht="14.4" x14ac:dyDescent="0.3">
      <c r="A38" s="154" t="s">
        <v>147</v>
      </c>
      <c r="B38" s="223" t="s">
        <v>155</v>
      </c>
      <c r="C38" s="154" t="s">
        <v>124</v>
      </c>
      <c r="D38" s="183" t="s">
        <v>116</v>
      </c>
      <c r="E38" s="154" t="s">
        <v>117</v>
      </c>
      <c r="F38" s="154" t="s">
        <v>118</v>
      </c>
      <c r="G38" s="155" t="str">
        <f t="shared" si="2"/>
        <v>No of Racks</v>
      </c>
      <c r="H38" s="154">
        <v>5</v>
      </c>
      <c r="I38" s="154">
        <v>5</v>
      </c>
      <c r="J38" s="184">
        <f t="shared" si="40"/>
        <v>0</v>
      </c>
      <c r="K38" s="154">
        <v>5</v>
      </c>
      <c r="L38" s="154"/>
      <c r="M38" s="185">
        <f>(750000+750000+650000)/12</f>
        <v>179166.66666666666</v>
      </c>
      <c r="N38" s="186">
        <f t="shared" si="39"/>
        <v>2150000</v>
      </c>
      <c r="O38" s="187" t="str">
        <f t="shared" si="3"/>
        <v>Rated</v>
      </c>
      <c r="P38" s="154" t="s">
        <v>125</v>
      </c>
      <c r="Q38" s="154">
        <v>15</v>
      </c>
      <c r="R38" s="224">
        <v>10</v>
      </c>
      <c r="S38" s="189">
        <f t="shared" si="41"/>
        <v>5</v>
      </c>
      <c r="T38" s="190"/>
      <c r="U38" s="190">
        <f t="shared" si="5"/>
        <v>2.5</v>
      </c>
      <c r="V38" s="190">
        <f t="shared" si="6"/>
        <v>7.5</v>
      </c>
      <c r="W38" s="224">
        <v>10</v>
      </c>
      <c r="X38" s="190"/>
      <c r="Y38" s="85"/>
      <c r="Z38" s="193" t="str">
        <f t="shared" si="42"/>
        <v>Bundled</v>
      </c>
      <c r="AA38" s="190"/>
      <c r="AB38" s="190"/>
      <c r="AC38" s="194"/>
      <c r="AD38" s="203"/>
      <c r="AE38" s="122"/>
      <c r="AF38" s="155" t="str">
        <f t="shared" si="8"/>
        <v/>
      </c>
      <c r="AG38" s="190"/>
      <c r="AH38" s="190"/>
      <c r="AI38" s="190"/>
      <c r="AJ38" s="190"/>
      <c r="AK38" s="190"/>
      <c r="AL38" s="185"/>
      <c r="AM38" s="85">
        <f>M38</f>
        <v>179166.66666666666</v>
      </c>
      <c r="AN38" s="85">
        <f t="shared" si="10"/>
        <v>0</v>
      </c>
      <c r="AO38" s="85">
        <f t="shared" si="11"/>
        <v>0</v>
      </c>
      <c r="AP38" s="85">
        <f t="shared" si="12"/>
        <v>0</v>
      </c>
      <c r="AQ38" s="86">
        <f>810000/12</f>
        <v>67500</v>
      </c>
      <c r="AR38" s="87">
        <f t="shared" si="13"/>
        <v>0</v>
      </c>
      <c r="AS38" s="88">
        <f t="shared" si="14"/>
        <v>0</v>
      </c>
      <c r="AT38" s="87" t="s">
        <v>119</v>
      </c>
      <c r="AU38" s="71" t="s">
        <v>156</v>
      </c>
      <c r="AV38" s="195">
        <v>42370</v>
      </c>
      <c r="AW38" s="71">
        <v>1</v>
      </c>
      <c r="AX38" s="195">
        <v>42736</v>
      </c>
      <c r="AY38" s="71" t="s">
        <v>157</v>
      </c>
      <c r="BA38" s="86">
        <f t="shared" si="15"/>
        <v>0</v>
      </c>
      <c r="BB38" s="86">
        <f t="shared" si="16"/>
        <v>0</v>
      </c>
      <c r="BC38" s="86">
        <f t="shared" si="17"/>
        <v>9992.0728888888862</v>
      </c>
      <c r="BD38" s="86">
        <f t="shared" si="18"/>
        <v>6517.8688888888864</v>
      </c>
      <c r="BE38" s="86">
        <f t="shared" si="19"/>
        <v>13466.276888888886</v>
      </c>
      <c r="BF38" s="86"/>
      <c r="BG38" s="95">
        <f t="shared" si="20"/>
        <v>179166.66666666666</v>
      </c>
      <c r="BH38" s="95">
        <f t="shared" si="21"/>
        <v>100997.07666666665</v>
      </c>
      <c r="BI38" s="95">
        <f t="shared" si="22"/>
        <v>78169.590000000011</v>
      </c>
      <c r="BJ38" s="93">
        <f t="shared" si="23"/>
        <v>104226.12000000001</v>
      </c>
      <c r="BK38" s="93">
        <f t="shared" si="24"/>
        <v>130282.65000000001</v>
      </c>
      <c r="BL38" s="93">
        <f t="shared" si="25"/>
        <v>78169.590000000011</v>
      </c>
      <c r="BM38" s="93">
        <f t="shared" si="26"/>
        <v>74940.546666666647</v>
      </c>
      <c r="BN38" s="93">
        <f t="shared" si="27"/>
        <v>45000</v>
      </c>
      <c r="BO38" s="93">
        <f t="shared" si="28"/>
        <v>55997.076666666646</v>
      </c>
      <c r="BP38" s="93">
        <f t="shared" si="29"/>
        <v>-26056.53</v>
      </c>
      <c r="BQ38" s="93">
        <f t="shared" si="30"/>
        <v>29940.546666666647</v>
      </c>
      <c r="BR38" s="93">
        <f t="shared" si="31"/>
        <v>7.5</v>
      </c>
      <c r="BS38" s="93">
        <f t="shared" si="32"/>
        <v>9992.0728888888862</v>
      </c>
      <c r="BT38" s="93">
        <f t="shared" si="33"/>
        <v>-26056.53</v>
      </c>
      <c r="BU38" s="93">
        <f t="shared" si="34"/>
        <v>55997.076666666646</v>
      </c>
      <c r="BV38" s="93">
        <f t="shared" si="35"/>
        <v>29940.546666666647</v>
      </c>
      <c r="BW38" s="93">
        <f t="shared" si="36"/>
        <v>-3474.2039999999997</v>
      </c>
      <c r="BX38" s="93">
        <f t="shared" si="37"/>
        <v>7466.2768888888859</v>
      </c>
      <c r="BY38" s="93">
        <f t="shared" si="38"/>
        <v>3992.0728888888862</v>
      </c>
    </row>
    <row r="39" spans="1:77" ht="14.4" x14ac:dyDescent="0.3">
      <c r="A39" s="154" t="s">
        <v>158</v>
      </c>
      <c r="B39" s="223" t="s">
        <v>159</v>
      </c>
      <c r="C39" s="154" t="s">
        <v>124</v>
      </c>
      <c r="D39" s="183" t="s">
        <v>116</v>
      </c>
      <c r="E39" s="154" t="s">
        <v>117</v>
      </c>
      <c r="F39" s="154" t="s">
        <v>118</v>
      </c>
      <c r="G39" s="155" t="str">
        <f t="shared" si="2"/>
        <v>No of Racks</v>
      </c>
      <c r="H39" s="154">
        <v>1</v>
      </c>
      <c r="I39" s="154">
        <v>1</v>
      </c>
      <c r="J39" s="184">
        <f t="shared" si="40"/>
        <v>0</v>
      </c>
      <c r="K39" s="154">
        <v>1</v>
      </c>
      <c r="L39" s="154"/>
      <c r="M39" s="185">
        <f>600000/12</f>
        <v>50000</v>
      </c>
      <c r="N39" s="186">
        <f t="shared" si="39"/>
        <v>600000</v>
      </c>
      <c r="O39" s="187" t="str">
        <f t="shared" si="3"/>
        <v>Rated</v>
      </c>
      <c r="P39" s="154" t="s">
        <v>125</v>
      </c>
      <c r="Q39" s="154">
        <v>3</v>
      </c>
      <c r="R39" s="224">
        <v>2.1</v>
      </c>
      <c r="S39" s="189">
        <f t="shared" si="41"/>
        <v>0.89999999999999991</v>
      </c>
      <c r="T39" s="190"/>
      <c r="U39" s="190">
        <f t="shared" si="5"/>
        <v>0.44999999999999996</v>
      </c>
      <c r="V39" s="190">
        <f t="shared" si="6"/>
        <v>1.5</v>
      </c>
      <c r="W39" s="224">
        <v>2.1</v>
      </c>
      <c r="X39" s="190"/>
      <c r="Y39" s="85"/>
      <c r="Z39" s="193" t="str">
        <f t="shared" si="42"/>
        <v>Bundled</v>
      </c>
      <c r="AA39" s="190"/>
      <c r="AB39" s="190"/>
      <c r="AC39" s="194"/>
      <c r="AD39" s="203"/>
      <c r="AE39" s="122"/>
      <c r="AF39" s="155" t="str">
        <f t="shared" si="8"/>
        <v/>
      </c>
      <c r="AG39" s="190"/>
      <c r="AH39" s="190"/>
      <c r="AI39" s="190"/>
      <c r="AJ39" s="190"/>
      <c r="AK39" s="190"/>
      <c r="AL39" s="185"/>
      <c r="AM39" s="85">
        <f t="shared" ref="AM39:AM45" si="43">M39*K39</f>
        <v>50000</v>
      </c>
      <c r="AN39" s="85">
        <f t="shared" si="10"/>
        <v>0</v>
      </c>
      <c r="AO39" s="85">
        <f t="shared" si="11"/>
        <v>0</v>
      </c>
      <c r="AP39" s="85">
        <f t="shared" si="12"/>
        <v>0</v>
      </c>
      <c r="AQ39" s="86"/>
      <c r="AR39" s="87">
        <f t="shared" si="13"/>
        <v>0</v>
      </c>
      <c r="AS39" s="88">
        <f t="shared" si="14"/>
        <v>0</v>
      </c>
      <c r="AT39" s="87" t="s">
        <v>119</v>
      </c>
      <c r="AU39" s="71">
        <v>721004903</v>
      </c>
      <c r="AV39" s="226">
        <v>42783</v>
      </c>
      <c r="AW39" s="71">
        <v>1</v>
      </c>
      <c r="AX39" s="195">
        <v>43117</v>
      </c>
      <c r="AY39" s="71" t="s">
        <v>160</v>
      </c>
      <c r="BA39" s="86">
        <f t="shared" si="15"/>
        <v>0</v>
      </c>
      <c r="BB39" s="86">
        <f t="shared" si="16"/>
        <v>0</v>
      </c>
      <c r="BC39" s="86">
        <f t="shared" si="17"/>
        <v>18741.676533333331</v>
      </c>
      <c r="BD39" s="86">
        <f t="shared" si="18"/>
        <v>15614.892933333334</v>
      </c>
      <c r="BE39" s="86">
        <f t="shared" si="19"/>
        <v>22910.721333333331</v>
      </c>
      <c r="BF39" s="86"/>
      <c r="BG39" s="95">
        <f t="shared" si="20"/>
        <v>50000</v>
      </c>
      <c r="BH39" s="95">
        <f t="shared" si="21"/>
        <v>34366.081999999995</v>
      </c>
      <c r="BI39" s="95">
        <f t="shared" si="22"/>
        <v>15633.918000000001</v>
      </c>
      <c r="BJ39" s="93">
        <f t="shared" si="23"/>
        <v>21887.485200000003</v>
      </c>
      <c r="BK39" s="93">
        <f t="shared" si="24"/>
        <v>26577.660599999999</v>
      </c>
      <c r="BL39" s="93">
        <f t="shared" si="25"/>
        <v>15633.918000000001</v>
      </c>
      <c r="BM39" s="93">
        <f t="shared" si="26"/>
        <v>28112.514799999997</v>
      </c>
      <c r="BN39" s="93">
        <f t="shared" si="27"/>
        <v>9000</v>
      </c>
      <c r="BO39" s="93">
        <f t="shared" si="28"/>
        <v>25366.081999999995</v>
      </c>
      <c r="BP39" s="93">
        <f t="shared" si="29"/>
        <v>-6253.5672000000013</v>
      </c>
      <c r="BQ39" s="93">
        <f t="shared" si="30"/>
        <v>19112.514799999994</v>
      </c>
      <c r="BR39" s="93">
        <f t="shared" si="31"/>
        <v>1.5</v>
      </c>
      <c r="BS39" s="93">
        <f t="shared" si="32"/>
        <v>18741.676533333331</v>
      </c>
      <c r="BT39" s="93">
        <f t="shared" si="33"/>
        <v>-6253.5672000000013</v>
      </c>
      <c r="BU39" s="93">
        <f t="shared" si="34"/>
        <v>25366.081999999995</v>
      </c>
      <c r="BV39" s="93">
        <f t="shared" si="35"/>
        <v>19112.514799999994</v>
      </c>
      <c r="BW39" s="93">
        <f t="shared" si="36"/>
        <v>-4169.0448000000006</v>
      </c>
      <c r="BX39" s="93">
        <f t="shared" si="37"/>
        <v>16910.721333333331</v>
      </c>
      <c r="BY39" s="93">
        <f t="shared" si="38"/>
        <v>12741.67653333333</v>
      </c>
    </row>
    <row r="40" spans="1:77" ht="14.4" x14ac:dyDescent="0.3">
      <c r="A40" s="154" t="s">
        <v>158</v>
      </c>
      <c r="B40" s="223" t="s">
        <v>161</v>
      </c>
      <c r="C40" s="154" t="s">
        <v>124</v>
      </c>
      <c r="D40" s="183" t="s">
        <v>116</v>
      </c>
      <c r="E40" s="154" t="s">
        <v>117</v>
      </c>
      <c r="F40" s="154" t="s">
        <v>118</v>
      </c>
      <c r="G40" s="155" t="str">
        <f t="shared" si="2"/>
        <v>No of Racks</v>
      </c>
      <c r="H40" s="154">
        <v>1</v>
      </c>
      <c r="I40" s="154">
        <v>1</v>
      </c>
      <c r="J40" s="184">
        <f t="shared" si="40"/>
        <v>0</v>
      </c>
      <c r="K40" s="154">
        <v>0</v>
      </c>
      <c r="L40" s="154"/>
      <c r="M40" s="185">
        <f>480000/12</f>
        <v>40000</v>
      </c>
      <c r="N40" s="186">
        <f t="shared" si="39"/>
        <v>480000</v>
      </c>
      <c r="O40" s="187" t="str">
        <f t="shared" si="3"/>
        <v>Rated</v>
      </c>
      <c r="P40" s="154" t="s">
        <v>125</v>
      </c>
      <c r="Q40" s="154">
        <v>3</v>
      </c>
      <c r="R40" s="224">
        <v>2</v>
      </c>
      <c r="S40" s="189">
        <f t="shared" si="41"/>
        <v>1</v>
      </c>
      <c r="T40" s="190"/>
      <c r="U40" s="190">
        <f t="shared" si="5"/>
        <v>0.5</v>
      </c>
      <c r="V40" s="190">
        <f t="shared" si="6"/>
        <v>1.5</v>
      </c>
      <c r="W40" s="224">
        <v>2</v>
      </c>
      <c r="X40" s="190"/>
      <c r="Y40" s="85">
        <f>110000/12</f>
        <v>9166.6666666666661</v>
      </c>
      <c r="Z40" s="193" t="str">
        <f t="shared" si="42"/>
        <v>Bundled</v>
      </c>
      <c r="AA40" s="190"/>
      <c r="AB40" s="190"/>
      <c r="AC40" s="194"/>
      <c r="AD40" s="203"/>
      <c r="AE40" s="122"/>
      <c r="AF40" s="155" t="str">
        <f t="shared" si="8"/>
        <v/>
      </c>
      <c r="AG40" s="190"/>
      <c r="AH40" s="190"/>
      <c r="AI40" s="190"/>
      <c r="AJ40" s="190"/>
      <c r="AK40" s="190"/>
      <c r="AL40" s="185"/>
      <c r="AM40" s="85">
        <f t="shared" si="43"/>
        <v>0</v>
      </c>
      <c r="AN40" s="85">
        <f t="shared" si="10"/>
        <v>0</v>
      </c>
      <c r="AO40" s="85">
        <f t="shared" si="11"/>
        <v>0</v>
      </c>
      <c r="AP40" s="85">
        <f t="shared" si="12"/>
        <v>0</v>
      </c>
      <c r="AQ40" s="86">
        <f>(100000+100000)/12</f>
        <v>16666.666666666668</v>
      </c>
      <c r="AR40" s="87">
        <f t="shared" si="13"/>
        <v>0</v>
      </c>
      <c r="AS40" s="88">
        <f t="shared" si="14"/>
        <v>0</v>
      </c>
      <c r="AT40" s="87" t="s">
        <v>119</v>
      </c>
      <c r="AU40" s="71">
        <v>721005279</v>
      </c>
      <c r="AV40" s="195">
        <v>42965</v>
      </c>
      <c r="AW40" s="71">
        <v>1</v>
      </c>
      <c r="AX40" s="195">
        <v>43299</v>
      </c>
      <c r="AY40" s="103" t="s">
        <v>154</v>
      </c>
      <c r="BA40" s="86">
        <f t="shared" si="15"/>
        <v>0</v>
      </c>
      <c r="BB40" s="86">
        <f t="shared" si="16"/>
        <v>0</v>
      </c>
      <c r="BC40" s="86">
        <f t="shared" si="17"/>
        <v>-13896.816000000001</v>
      </c>
      <c r="BD40" s="86">
        <f t="shared" si="18"/>
        <v>-17371.02</v>
      </c>
      <c r="BE40" s="86">
        <f t="shared" si="19"/>
        <v>-10422.612000000001</v>
      </c>
      <c r="BF40" s="86"/>
      <c r="BG40" s="92">
        <f t="shared" si="20"/>
        <v>0</v>
      </c>
      <c r="BH40" s="92">
        <f t="shared" si="21"/>
        <v>0</v>
      </c>
      <c r="BI40" s="92">
        <f t="shared" si="22"/>
        <v>0</v>
      </c>
      <c r="BJ40" s="93">
        <f t="shared" si="23"/>
        <v>20845.224000000002</v>
      </c>
      <c r="BK40" s="93">
        <f t="shared" si="24"/>
        <v>26056.530000000002</v>
      </c>
      <c r="BL40" s="93">
        <f t="shared" si="25"/>
        <v>15633.918000000001</v>
      </c>
      <c r="BM40" s="93">
        <f t="shared" si="26"/>
        <v>-20845.224000000002</v>
      </c>
      <c r="BN40" s="93">
        <f t="shared" si="27"/>
        <v>9000</v>
      </c>
      <c r="BO40" s="93">
        <f t="shared" si="28"/>
        <v>-9000</v>
      </c>
      <c r="BP40" s="93">
        <f t="shared" si="29"/>
        <v>-20845.224000000002</v>
      </c>
      <c r="BQ40" s="93">
        <f t="shared" si="30"/>
        <v>-29845.224000000002</v>
      </c>
      <c r="BR40" s="93">
        <f t="shared" si="31"/>
        <v>1.5</v>
      </c>
      <c r="BS40" s="93">
        <f t="shared" si="32"/>
        <v>-13896.816000000001</v>
      </c>
      <c r="BT40" s="93">
        <f t="shared" si="33"/>
        <v>-5211.3060000000005</v>
      </c>
      <c r="BU40" s="93">
        <f t="shared" si="34"/>
        <v>-24633.918000000001</v>
      </c>
      <c r="BV40" s="93">
        <f t="shared" si="35"/>
        <v>-29845.224000000002</v>
      </c>
      <c r="BW40" s="93">
        <f t="shared" si="36"/>
        <v>-3474.2040000000002</v>
      </c>
      <c r="BX40" s="93">
        <f t="shared" si="37"/>
        <v>-16422.612000000001</v>
      </c>
      <c r="BY40" s="93">
        <f t="shared" si="38"/>
        <v>-19896.816000000003</v>
      </c>
    </row>
    <row r="41" spans="1:77" ht="14.4" x14ac:dyDescent="0.3">
      <c r="A41" s="182" t="s">
        <v>122</v>
      </c>
      <c r="B41" s="154" t="s">
        <v>162</v>
      </c>
      <c r="C41" s="154" t="s">
        <v>124</v>
      </c>
      <c r="D41" s="183" t="s">
        <v>130</v>
      </c>
      <c r="E41" s="154" t="s">
        <v>117</v>
      </c>
      <c r="F41" s="154" t="s">
        <v>131</v>
      </c>
      <c r="G41" s="155" t="str">
        <f t="shared" si="2"/>
        <v>No of Racks</v>
      </c>
      <c r="H41" s="154">
        <v>10</v>
      </c>
      <c r="I41" s="154">
        <v>10</v>
      </c>
      <c r="J41" s="184">
        <f t="shared" si="40"/>
        <v>0</v>
      </c>
      <c r="K41" s="154">
        <v>10</v>
      </c>
      <c r="L41" s="154"/>
      <c r="M41" s="85">
        <f>2289000/12</f>
        <v>190750</v>
      </c>
      <c r="N41" s="186">
        <f t="shared" si="39"/>
        <v>2289000</v>
      </c>
      <c r="O41" s="187" t="str">
        <f t="shared" si="3"/>
        <v>Rated</v>
      </c>
      <c r="P41" s="154" t="s">
        <v>108</v>
      </c>
      <c r="Q41" s="154">
        <v>40</v>
      </c>
      <c r="R41" s="196">
        <v>12.26</v>
      </c>
      <c r="S41" s="189">
        <f t="shared" si="41"/>
        <v>27.740000000000002</v>
      </c>
      <c r="T41" s="190"/>
      <c r="U41" s="190">
        <f t="shared" si="5"/>
        <v>13.870000000000001</v>
      </c>
      <c r="V41" s="190">
        <f t="shared" si="6"/>
        <v>20</v>
      </c>
      <c r="W41" s="206">
        <f t="shared" ref="W41:W58" si="44">R41</f>
        <v>12.26</v>
      </c>
      <c r="X41" s="190"/>
      <c r="Y41" s="85"/>
      <c r="Z41" s="193" t="str">
        <f t="shared" si="42"/>
        <v>Metered</v>
      </c>
      <c r="AA41" s="190">
        <v>1</v>
      </c>
      <c r="AB41" s="183" t="s">
        <v>145</v>
      </c>
      <c r="AC41" s="194">
        <v>17</v>
      </c>
      <c r="AD41" s="203">
        <v>8704.5910000000094</v>
      </c>
      <c r="AE41" s="122"/>
      <c r="AF41" s="155" t="str">
        <f t="shared" si="8"/>
        <v/>
      </c>
      <c r="AG41" s="190"/>
      <c r="AH41" s="190"/>
      <c r="AI41" s="190"/>
      <c r="AJ41" s="190"/>
      <c r="AK41" s="190"/>
      <c r="AL41" s="185"/>
      <c r="AM41" s="85">
        <f t="shared" si="43"/>
        <v>1907500</v>
      </c>
      <c r="AN41" s="85">
        <f t="shared" si="10"/>
        <v>0</v>
      </c>
      <c r="AO41" s="85">
        <f t="shared" si="11"/>
        <v>147978.04700000017</v>
      </c>
      <c r="AP41" s="85">
        <f t="shared" si="12"/>
        <v>0</v>
      </c>
      <c r="AQ41" s="86">
        <f>(30000+300000+165000+60000)</f>
        <v>555000</v>
      </c>
      <c r="AR41" s="87">
        <f t="shared" si="13"/>
        <v>2610478.0470000003</v>
      </c>
      <c r="AS41" s="88">
        <f t="shared" si="14"/>
        <v>31325736.564000003</v>
      </c>
      <c r="AT41" s="87" t="s">
        <v>119</v>
      </c>
      <c r="AU41" s="71"/>
      <c r="AV41" s="195">
        <v>43817</v>
      </c>
      <c r="AW41" s="71">
        <v>3</v>
      </c>
      <c r="AX41" s="195">
        <v>44521</v>
      </c>
      <c r="AY41" s="71"/>
      <c r="BA41" s="86">
        <f t="shared" si="15"/>
        <v>261047.80470000004</v>
      </c>
      <c r="BB41" s="86">
        <f t="shared" si="16"/>
        <v>130523.90235000002</v>
      </c>
      <c r="BC41" s="86">
        <f t="shared" si="17"/>
        <v>96526.70300822788</v>
      </c>
      <c r="BD41" s="86">
        <f t="shared" si="18"/>
        <v>96526.70300822788</v>
      </c>
      <c r="BE41" s="86">
        <f t="shared" si="19"/>
        <v>97093.179799999998</v>
      </c>
      <c r="BF41" s="86"/>
      <c r="BG41" s="92">
        <f t="shared" si="20"/>
        <v>2055478.0470000003</v>
      </c>
      <c r="BH41" s="92">
        <f t="shared" si="21"/>
        <v>1907500</v>
      </c>
      <c r="BI41" s="92">
        <f t="shared" si="22"/>
        <v>147978.04700000017</v>
      </c>
      <c r="BJ41" s="93">
        <f t="shared" si="23"/>
        <v>124943.98683544277</v>
      </c>
      <c r="BK41" s="93">
        <f t="shared" si="24"/>
        <v>124943.98683544277</v>
      </c>
      <c r="BL41" s="93">
        <f t="shared" si="25"/>
        <v>177184.40400000001</v>
      </c>
      <c r="BM41" s="93">
        <f t="shared" si="26"/>
        <v>1930534.0601645575</v>
      </c>
      <c r="BN41" s="93">
        <f t="shared" si="27"/>
        <v>120000</v>
      </c>
      <c r="BO41" s="93">
        <f t="shared" si="28"/>
        <v>1787500</v>
      </c>
      <c r="BP41" s="93">
        <f t="shared" si="29"/>
        <v>23034.060164557392</v>
      </c>
      <c r="BQ41" s="93">
        <f t="shared" si="30"/>
        <v>1810534.0601645573</v>
      </c>
      <c r="BR41" s="93">
        <f t="shared" si="31"/>
        <v>20</v>
      </c>
      <c r="BS41" s="93">
        <f t="shared" si="32"/>
        <v>96526.70300822788</v>
      </c>
      <c r="BT41" s="93">
        <f t="shared" si="33"/>
        <v>23034.060164557392</v>
      </c>
      <c r="BU41" s="93">
        <f t="shared" si="34"/>
        <v>1787500</v>
      </c>
      <c r="BV41" s="93">
        <f t="shared" si="35"/>
        <v>1810534.0601645573</v>
      </c>
      <c r="BW41" s="93">
        <f t="shared" si="36"/>
        <v>1151.7030082278695</v>
      </c>
      <c r="BX41" s="93">
        <f t="shared" si="37"/>
        <v>89375</v>
      </c>
      <c r="BY41" s="93">
        <f t="shared" si="38"/>
        <v>90526.703008227865</v>
      </c>
    </row>
    <row r="42" spans="1:77" ht="14.4" x14ac:dyDescent="0.3">
      <c r="A42" s="182" t="s">
        <v>122</v>
      </c>
      <c r="B42" s="154" t="s">
        <v>163</v>
      </c>
      <c r="C42" s="154" t="s">
        <v>124</v>
      </c>
      <c r="D42" s="183" t="s">
        <v>116</v>
      </c>
      <c r="E42" s="154" t="s">
        <v>164</v>
      </c>
      <c r="F42" s="154" t="s">
        <v>118</v>
      </c>
      <c r="G42" s="155" t="str">
        <f t="shared" si="2"/>
        <v>U Space</v>
      </c>
      <c r="H42" s="154">
        <v>22</v>
      </c>
      <c r="I42" s="154">
        <v>22</v>
      </c>
      <c r="J42" s="184">
        <f t="shared" si="40"/>
        <v>0</v>
      </c>
      <c r="K42" s="154">
        <v>22</v>
      </c>
      <c r="L42" s="154"/>
      <c r="M42" s="185">
        <f>(410000+30000)/12</f>
        <v>36666.666666666664</v>
      </c>
      <c r="N42" s="186">
        <f t="shared" si="39"/>
        <v>440000</v>
      </c>
      <c r="O42" s="187" t="str">
        <f t="shared" si="3"/>
        <v>Rated</v>
      </c>
      <c r="P42" s="154" t="s">
        <v>125</v>
      </c>
      <c r="Q42" s="154">
        <v>4.57</v>
      </c>
      <c r="R42" s="227">
        <v>0</v>
      </c>
      <c r="S42" s="189">
        <f t="shared" si="41"/>
        <v>4.57</v>
      </c>
      <c r="T42" s="154"/>
      <c r="U42" s="190">
        <f t="shared" si="5"/>
        <v>2.2850000000000001</v>
      </c>
      <c r="V42" s="190">
        <f t="shared" si="6"/>
        <v>2.2850000000000001</v>
      </c>
      <c r="W42" s="192">
        <f t="shared" si="44"/>
        <v>0</v>
      </c>
      <c r="X42" s="190">
        <f>S42*-1</f>
        <v>-4.57</v>
      </c>
      <c r="Y42" s="85">
        <f>45000/6</f>
        <v>7500</v>
      </c>
      <c r="Z42" s="193" t="str">
        <f t="shared" si="42"/>
        <v>Bundled</v>
      </c>
      <c r="AA42" s="154"/>
      <c r="AB42" s="190"/>
      <c r="AC42" s="194"/>
      <c r="AD42" s="228"/>
      <c r="AE42" s="122"/>
      <c r="AF42" s="155" t="str">
        <f t="shared" si="8"/>
        <v/>
      </c>
      <c r="AG42" s="154"/>
      <c r="AH42" s="154"/>
      <c r="AI42" s="154"/>
      <c r="AJ42" s="154"/>
      <c r="AK42" s="154"/>
      <c r="AL42" s="185"/>
      <c r="AM42" s="85">
        <f t="shared" si="43"/>
        <v>806666.66666666663</v>
      </c>
      <c r="AN42" s="85">
        <f t="shared" si="10"/>
        <v>-34275</v>
      </c>
      <c r="AO42" s="85">
        <f t="shared" si="11"/>
        <v>0</v>
      </c>
      <c r="AP42" s="85">
        <f t="shared" si="12"/>
        <v>0</v>
      </c>
      <c r="AQ42" s="86">
        <f>25000/12</f>
        <v>2083.3333333333335</v>
      </c>
      <c r="AR42" s="87">
        <f t="shared" si="13"/>
        <v>0</v>
      </c>
      <c r="AS42" s="88">
        <f t="shared" si="14"/>
        <v>0</v>
      </c>
      <c r="AT42" s="87" t="s">
        <v>119</v>
      </c>
      <c r="AU42" s="71">
        <v>721002743</v>
      </c>
      <c r="AV42" s="195">
        <v>42401</v>
      </c>
      <c r="AW42" s="71">
        <v>5</v>
      </c>
      <c r="AX42" s="195">
        <v>44228</v>
      </c>
      <c r="AY42" s="71" t="s">
        <v>121</v>
      </c>
      <c r="BA42" s="86">
        <f t="shared" si="15"/>
        <v>0</v>
      </c>
      <c r="BB42" s="86">
        <f t="shared" si="16"/>
        <v>0</v>
      </c>
      <c r="BC42" s="86">
        <f t="shared" si="17"/>
        <v>338026.98760029173</v>
      </c>
      <c r="BD42" s="86">
        <f t="shared" si="18"/>
        <v>327604.37560029171</v>
      </c>
      <c r="BE42" s="86">
        <f t="shared" si="19"/>
        <v>327604.37560029171</v>
      </c>
      <c r="BF42" s="86"/>
      <c r="BG42" s="92">
        <f t="shared" si="20"/>
        <v>772391.66666666663</v>
      </c>
      <c r="BH42" s="92">
        <f t="shared" si="21"/>
        <v>748575.99824666663</v>
      </c>
      <c r="BI42" s="92">
        <f t="shared" si="22"/>
        <v>23815.668420000005</v>
      </c>
      <c r="BJ42" s="93">
        <f t="shared" si="23"/>
        <v>0</v>
      </c>
      <c r="BK42" s="93">
        <f t="shared" si="24"/>
        <v>23815.668420000005</v>
      </c>
      <c r="BL42" s="93">
        <f t="shared" si="25"/>
        <v>23815.668420000005</v>
      </c>
      <c r="BM42" s="93">
        <f t="shared" si="26"/>
        <v>772391.66666666663</v>
      </c>
      <c r="BN42" s="93">
        <f t="shared" si="27"/>
        <v>13710</v>
      </c>
      <c r="BO42" s="93">
        <f t="shared" si="28"/>
        <v>734865.99824666663</v>
      </c>
      <c r="BP42" s="93">
        <f t="shared" si="29"/>
        <v>23815.668420000005</v>
      </c>
      <c r="BQ42" s="93">
        <f t="shared" si="30"/>
        <v>758681.66666666663</v>
      </c>
      <c r="BR42" s="93">
        <f t="shared" si="31"/>
        <v>2.2850000000000001</v>
      </c>
      <c r="BS42" s="93">
        <f t="shared" si="32"/>
        <v>338026.98760029173</v>
      </c>
      <c r="BT42" s="93">
        <f t="shared" si="33"/>
        <v>23815.668420000005</v>
      </c>
      <c r="BU42" s="93">
        <f t="shared" si="34"/>
        <v>734865.99824666663</v>
      </c>
      <c r="BV42" s="93">
        <f t="shared" si="35"/>
        <v>758681.66666666663</v>
      </c>
      <c r="BW42" s="93">
        <f t="shared" si="36"/>
        <v>10422.612000000001</v>
      </c>
      <c r="BX42" s="93">
        <f t="shared" si="37"/>
        <v>321604.37560029171</v>
      </c>
      <c r="BY42" s="93">
        <f t="shared" si="38"/>
        <v>332026.98760029173</v>
      </c>
    </row>
    <row r="43" spans="1:77" ht="14.4" x14ac:dyDescent="0.3">
      <c r="A43" s="182" t="s">
        <v>122</v>
      </c>
      <c r="B43" s="154" t="s">
        <v>165</v>
      </c>
      <c r="C43" s="154" t="s">
        <v>124</v>
      </c>
      <c r="D43" s="183" t="s">
        <v>116</v>
      </c>
      <c r="E43" s="154" t="s">
        <v>164</v>
      </c>
      <c r="F43" s="154" t="s">
        <v>118</v>
      </c>
      <c r="G43" s="155" t="str">
        <f t="shared" si="2"/>
        <v>U Space</v>
      </c>
      <c r="H43" s="154">
        <v>21</v>
      </c>
      <c r="I43" s="154">
        <v>21</v>
      </c>
      <c r="J43" s="184">
        <f t="shared" si="40"/>
        <v>0</v>
      </c>
      <c r="K43" s="154">
        <v>21</v>
      </c>
      <c r="L43" s="154"/>
      <c r="M43" s="185">
        <f>295000/12</f>
        <v>24583.333333333332</v>
      </c>
      <c r="N43" s="85">
        <f t="shared" si="39"/>
        <v>295000</v>
      </c>
      <c r="O43" s="187" t="str">
        <f t="shared" si="3"/>
        <v>Rated</v>
      </c>
      <c r="P43" s="154" t="s">
        <v>125</v>
      </c>
      <c r="Q43" s="154">
        <v>1.5</v>
      </c>
      <c r="R43" s="227">
        <v>3.78</v>
      </c>
      <c r="S43" s="189">
        <f t="shared" si="41"/>
        <v>-2.2799999999999998</v>
      </c>
      <c r="T43" s="154"/>
      <c r="U43" s="190">
        <f t="shared" si="5"/>
        <v>0</v>
      </c>
      <c r="V43" s="190">
        <f t="shared" si="6"/>
        <v>0.75</v>
      </c>
      <c r="W43" s="192">
        <f t="shared" si="44"/>
        <v>3.78</v>
      </c>
      <c r="X43" s="190">
        <f>S43*-1</f>
        <v>2.2799999999999998</v>
      </c>
      <c r="Y43" s="85"/>
      <c r="Z43" s="193" t="str">
        <f t="shared" si="42"/>
        <v>Bundled</v>
      </c>
      <c r="AA43" s="154"/>
      <c r="AB43" s="190"/>
      <c r="AC43" s="194"/>
      <c r="AD43" s="203"/>
      <c r="AE43" s="122"/>
      <c r="AF43" s="155" t="str">
        <f t="shared" si="8"/>
        <v/>
      </c>
      <c r="AG43" s="154"/>
      <c r="AH43" s="154"/>
      <c r="AI43" s="154"/>
      <c r="AJ43" s="154"/>
      <c r="AK43" s="154"/>
      <c r="AL43" s="185"/>
      <c r="AM43" s="85">
        <f t="shared" si="43"/>
        <v>516250</v>
      </c>
      <c r="AN43" s="85">
        <f t="shared" si="10"/>
        <v>0</v>
      </c>
      <c r="AO43" s="85">
        <f t="shared" si="11"/>
        <v>0</v>
      </c>
      <c r="AP43" s="85">
        <f t="shared" si="12"/>
        <v>0</v>
      </c>
      <c r="AQ43" s="86">
        <f>75000/12</f>
        <v>6250</v>
      </c>
      <c r="AR43" s="87">
        <f t="shared" si="13"/>
        <v>0</v>
      </c>
      <c r="AS43" s="87">
        <f t="shared" si="14"/>
        <v>0</v>
      </c>
      <c r="AT43" s="87" t="s">
        <v>119</v>
      </c>
      <c r="AU43" s="71" t="s">
        <v>166</v>
      </c>
      <c r="AV43" s="195">
        <v>43543</v>
      </c>
      <c r="AW43" s="71">
        <v>5</v>
      </c>
      <c r="AX43" s="195">
        <v>43518</v>
      </c>
      <c r="AY43" s="71" t="s">
        <v>121</v>
      </c>
      <c r="BA43" s="86">
        <f t="shared" si="15"/>
        <v>0</v>
      </c>
      <c r="BB43" s="86">
        <f t="shared" si="16"/>
        <v>0</v>
      </c>
      <c r="BC43" s="86">
        <f t="shared" si="17"/>
        <v>635803.36885333329</v>
      </c>
      <c r="BD43" s="86">
        <f t="shared" si="18"/>
        <v>635803.36885333329</v>
      </c>
      <c r="BE43" s="86">
        <f t="shared" si="19"/>
        <v>677910.72133333341</v>
      </c>
      <c r="BF43" s="86"/>
      <c r="BG43" s="95">
        <f t="shared" si="20"/>
        <v>516250</v>
      </c>
      <c r="BH43" s="95">
        <f t="shared" si="21"/>
        <v>508433.04100000003</v>
      </c>
      <c r="BI43" s="95">
        <f t="shared" si="22"/>
        <v>7816.9590000000007</v>
      </c>
      <c r="BJ43" s="93">
        <f t="shared" si="23"/>
        <v>39397.473360000004</v>
      </c>
      <c r="BK43" s="93">
        <f t="shared" si="24"/>
        <v>39397.473360000004</v>
      </c>
      <c r="BL43" s="93">
        <f t="shared" si="25"/>
        <v>7816.9590000000007</v>
      </c>
      <c r="BM43" s="93">
        <f t="shared" si="26"/>
        <v>476852.52663999994</v>
      </c>
      <c r="BN43" s="93">
        <f t="shared" si="27"/>
        <v>4500</v>
      </c>
      <c r="BO43" s="93">
        <f t="shared" si="28"/>
        <v>503933.04100000003</v>
      </c>
      <c r="BP43" s="93">
        <f t="shared" si="29"/>
        <v>-31580.514360000001</v>
      </c>
      <c r="BQ43" s="93">
        <f t="shared" si="30"/>
        <v>472352.52664000005</v>
      </c>
      <c r="BR43" s="93">
        <f t="shared" si="31"/>
        <v>0.75</v>
      </c>
      <c r="BS43" s="93">
        <f t="shared" si="32"/>
        <v>635803.36885333329</v>
      </c>
      <c r="BT43" s="93">
        <f t="shared" si="33"/>
        <v>-31580.514360000001</v>
      </c>
      <c r="BU43" s="93">
        <f t="shared" si="34"/>
        <v>503933.04100000008</v>
      </c>
      <c r="BV43" s="93">
        <f t="shared" si="35"/>
        <v>472352.52664000005</v>
      </c>
      <c r="BW43" s="93">
        <f t="shared" si="36"/>
        <v>-42107.352480000001</v>
      </c>
      <c r="BX43" s="93">
        <f t="shared" si="37"/>
        <v>671910.72133333341</v>
      </c>
      <c r="BY43" s="93">
        <f t="shared" si="38"/>
        <v>629803.36885333341</v>
      </c>
    </row>
    <row r="44" spans="1:77" ht="24" x14ac:dyDescent="0.3">
      <c r="A44" s="182" t="s">
        <v>122</v>
      </c>
      <c r="B44" s="154" t="s">
        <v>167</v>
      </c>
      <c r="C44" s="154" t="s">
        <v>115</v>
      </c>
      <c r="D44" s="183" t="s">
        <v>130</v>
      </c>
      <c r="E44" s="154" t="s">
        <v>117</v>
      </c>
      <c r="F44" s="154" t="s">
        <v>131</v>
      </c>
      <c r="G44" s="155" t="str">
        <f t="shared" si="2"/>
        <v>No of Racks</v>
      </c>
      <c r="H44" s="204">
        <v>40</v>
      </c>
      <c r="I44" s="154">
        <v>1</v>
      </c>
      <c r="J44" s="184">
        <f t="shared" si="40"/>
        <v>39</v>
      </c>
      <c r="K44" s="154">
        <v>40</v>
      </c>
      <c r="L44" s="154"/>
      <c r="M44" s="85">
        <f>((9684000)+(1472000))/12/40</f>
        <v>23241.666666666664</v>
      </c>
      <c r="N44" s="186">
        <f t="shared" si="39"/>
        <v>278900</v>
      </c>
      <c r="O44" s="187" t="str">
        <f t="shared" si="3"/>
        <v>Subscribed</v>
      </c>
      <c r="P44" s="154" t="s">
        <v>108</v>
      </c>
      <c r="Q44" s="156"/>
      <c r="R44" s="229">
        <v>0</v>
      </c>
      <c r="S44" s="230">
        <f t="shared" si="41"/>
        <v>0</v>
      </c>
      <c r="T44" s="190"/>
      <c r="U44" s="190">
        <f t="shared" si="5"/>
        <v>0</v>
      </c>
      <c r="V44" s="190">
        <f t="shared" si="6"/>
        <v>0</v>
      </c>
      <c r="W44" s="206">
        <f t="shared" si="44"/>
        <v>0</v>
      </c>
      <c r="X44" s="190"/>
      <c r="Y44" s="85"/>
      <c r="Z44" s="193" t="str">
        <f t="shared" si="42"/>
        <v>Metered</v>
      </c>
      <c r="AA44" s="190">
        <v>1</v>
      </c>
      <c r="AB44" s="183" t="s">
        <v>145</v>
      </c>
      <c r="AC44" s="194">
        <v>13.5</v>
      </c>
      <c r="AD44" s="231">
        <v>0</v>
      </c>
      <c r="AE44" s="122"/>
      <c r="AF44" s="155" t="str">
        <f t="shared" si="8"/>
        <v/>
      </c>
      <c r="AG44" s="156">
        <v>2</v>
      </c>
      <c r="AH44" s="156">
        <v>2</v>
      </c>
      <c r="AI44" s="154">
        <f>AG44-AH44</f>
        <v>0</v>
      </c>
      <c r="AJ44" s="156">
        <v>2</v>
      </c>
      <c r="AK44" s="190"/>
      <c r="AL44" s="85">
        <f>83000/12</f>
        <v>6916.666666666667</v>
      </c>
      <c r="AM44" s="85">
        <f t="shared" si="43"/>
        <v>929666.66666666651</v>
      </c>
      <c r="AN44" s="85">
        <f t="shared" si="10"/>
        <v>0</v>
      </c>
      <c r="AO44" s="85">
        <f t="shared" si="11"/>
        <v>0</v>
      </c>
      <c r="AP44" s="85">
        <f t="shared" si="12"/>
        <v>13833.333333333334</v>
      </c>
      <c r="AQ44" s="86"/>
      <c r="AR44" s="87">
        <f t="shared" si="13"/>
        <v>943499.99999999988</v>
      </c>
      <c r="AS44" s="88">
        <f t="shared" si="14"/>
        <v>11321999.999999998</v>
      </c>
      <c r="AT44" s="87" t="s">
        <v>168</v>
      </c>
      <c r="AU44" s="70" t="s">
        <v>169</v>
      </c>
      <c r="AV44" s="195">
        <v>42401</v>
      </c>
      <c r="AW44" s="71">
        <v>3</v>
      </c>
      <c r="AX44" s="195">
        <v>43497</v>
      </c>
      <c r="AY44" s="70" t="s">
        <v>170</v>
      </c>
      <c r="BA44" s="86">
        <f t="shared" si="15"/>
        <v>23587.499999999996</v>
      </c>
      <c r="BB44" s="86" t="e">
        <f t="shared" si="16"/>
        <v>#DIV/0!</v>
      </c>
      <c r="BC44" s="86" t="e">
        <f t="shared" si="17"/>
        <v>#DIV/0!</v>
      </c>
      <c r="BD44" s="86" t="e">
        <f t="shared" si="18"/>
        <v>#DIV/0!</v>
      </c>
      <c r="BE44" s="86" t="e">
        <f t="shared" si="19"/>
        <v>#DIV/0!</v>
      </c>
      <c r="BF44" s="86"/>
      <c r="BG44" s="92">
        <f t="shared" si="20"/>
        <v>929666.66666666651</v>
      </c>
      <c r="BH44" s="92">
        <f t="shared" si="21"/>
        <v>929666.66666666651</v>
      </c>
      <c r="BI44" s="92">
        <f t="shared" si="22"/>
        <v>0</v>
      </c>
      <c r="BJ44" s="93">
        <f t="shared" si="23"/>
        <v>0</v>
      </c>
      <c r="BK44" s="93">
        <f t="shared" si="24"/>
        <v>0</v>
      </c>
      <c r="BL44" s="93">
        <f t="shared" si="25"/>
        <v>0</v>
      </c>
      <c r="BM44" s="93" t="e">
        <f t="shared" si="26"/>
        <v>#DIV/0!</v>
      </c>
      <c r="BN44" s="93">
        <f t="shared" si="27"/>
        <v>0</v>
      </c>
      <c r="BO44" s="93">
        <f t="shared" si="28"/>
        <v>929666.66666666651</v>
      </c>
      <c r="BP44" s="93">
        <f t="shared" si="29"/>
        <v>0</v>
      </c>
      <c r="BQ44" s="93">
        <f t="shared" si="30"/>
        <v>929666.66666666651</v>
      </c>
      <c r="BR44" s="93">
        <f t="shared" si="31"/>
        <v>0</v>
      </c>
      <c r="BS44" s="93" t="e">
        <f t="shared" si="32"/>
        <v>#DIV/0!</v>
      </c>
      <c r="BT44" s="93">
        <f t="shared" si="33"/>
        <v>0</v>
      </c>
      <c r="BU44" s="93">
        <f t="shared" si="34"/>
        <v>929666.66666666651</v>
      </c>
      <c r="BV44" s="93">
        <f t="shared" si="35"/>
        <v>929666.66666666651</v>
      </c>
      <c r="BW44" s="93" t="e">
        <f t="shared" si="36"/>
        <v>#DIV/0!</v>
      </c>
      <c r="BX44" s="93" t="e">
        <f t="shared" si="37"/>
        <v>#DIV/0!</v>
      </c>
      <c r="BY44" s="93" t="e">
        <f t="shared" si="38"/>
        <v>#DIV/0!</v>
      </c>
    </row>
    <row r="45" spans="1:77" ht="14.4" x14ac:dyDescent="0.3">
      <c r="A45" s="182" t="s">
        <v>113</v>
      </c>
      <c r="B45" s="204" t="s">
        <v>171</v>
      </c>
      <c r="C45" s="154" t="s">
        <v>115</v>
      </c>
      <c r="D45" s="183" t="s">
        <v>130</v>
      </c>
      <c r="E45" s="154" t="s">
        <v>117</v>
      </c>
      <c r="F45" s="154" t="s">
        <v>131</v>
      </c>
      <c r="G45" s="155" t="str">
        <f t="shared" si="2"/>
        <v>No of Racks</v>
      </c>
      <c r="H45" s="204">
        <v>2</v>
      </c>
      <c r="I45" s="154">
        <v>2</v>
      </c>
      <c r="J45" s="184">
        <f t="shared" si="40"/>
        <v>0</v>
      </c>
      <c r="K45" s="154">
        <v>2</v>
      </c>
      <c r="L45" s="154"/>
      <c r="M45" s="85">
        <f>215200/12</f>
        <v>17933.333333333332</v>
      </c>
      <c r="N45" s="186">
        <f t="shared" si="39"/>
        <v>215200</v>
      </c>
      <c r="O45" s="187" t="str">
        <f t="shared" si="3"/>
        <v>Subscribed</v>
      </c>
      <c r="P45" s="154" t="s">
        <v>108</v>
      </c>
      <c r="Q45" s="156">
        <v>4</v>
      </c>
      <c r="R45" s="229">
        <v>2.17</v>
      </c>
      <c r="S45" s="230">
        <f t="shared" si="41"/>
        <v>1.83</v>
      </c>
      <c r="T45" s="190"/>
      <c r="U45" s="190">
        <f t="shared" si="5"/>
        <v>1.83</v>
      </c>
      <c r="V45" s="190">
        <f t="shared" si="6"/>
        <v>4</v>
      </c>
      <c r="W45" s="206">
        <f t="shared" si="44"/>
        <v>2.17</v>
      </c>
      <c r="X45" s="190"/>
      <c r="Y45" s="85"/>
      <c r="Z45" s="193" t="str">
        <f t="shared" si="42"/>
        <v>Metered</v>
      </c>
      <c r="AA45" s="190">
        <v>1</v>
      </c>
      <c r="AB45" s="183" t="s">
        <v>145</v>
      </c>
      <c r="AC45" s="194">
        <v>13.5</v>
      </c>
      <c r="AD45" s="148">
        <v>2716.8299999999981</v>
      </c>
      <c r="AE45" s="122"/>
      <c r="AF45" s="155"/>
      <c r="AG45" s="156"/>
      <c r="AH45" s="156"/>
      <c r="AI45" s="154"/>
      <c r="AJ45" s="156"/>
      <c r="AK45" s="190"/>
      <c r="AL45" s="85"/>
      <c r="AM45" s="85">
        <f t="shared" si="43"/>
        <v>35866.666666666664</v>
      </c>
      <c r="AN45" s="85">
        <f t="shared" si="10"/>
        <v>0</v>
      </c>
      <c r="AO45" s="85">
        <f t="shared" si="11"/>
        <v>36677.204999999973</v>
      </c>
      <c r="AP45" s="85">
        <f t="shared" si="12"/>
        <v>0</v>
      </c>
      <c r="AQ45" s="86"/>
      <c r="AR45" s="87">
        <f t="shared" si="13"/>
        <v>72543.871666666644</v>
      </c>
      <c r="AS45" s="88">
        <f t="shared" si="14"/>
        <v>870526.45999999973</v>
      </c>
      <c r="AT45" s="87" t="s">
        <v>168</v>
      </c>
      <c r="AU45" s="70">
        <v>721006353</v>
      </c>
      <c r="AV45" s="195">
        <v>43208</v>
      </c>
      <c r="AW45" s="71">
        <v>1</v>
      </c>
      <c r="AX45" s="195">
        <v>43543</v>
      </c>
      <c r="AY45" s="70" t="s">
        <v>172</v>
      </c>
      <c r="BA45" s="86">
        <f t="shared" si="15"/>
        <v>36271.935833333322</v>
      </c>
      <c r="BB45" s="86">
        <f t="shared" si="16"/>
        <v>18135.967916666661</v>
      </c>
      <c r="BC45" s="86">
        <f t="shared" si="17"/>
        <v>8386.7570762568321</v>
      </c>
      <c r="BD45" s="86">
        <f t="shared" si="18"/>
        <v>8386.7570762568321</v>
      </c>
      <c r="BE45" s="86">
        <f t="shared" si="19"/>
        <v>8507.1464666666689</v>
      </c>
      <c r="BF45" s="86"/>
      <c r="BG45" s="92">
        <f t="shared" si="20"/>
        <v>72543.871666666644</v>
      </c>
      <c r="BH45" s="92">
        <f t="shared" si="21"/>
        <v>35866.666666666672</v>
      </c>
      <c r="BI45" s="92">
        <f t="shared" si="22"/>
        <v>36677.204999999973</v>
      </c>
      <c r="BJ45" s="93">
        <f t="shared" si="23"/>
        <v>38996.843361639316</v>
      </c>
      <c r="BK45" s="93">
        <f t="shared" si="24"/>
        <v>38996.843361639316</v>
      </c>
      <c r="BL45" s="93">
        <f t="shared" si="25"/>
        <v>35436.880799999999</v>
      </c>
      <c r="BM45" s="93">
        <f t="shared" si="26"/>
        <v>33547.028305027328</v>
      </c>
      <c r="BN45" s="93">
        <f t="shared" si="27"/>
        <v>24000</v>
      </c>
      <c r="BO45" s="93">
        <f t="shared" si="28"/>
        <v>11866.666666666672</v>
      </c>
      <c r="BP45" s="93">
        <f t="shared" si="29"/>
        <v>-2319.6383616393432</v>
      </c>
      <c r="BQ45" s="93">
        <f t="shared" si="30"/>
        <v>9547.0283050273283</v>
      </c>
      <c r="BR45" s="93">
        <f t="shared" si="31"/>
        <v>4</v>
      </c>
      <c r="BS45" s="93">
        <f t="shared" si="32"/>
        <v>8386.7570762568321</v>
      </c>
      <c r="BT45" s="93">
        <f t="shared" si="33"/>
        <v>-2319.6383616393432</v>
      </c>
      <c r="BU45" s="93">
        <f t="shared" si="34"/>
        <v>11866.666666666664</v>
      </c>
      <c r="BV45" s="93">
        <f t="shared" si="35"/>
        <v>9547.028305027321</v>
      </c>
      <c r="BW45" s="93">
        <f t="shared" si="36"/>
        <v>-579.9095904098358</v>
      </c>
      <c r="BX45" s="93">
        <f t="shared" si="37"/>
        <v>2966.6666666666661</v>
      </c>
      <c r="BY45" s="93">
        <f t="shared" si="38"/>
        <v>2386.7570762568303</v>
      </c>
    </row>
    <row r="46" spans="1:77" ht="14.4" x14ac:dyDescent="0.3">
      <c r="A46" s="182" t="s">
        <v>113</v>
      </c>
      <c r="B46" s="204" t="s">
        <v>171</v>
      </c>
      <c r="C46" s="154" t="s">
        <v>115</v>
      </c>
      <c r="D46" s="183" t="s">
        <v>130</v>
      </c>
      <c r="E46" s="154" t="s">
        <v>117</v>
      </c>
      <c r="F46" s="154" t="s">
        <v>131</v>
      </c>
      <c r="G46" s="155" t="str">
        <f t="shared" si="2"/>
        <v>No of Racks</v>
      </c>
      <c r="H46" s="204">
        <v>3</v>
      </c>
      <c r="I46" s="154">
        <v>2</v>
      </c>
      <c r="J46" s="184">
        <f t="shared" si="40"/>
        <v>1</v>
      </c>
      <c r="K46" s="154">
        <v>2</v>
      </c>
      <c r="L46" s="154"/>
      <c r="M46" s="85"/>
      <c r="N46" s="186"/>
      <c r="O46" s="187" t="str">
        <f t="shared" si="3"/>
        <v>Subscribed</v>
      </c>
      <c r="P46" s="154" t="s">
        <v>108</v>
      </c>
      <c r="Q46" s="156">
        <v>18</v>
      </c>
      <c r="R46" s="229">
        <v>3.8</v>
      </c>
      <c r="S46" s="230">
        <f t="shared" si="41"/>
        <v>14.2</v>
      </c>
      <c r="T46" s="190"/>
      <c r="U46" s="190">
        <f t="shared" si="5"/>
        <v>14.2</v>
      </c>
      <c r="V46" s="190">
        <f t="shared" si="6"/>
        <v>18</v>
      </c>
      <c r="W46" s="206">
        <f t="shared" si="44"/>
        <v>3.8</v>
      </c>
      <c r="X46" s="190"/>
      <c r="Y46" s="85"/>
      <c r="Z46" s="193"/>
      <c r="AA46" s="190"/>
      <c r="AB46" s="190"/>
      <c r="AC46" s="194"/>
      <c r="AD46" s="232">
        <v>0</v>
      </c>
      <c r="AE46" s="122"/>
      <c r="AF46" s="155"/>
      <c r="AG46" s="156"/>
      <c r="AH46" s="156"/>
      <c r="AI46" s="154"/>
      <c r="AJ46" s="156"/>
      <c r="AK46" s="190"/>
      <c r="AL46" s="85"/>
      <c r="AM46" s="85"/>
      <c r="AN46" s="85"/>
      <c r="AO46" s="85"/>
      <c r="AP46" s="85"/>
      <c r="AQ46" s="86"/>
      <c r="AR46" s="87"/>
      <c r="AS46" s="88"/>
      <c r="AT46" s="87"/>
      <c r="AU46" s="70"/>
      <c r="AV46" s="195"/>
      <c r="AW46" s="71"/>
      <c r="AX46" s="195"/>
      <c r="AY46" s="71"/>
      <c r="BA46" s="86"/>
      <c r="BB46" s="86"/>
      <c r="BC46" s="86"/>
      <c r="BD46" s="86"/>
      <c r="BE46" s="86"/>
      <c r="BF46" s="86"/>
      <c r="BG46" s="92"/>
      <c r="BH46" s="92"/>
      <c r="BI46" s="92"/>
      <c r="BJ46" s="93">
        <f t="shared" si="23"/>
        <v>39605.925600000002</v>
      </c>
      <c r="BK46" s="93">
        <f t="shared" si="24"/>
        <v>187607.016</v>
      </c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</row>
    <row r="47" spans="1:77" ht="14.4" x14ac:dyDescent="0.3">
      <c r="A47" s="182" t="s">
        <v>122</v>
      </c>
      <c r="B47" s="154" t="s">
        <v>167</v>
      </c>
      <c r="C47" s="154" t="s">
        <v>115</v>
      </c>
      <c r="D47" s="183" t="s">
        <v>130</v>
      </c>
      <c r="E47" s="154" t="s">
        <v>117</v>
      </c>
      <c r="F47" s="154" t="s">
        <v>131</v>
      </c>
      <c r="G47" s="155" t="str">
        <f t="shared" si="2"/>
        <v>No of Racks</v>
      </c>
      <c r="H47" s="204">
        <v>16</v>
      </c>
      <c r="I47" s="154">
        <v>16</v>
      </c>
      <c r="J47" s="184">
        <v>0</v>
      </c>
      <c r="K47" s="154">
        <v>16</v>
      </c>
      <c r="L47" s="154"/>
      <c r="M47" s="85">
        <f>((269000*14)+(368000*2))/12/16</f>
        <v>23447.916666666668</v>
      </c>
      <c r="N47" s="186">
        <f t="shared" ref="N47:N64" si="45">M47*12</f>
        <v>281375</v>
      </c>
      <c r="O47" s="187" t="str">
        <f t="shared" si="3"/>
        <v>Subscribed</v>
      </c>
      <c r="P47" s="154" t="s">
        <v>108</v>
      </c>
      <c r="Q47" s="156"/>
      <c r="R47" s="229">
        <v>31.1</v>
      </c>
      <c r="S47" s="230">
        <f t="shared" si="41"/>
        <v>-31.1</v>
      </c>
      <c r="T47" s="190"/>
      <c r="U47" s="190">
        <f t="shared" si="5"/>
        <v>0</v>
      </c>
      <c r="V47" s="190">
        <f t="shared" si="6"/>
        <v>0</v>
      </c>
      <c r="W47" s="206">
        <f t="shared" si="44"/>
        <v>31.1</v>
      </c>
      <c r="X47" s="190"/>
      <c r="Y47" s="85"/>
      <c r="Z47" s="193" t="str">
        <f t="shared" ref="Z47:Z64" si="46">D47</f>
        <v>Metered</v>
      </c>
      <c r="AA47" s="190">
        <v>1</v>
      </c>
      <c r="AB47" s="183" t="s">
        <v>145</v>
      </c>
      <c r="AC47" s="194">
        <v>13.5</v>
      </c>
      <c r="AD47" s="231">
        <v>0</v>
      </c>
      <c r="AE47" s="122"/>
      <c r="AF47" s="155"/>
      <c r="AG47" s="156"/>
      <c r="AH47" s="156"/>
      <c r="AI47" s="154"/>
      <c r="AJ47" s="156"/>
      <c r="AK47" s="190"/>
      <c r="AL47" s="85"/>
      <c r="AM47" s="85">
        <f t="shared" ref="AM47:AM64" si="47">M47*K47</f>
        <v>375166.66666666669</v>
      </c>
      <c r="AN47" s="85">
        <f t="shared" ref="AN47:AN62" si="48">Y47*X47</f>
        <v>0</v>
      </c>
      <c r="AO47" s="85">
        <f t="shared" ref="AO47:AO62" si="49">AD47*AC47*AA47</f>
        <v>0</v>
      </c>
      <c r="AP47" s="85">
        <f t="shared" ref="AP47:AP62" si="50">AL47*AJ47</f>
        <v>0</v>
      </c>
      <c r="AQ47" s="86"/>
      <c r="AR47" s="87">
        <f t="shared" ref="AR47:AR64" si="51">SUBTOTAL(9,AM47:AQ47)</f>
        <v>375166.66666666669</v>
      </c>
      <c r="AS47" s="88">
        <f t="shared" ref="AS47:AS64" si="52">AR47*12</f>
        <v>4502000</v>
      </c>
      <c r="AT47" s="87" t="s">
        <v>119</v>
      </c>
      <c r="AU47" s="70"/>
      <c r="AV47" s="195">
        <v>42783</v>
      </c>
      <c r="AW47" s="71">
        <v>3</v>
      </c>
      <c r="AX47" s="195">
        <v>43849</v>
      </c>
      <c r="AY47" s="70" t="s">
        <v>173</v>
      </c>
      <c r="BA47" s="86">
        <f t="shared" ref="BA47:BA61" si="53">IF(E47="Rack",AR47/H47,0)+IF(E47="U Space",AR47*40/H47,0)+IF(E47="Space",AR47*30/H47,0)</f>
        <v>23447.916666666668</v>
      </c>
      <c r="BB47" s="86" t="e">
        <f t="shared" ref="BB47:BB61" si="54">+AR47/V47</f>
        <v>#DIV/0!</v>
      </c>
      <c r="BC47" s="86" t="e">
        <f t="shared" ref="BC47:BC64" si="55">+($AM47+$AN47+$AO47-BJ47)/$V47</f>
        <v>#DIV/0!</v>
      </c>
      <c r="BD47" s="86" t="e">
        <f t="shared" ref="BD47:BD64" si="56">+($AM47+$AN47+$AO47-BK47)/$V47</f>
        <v>#DIV/0!</v>
      </c>
      <c r="BE47" s="86" t="e">
        <f t="shared" ref="BE47:BE64" si="57">+($AM47+$AN47+IF(D47="Bundled",0,V47*0.85*AA47*AC47*30.5*24)-BL47)/$V47</f>
        <v>#DIV/0!</v>
      </c>
      <c r="BF47" s="86"/>
      <c r="BG47" s="92">
        <f t="shared" ref="BG47:BG64" si="58">+AM47+AN47+AO47</f>
        <v>375166.66666666669</v>
      </c>
      <c r="BH47" s="92">
        <f t="shared" ref="BH47:BH64" si="59">+BG47-BI47</f>
        <v>375166.66666666669</v>
      </c>
      <c r="BI47" s="92">
        <f t="shared" ref="BI47:BI64" si="60">IF(D47="Bundled",MIN(V47*$AD$20*(1+$K$2),BG47),AO47)</f>
        <v>0</v>
      </c>
      <c r="BJ47" s="93">
        <f t="shared" si="23"/>
        <v>324143.23320000002</v>
      </c>
      <c r="BK47" s="93">
        <f t="shared" si="24"/>
        <v>324143.23320000002</v>
      </c>
      <c r="BL47" s="93">
        <f t="shared" ref="BL47:BL74" si="61">IF(D47="Bundled",$AD$20*V47,$AD$20*V47*0.85)</f>
        <v>0</v>
      </c>
      <c r="BM47" s="93" t="e">
        <f t="shared" ref="BM47:BM64" si="62">+BC47*V47</f>
        <v>#DIV/0!</v>
      </c>
      <c r="BN47" s="93">
        <f t="shared" ref="BN47:BN74" si="63">+$J$2*V47</f>
        <v>0</v>
      </c>
      <c r="BO47" s="93">
        <f t="shared" ref="BO47:BO64" si="64">+BH47-BN47</f>
        <v>375166.66666666669</v>
      </c>
      <c r="BP47" s="93">
        <f t="shared" ref="BP47:BP64" si="65">+BI47-BJ47</f>
        <v>-324143.23320000002</v>
      </c>
      <c r="BQ47" s="93">
        <f t="shared" ref="BQ47:BQ64" si="66">+BO47+BP47</f>
        <v>51023.433466666669</v>
      </c>
      <c r="BR47" s="93">
        <f t="shared" ref="BR47:BR74" si="67">+V47</f>
        <v>0</v>
      </c>
      <c r="BS47" s="93" t="e">
        <f t="shared" ref="BS47:BS64" si="68">+BC47</f>
        <v>#DIV/0!</v>
      </c>
      <c r="BT47" s="93">
        <f t="shared" ref="BT47:BT64" si="69">IF(D47="Bundled",BL47-BJ47,AO47-BJ47)</f>
        <v>-324143.23320000002</v>
      </c>
      <c r="BU47" s="93">
        <f t="shared" ref="BU47:BU64" si="70">IF(D47="Bundled",+(BE47-$J$2)*V47,(AM47+AN47)-V47*$J$2)</f>
        <v>375166.66666666669</v>
      </c>
      <c r="BV47" s="93">
        <f t="shared" ref="BV47:BV64" si="71">+BT47+BU47</f>
        <v>51023.433466666669</v>
      </c>
      <c r="BW47" s="93" t="e">
        <f t="shared" ref="BW47:BW64" si="72">+BT47/$BR47</f>
        <v>#DIV/0!</v>
      </c>
      <c r="BX47" s="93" t="e">
        <f t="shared" ref="BX47:BX64" si="73">+BU47/$BR47</f>
        <v>#DIV/0!</v>
      </c>
      <c r="BY47" s="93" t="e">
        <f t="shared" ref="BY47:BY64" si="74">+BV47/$BR47</f>
        <v>#DIV/0!</v>
      </c>
    </row>
    <row r="48" spans="1:77" ht="14.4" x14ac:dyDescent="0.3">
      <c r="A48" s="182" t="s">
        <v>136</v>
      </c>
      <c r="B48" s="154" t="s">
        <v>167</v>
      </c>
      <c r="C48" s="154" t="s">
        <v>115</v>
      </c>
      <c r="D48" s="183" t="s">
        <v>130</v>
      </c>
      <c r="E48" s="154" t="s">
        <v>117</v>
      </c>
      <c r="F48" s="154" t="s">
        <v>131</v>
      </c>
      <c r="G48" s="155" t="str">
        <f t="shared" si="2"/>
        <v>No of Racks</v>
      </c>
      <c r="H48" s="204">
        <v>2</v>
      </c>
      <c r="I48" s="154">
        <v>2</v>
      </c>
      <c r="J48" s="184">
        <f>H48-I48</f>
        <v>0</v>
      </c>
      <c r="K48" s="154">
        <v>2</v>
      </c>
      <c r="L48" s="154"/>
      <c r="M48" s="85">
        <f>195000/12</f>
        <v>16250</v>
      </c>
      <c r="N48" s="85">
        <f t="shared" si="45"/>
        <v>195000</v>
      </c>
      <c r="O48" s="187" t="str">
        <f t="shared" si="3"/>
        <v>Subscribed</v>
      </c>
      <c r="P48" s="154" t="s">
        <v>108</v>
      </c>
      <c r="Q48" s="156">
        <v>6</v>
      </c>
      <c r="R48" s="229">
        <v>5.7</v>
      </c>
      <c r="S48" s="230">
        <f t="shared" si="41"/>
        <v>0.29999999999999982</v>
      </c>
      <c r="T48" s="190"/>
      <c r="U48" s="190">
        <f t="shared" si="5"/>
        <v>0.29999999999999982</v>
      </c>
      <c r="V48" s="190">
        <f t="shared" si="6"/>
        <v>6</v>
      </c>
      <c r="W48" s="206">
        <f t="shared" si="44"/>
        <v>5.7</v>
      </c>
      <c r="X48" s="190"/>
      <c r="Y48" s="85"/>
      <c r="Z48" s="193" t="str">
        <f t="shared" si="46"/>
        <v>Metered</v>
      </c>
      <c r="AA48" s="190">
        <v>1</v>
      </c>
      <c r="AB48" s="183" t="s">
        <v>145</v>
      </c>
      <c r="AC48" s="194">
        <v>14.5</v>
      </c>
      <c r="AD48">
        <v>4264.8999999999996</v>
      </c>
      <c r="AE48" s="122"/>
      <c r="AF48" s="155"/>
      <c r="AG48" s="156"/>
      <c r="AH48" s="156"/>
      <c r="AI48" s="154"/>
      <c r="AJ48" s="156"/>
      <c r="AK48" s="190"/>
      <c r="AL48" s="85"/>
      <c r="AM48" s="85">
        <f t="shared" si="47"/>
        <v>32500</v>
      </c>
      <c r="AN48" s="85">
        <f t="shared" si="48"/>
        <v>0</v>
      </c>
      <c r="AO48" s="85">
        <f t="shared" si="49"/>
        <v>61841.049999999996</v>
      </c>
      <c r="AP48" s="85">
        <f t="shared" si="50"/>
        <v>0</v>
      </c>
      <c r="AQ48" s="86"/>
      <c r="AR48" s="87">
        <f t="shared" si="51"/>
        <v>94341.049999999988</v>
      </c>
      <c r="AS48" s="88">
        <f t="shared" si="52"/>
        <v>1132092.5999999999</v>
      </c>
      <c r="AT48" s="87" t="s">
        <v>168</v>
      </c>
      <c r="AU48" s="70">
        <v>721003964</v>
      </c>
      <c r="AV48" s="195">
        <v>42964</v>
      </c>
      <c r="AW48" s="71">
        <v>1</v>
      </c>
      <c r="AX48" s="195">
        <v>43299</v>
      </c>
      <c r="AY48" s="71"/>
      <c r="BA48" s="86">
        <f t="shared" si="53"/>
        <v>47170.524999999994</v>
      </c>
      <c r="BB48" s="86">
        <f t="shared" si="54"/>
        <v>15723.508333333331</v>
      </c>
      <c r="BC48" s="86">
        <f t="shared" si="55"/>
        <v>5520.5857327868844</v>
      </c>
      <c r="BD48" s="86">
        <f t="shared" si="56"/>
        <v>5520.5857327868844</v>
      </c>
      <c r="BE48" s="86">
        <f t="shared" si="57"/>
        <v>5579.346466666665</v>
      </c>
      <c r="BF48" s="86"/>
      <c r="BG48" s="95">
        <f t="shared" si="58"/>
        <v>94341.049999999988</v>
      </c>
      <c r="BH48" s="95">
        <f t="shared" si="59"/>
        <v>32499.999999999993</v>
      </c>
      <c r="BI48" s="95">
        <f t="shared" si="60"/>
        <v>61841.049999999996</v>
      </c>
      <c r="BJ48" s="93">
        <f t="shared" si="23"/>
        <v>61217.53560327868</v>
      </c>
      <c r="BK48" s="93">
        <f t="shared" si="24"/>
        <v>61217.53560327868</v>
      </c>
      <c r="BL48" s="93">
        <f t="shared" si="61"/>
        <v>53155.321200000006</v>
      </c>
      <c r="BM48" s="93">
        <f t="shared" si="62"/>
        <v>33123.514396721308</v>
      </c>
      <c r="BN48" s="93">
        <f t="shared" si="63"/>
        <v>36000</v>
      </c>
      <c r="BO48" s="93">
        <f t="shared" si="64"/>
        <v>-3500.0000000000073</v>
      </c>
      <c r="BP48" s="93">
        <f t="shared" si="65"/>
        <v>623.51439672131528</v>
      </c>
      <c r="BQ48" s="93">
        <f t="shared" si="66"/>
        <v>-2876.485603278692</v>
      </c>
      <c r="BR48" s="93">
        <f t="shared" si="67"/>
        <v>6</v>
      </c>
      <c r="BS48" s="93">
        <f t="shared" si="68"/>
        <v>5520.5857327868844</v>
      </c>
      <c r="BT48" s="93">
        <f t="shared" si="69"/>
        <v>623.51439672131528</v>
      </c>
      <c r="BU48" s="93">
        <f t="shared" si="70"/>
        <v>-3500</v>
      </c>
      <c r="BV48" s="93">
        <f t="shared" si="71"/>
        <v>-2876.4856032786847</v>
      </c>
      <c r="BW48" s="93">
        <f t="shared" si="72"/>
        <v>103.91906612021921</v>
      </c>
      <c r="BX48" s="93">
        <f t="shared" si="73"/>
        <v>-583.33333333333337</v>
      </c>
      <c r="BY48" s="93">
        <f t="shared" si="74"/>
        <v>-479.4142672131141</v>
      </c>
    </row>
    <row r="49" spans="1:77" ht="14.4" x14ac:dyDescent="0.3">
      <c r="A49" s="182" t="s">
        <v>138</v>
      </c>
      <c r="B49" s="154" t="s">
        <v>167</v>
      </c>
      <c r="C49" s="154" t="s">
        <v>115</v>
      </c>
      <c r="D49" s="183" t="s">
        <v>130</v>
      </c>
      <c r="E49" s="154" t="s">
        <v>117</v>
      </c>
      <c r="F49" s="154" t="s">
        <v>131</v>
      </c>
      <c r="G49" s="155" t="str">
        <f t="shared" si="2"/>
        <v>No of Racks</v>
      </c>
      <c r="H49" s="204">
        <v>50</v>
      </c>
      <c r="I49" s="154">
        <v>50</v>
      </c>
      <c r="J49" s="184">
        <v>0</v>
      </c>
      <c r="K49" s="154">
        <v>50</v>
      </c>
      <c r="L49" s="154"/>
      <c r="M49" s="85">
        <f>325000/12</f>
        <v>27083.333333333332</v>
      </c>
      <c r="N49" s="85">
        <f t="shared" si="45"/>
        <v>325000</v>
      </c>
      <c r="O49" s="187" t="str">
        <f t="shared" si="3"/>
        <v>Subscribed</v>
      </c>
      <c r="P49" s="154" t="s">
        <v>108</v>
      </c>
      <c r="Q49" s="156">
        <v>226</v>
      </c>
      <c r="R49" s="229">
        <v>126.44</v>
      </c>
      <c r="S49" s="230">
        <f t="shared" si="41"/>
        <v>99.56</v>
      </c>
      <c r="T49" s="190"/>
      <c r="U49" s="190">
        <f t="shared" si="5"/>
        <v>99.56</v>
      </c>
      <c r="V49" s="190">
        <f t="shared" si="6"/>
        <v>226</v>
      </c>
      <c r="W49" s="206">
        <f t="shared" si="44"/>
        <v>126.44</v>
      </c>
      <c r="X49" s="190"/>
      <c r="Y49" s="85"/>
      <c r="Z49" s="193" t="str">
        <f t="shared" si="46"/>
        <v>Metered</v>
      </c>
      <c r="AA49" s="190">
        <v>1</v>
      </c>
      <c r="AB49" s="183" t="s">
        <v>145</v>
      </c>
      <c r="AC49" s="194">
        <v>14</v>
      </c>
      <c r="AD49" s="233">
        <v>0</v>
      </c>
      <c r="AE49" s="122"/>
      <c r="AF49" s="155"/>
      <c r="AG49" s="156"/>
      <c r="AH49" s="156"/>
      <c r="AI49" s="154"/>
      <c r="AJ49" s="156"/>
      <c r="AK49" s="190"/>
      <c r="AL49" s="85"/>
      <c r="AM49" s="85">
        <f t="shared" si="47"/>
        <v>1354166.6666666665</v>
      </c>
      <c r="AN49" s="85">
        <f t="shared" si="48"/>
        <v>0</v>
      </c>
      <c r="AO49" s="85">
        <f t="shared" si="49"/>
        <v>0</v>
      </c>
      <c r="AP49" s="85">
        <f t="shared" si="50"/>
        <v>0</v>
      </c>
      <c r="AQ49" s="86"/>
      <c r="AR49" s="87">
        <f t="shared" si="51"/>
        <v>1354166.6666666665</v>
      </c>
      <c r="AS49" s="88">
        <f t="shared" si="52"/>
        <v>16249999.999999998</v>
      </c>
      <c r="AT49" s="87" t="s">
        <v>119</v>
      </c>
      <c r="AU49" s="70">
        <v>721007019</v>
      </c>
      <c r="AV49" s="195">
        <v>43361</v>
      </c>
      <c r="AW49" s="71">
        <v>1</v>
      </c>
      <c r="AX49" s="195">
        <v>43695</v>
      </c>
      <c r="AY49" s="71"/>
      <c r="BA49" s="86">
        <f t="shared" si="53"/>
        <v>27083.333333333328</v>
      </c>
      <c r="BB49" s="86">
        <f t="shared" si="54"/>
        <v>5991.887905604719</v>
      </c>
      <c r="BC49" s="86">
        <f t="shared" si="55"/>
        <v>160.75931587020571</v>
      </c>
      <c r="BD49" s="86">
        <f t="shared" si="56"/>
        <v>-4430.7240943952829</v>
      </c>
      <c r="BE49" s="86">
        <f t="shared" si="57"/>
        <v>5843.4677056047167</v>
      </c>
      <c r="BF49" s="86"/>
      <c r="BG49" s="95">
        <f t="shared" si="58"/>
        <v>1354166.6666666665</v>
      </c>
      <c r="BH49" s="95">
        <f t="shared" si="59"/>
        <v>1354166.6666666665</v>
      </c>
      <c r="BI49" s="95">
        <f t="shared" si="60"/>
        <v>0</v>
      </c>
      <c r="BJ49" s="93">
        <f t="shared" si="23"/>
        <v>1317835.06128</v>
      </c>
      <c r="BK49" s="93">
        <f t="shared" si="24"/>
        <v>2355510.3120000004</v>
      </c>
      <c r="BL49" s="93">
        <f t="shared" si="61"/>
        <v>2002183.7652000003</v>
      </c>
      <c r="BM49" s="93">
        <f t="shared" si="62"/>
        <v>36331.605386666488</v>
      </c>
      <c r="BN49" s="93">
        <f t="shared" si="63"/>
        <v>1356000</v>
      </c>
      <c r="BO49" s="93">
        <f t="shared" si="64"/>
        <v>-1833.3333333334886</v>
      </c>
      <c r="BP49" s="93">
        <f t="shared" si="65"/>
        <v>-1317835.06128</v>
      </c>
      <c r="BQ49" s="93">
        <f t="shared" si="66"/>
        <v>-1319668.3946133335</v>
      </c>
      <c r="BR49" s="93">
        <f t="shared" si="67"/>
        <v>226</v>
      </c>
      <c r="BS49" s="93">
        <f t="shared" si="68"/>
        <v>160.75931587020571</v>
      </c>
      <c r="BT49" s="93">
        <f t="shared" si="69"/>
        <v>-1317835.06128</v>
      </c>
      <c r="BU49" s="93">
        <f t="shared" si="70"/>
        <v>-1833.3333333334886</v>
      </c>
      <c r="BV49" s="93">
        <f t="shared" si="71"/>
        <v>-1319668.3946133335</v>
      </c>
      <c r="BW49" s="93">
        <f t="shared" si="72"/>
        <v>-5831.1285897345133</v>
      </c>
      <c r="BX49" s="93">
        <f t="shared" si="73"/>
        <v>-8.1120943952809235</v>
      </c>
      <c r="BY49" s="93">
        <f t="shared" si="74"/>
        <v>-5839.2406841297943</v>
      </c>
    </row>
    <row r="50" spans="1:77" ht="14.4" x14ac:dyDescent="0.3">
      <c r="A50" s="182" t="s">
        <v>122</v>
      </c>
      <c r="B50" s="154" t="s">
        <v>174</v>
      </c>
      <c r="C50" s="154" t="s">
        <v>124</v>
      </c>
      <c r="D50" s="183" t="s">
        <v>116</v>
      </c>
      <c r="E50" s="154" t="s">
        <v>117</v>
      </c>
      <c r="F50" s="154" t="s">
        <v>118</v>
      </c>
      <c r="G50" s="155" t="str">
        <f t="shared" si="2"/>
        <v>No of Racks</v>
      </c>
      <c r="H50" s="154">
        <v>1</v>
      </c>
      <c r="I50" s="154">
        <v>1</v>
      </c>
      <c r="J50" s="184">
        <f t="shared" ref="J50:J83" si="75">H50-I50</f>
        <v>0</v>
      </c>
      <c r="K50" s="154">
        <v>1</v>
      </c>
      <c r="L50" s="154"/>
      <c r="M50" s="185">
        <f>400000/12</f>
        <v>33333.333333333336</v>
      </c>
      <c r="N50" s="186">
        <f t="shared" si="45"/>
        <v>400000</v>
      </c>
      <c r="O50" s="187" t="str">
        <f t="shared" si="3"/>
        <v>Rated</v>
      </c>
      <c r="P50" s="154" t="s">
        <v>125</v>
      </c>
      <c r="Q50" s="154">
        <v>4</v>
      </c>
      <c r="R50" s="234">
        <v>5.17</v>
      </c>
      <c r="S50" s="189">
        <f t="shared" si="41"/>
        <v>-1.17</v>
      </c>
      <c r="T50" s="154"/>
      <c r="U50" s="190">
        <f t="shared" si="5"/>
        <v>0</v>
      </c>
      <c r="V50" s="190">
        <f t="shared" si="6"/>
        <v>2</v>
      </c>
      <c r="W50" s="235">
        <f t="shared" si="44"/>
        <v>5.17</v>
      </c>
      <c r="X50" s="190"/>
      <c r="Y50" s="85">
        <f>90000/12</f>
        <v>7500</v>
      </c>
      <c r="Z50" s="193" t="str">
        <f t="shared" si="46"/>
        <v>Bundled</v>
      </c>
      <c r="AA50" s="154"/>
      <c r="AB50" s="190"/>
      <c r="AC50" s="194"/>
      <c r="AD50" s="236"/>
      <c r="AE50" s="122"/>
      <c r="AF50" s="155" t="str">
        <f>IF(AE50="No of Seats","No of Seats",(IF(AE50="Space","Sq Ft","")))</f>
        <v/>
      </c>
      <c r="AG50" s="154"/>
      <c r="AH50" s="154"/>
      <c r="AI50" s="154"/>
      <c r="AJ50" s="154"/>
      <c r="AK50" s="154"/>
      <c r="AL50" s="185"/>
      <c r="AM50" s="85">
        <f t="shared" si="47"/>
        <v>33333.333333333336</v>
      </c>
      <c r="AN50" s="85">
        <f t="shared" si="48"/>
        <v>0</v>
      </c>
      <c r="AO50" s="85">
        <f t="shared" si="49"/>
        <v>0</v>
      </c>
      <c r="AP50" s="85">
        <f t="shared" si="50"/>
        <v>0</v>
      </c>
      <c r="AQ50" s="86"/>
      <c r="AR50" s="87">
        <f t="shared" si="51"/>
        <v>0</v>
      </c>
      <c r="AS50" s="88">
        <f t="shared" si="52"/>
        <v>0</v>
      </c>
      <c r="AT50" s="87" t="s">
        <v>119</v>
      </c>
      <c r="AU50" s="71">
        <v>721003150</v>
      </c>
      <c r="AV50" s="195">
        <v>42401</v>
      </c>
      <c r="AW50" s="71">
        <v>5</v>
      </c>
      <c r="AX50" s="195">
        <v>44228</v>
      </c>
      <c r="AY50" s="71"/>
      <c r="BA50" s="86">
        <f t="shared" si="53"/>
        <v>0</v>
      </c>
      <c r="BB50" s="86">
        <f t="shared" si="54"/>
        <v>0</v>
      </c>
      <c r="BC50" s="86">
        <f t="shared" si="55"/>
        <v>-10275.785353333333</v>
      </c>
      <c r="BD50" s="86">
        <f t="shared" si="56"/>
        <v>-10275.785353333333</v>
      </c>
      <c r="BE50" s="86">
        <f t="shared" si="57"/>
        <v>6244.0546666666669</v>
      </c>
      <c r="BF50" s="86"/>
      <c r="BG50" s="92">
        <f t="shared" si="58"/>
        <v>33333.333333333336</v>
      </c>
      <c r="BH50" s="92">
        <f t="shared" si="59"/>
        <v>12488.109333333334</v>
      </c>
      <c r="BI50" s="92">
        <f t="shared" si="60"/>
        <v>20845.224000000002</v>
      </c>
      <c r="BJ50" s="93">
        <f t="shared" si="23"/>
        <v>53884.904040000001</v>
      </c>
      <c r="BK50" s="93">
        <f t="shared" si="24"/>
        <v>53884.904040000001</v>
      </c>
      <c r="BL50" s="93">
        <f t="shared" si="61"/>
        <v>20845.224000000002</v>
      </c>
      <c r="BM50" s="93">
        <f t="shared" si="62"/>
        <v>-20551.570706666666</v>
      </c>
      <c r="BN50" s="93">
        <f t="shared" si="63"/>
        <v>12000</v>
      </c>
      <c r="BO50" s="93">
        <f t="shared" si="64"/>
        <v>488.10933333333378</v>
      </c>
      <c r="BP50" s="93">
        <f t="shared" si="65"/>
        <v>-33039.680039999999</v>
      </c>
      <c r="BQ50" s="93">
        <f t="shared" si="66"/>
        <v>-32551.570706666666</v>
      </c>
      <c r="BR50" s="93">
        <f t="shared" si="67"/>
        <v>2</v>
      </c>
      <c r="BS50" s="93">
        <f t="shared" si="68"/>
        <v>-10275.785353333333</v>
      </c>
      <c r="BT50" s="93">
        <f t="shared" si="69"/>
        <v>-33039.680039999999</v>
      </c>
      <c r="BU50" s="93">
        <f t="shared" si="70"/>
        <v>488.10933333333378</v>
      </c>
      <c r="BV50" s="93">
        <f t="shared" si="71"/>
        <v>-32551.570706666666</v>
      </c>
      <c r="BW50" s="93">
        <f t="shared" si="72"/>
        <v>-16519.84002</v>
      </c>
      <c r="BX50" s="93">
        <f t="shared" si="73"/>
        <v>244.05466666666689</v>
      </c>
      <c r="BY50" s="93">
        <f t="shared" si="74"/>
        <v>-16275.785353333333</v>
      </c>
    </row>
    <row r="51" spans="1:77" ht="14.4" x14ac:dyDescent="0.3">
      <c r="A51" s="182" t="s">
        <v>136</v>
      </c>
      <c r="B51" s="154" t="s">
        <v>167</v>
      </c>
      <c r="C51" s="154" t="s">
        <v>115</v>
      </c>
      <c r="D51" s="183" t="s">
        <v>130</v>
      </c>
      <c r="E51" s="154" t="s">
        <v>117</v>
      </c>
      <c r="F51" s="154" t="s">
        <v>131</v>
      </c>
      <c r="G51" s="155" t="str">
        <f t="shared" si="2"/>
        <v>No of Racks</v>
      </c>
      <c r="H51" s="154">
        <v>1</v>
      </c>
      <c r="I51" s="154">
        <v>1</v>
      </c>
      <c r="J51" s="184">
        <f t="shared" si="75"/>
        <v>0</v>
      </c>
      <c r="K51" s="154">
        <v>1</v>
      </c>
      <c r="L51" s="154"/>
      <c r="M51" s="85">
        <f>195000/12</f>
        <v>16250</v>
      </c>
      <c r="N51" s="85">
        <f t="shared" si="45"/>
        <v>195000</v>
      </c>
      <c r="O51" s="187" t="str">
        <f t="shared" si="3"/>
        <v>Subscribed</v>
      </c>
      <c r="P51" s="154" t="s">
        <v>108</v>
      </c>
      <c r="Q51" s="156">
        <v>3</v>
      </c>
      <c r="R51" s="229">
        <v>1.98</v>
      </c>
      <c r="S51" s="230">
        <f t="shared" si="41"/>
        <v>1.02</v>
      </c>
      <c r="T51" s="190"/>
      <c r="U51" s="190">
        <f t="shared" si="5"/>
        <v>1.02</v>
      </c>
      <c r="V51" s="190">
        <f t="shared" si="6"/>
        <v>3</v>
      </c>
      <c r="W51" s="206">
        <f t="shared" si="44"/>
        <v>1.98</v>
      </c>
      <c r="X51" s="190"/>
      <c r="Y51" s="85"/>
      <c r="Z51" s="193" t="str">
        <f t="shared" si="46"/>
        <v>Metered</v>
      </c>
      <c r="AA51" s="190">
        <v>1</v>
      </c>
      <c r="AB51" s="183" t="s">
        <v>145</v>
      </c>
      <c r="AC51" s="194">
        <v>14.5</v>
      </c>
      <c r="AD51" s="148">
        <v>4322</v>
      </c>
      <c r="AE51" s="122"/>
      <c r="AF51" s="155" t="str">
        <f>IF(AE51="No of Seats","No of Seats",(IF(AE51="Space","Sq Ft","")))</f>
        <v/>
      </c>
      <c r="AG51" s="156"/>
      <c r="AH51" s="156"/>
      <c r="AI51" s="154"/>
      <c r="AJ51" s="156"/>
      <c r="AK51" s="190"/>
      <c r="AL51" s="85"/>
      <c r="AM51" s="85">
        <f t="shared" si="47"/>
        <v>16250</v>
      </c>
      <c r="AN51" s="85">
        <f t="shared" si="48"/>
        <v>0</v>
      </c>
      <c r="AO51" s="85">
        <f t="shared" si="49"/>
        <v>62669</v>
      </c>
      <c r="AP51" s="85">
        <f t="shared" si="50"/>
        <v>0</v>
      </c>
      <c r="AQ51" s="86"/>
      <c r="AR51" s="87">
        <f t="shared" si="51"/>
        <v>78919</v>
      </c>
      <c r="AS51" s="88">
        <f t="shared" si="52"/>
        <v>947028</v>
      </c>
      <c r="AT51" s="87" t="s">
        <v>168</v>
      </c>
      <c r="AU51" s="70">
        <v>721005437</v>
      </c>
      <c r="AV51" s="195">
        <v>42995</v>
      </c>
      <c r="AW51" s="71">
        <v>1</v>
      </c>
      <c r="AX51" s="195">
        <v>43330</v>
      </c>
      <c r="AY51" s="71"/>
      <c r="BA51" s="86">
        <f t="shared" si="53"/>
        <v>78919</v>
      </c>
      <c r="BB51" s="86">
        <f t="shared" si="54"/>
        <v>26306.333333333332</v>
      </c>
      <c r="BC51" s="86">
        <f t="shared" si="55"/>
        <v>5627.2874098360653</v>
      </c>
      <c r="BD51" s="86">
        <f t="shared" si="56"/>
        <v>5627.2874098360653</v>
      </c>
      <c r="BE51" s="86">
        <f t="shared" si="57"/>
        <v>5579.346466666665</v>
      </c>
      <c r="BF51" s="86"/>
      <c r="BG51" s="95">
        <f t="shared" si="58"/>
        <v>78919</v>
      </c>
      <c r="BH51" s="95">
        <f t="shared" si="59"/>
        <v>16250</v>
      </c>
      <c r="BI51" s="95">
        <f t="shared" si="60"/>
        <v>62669</v>
      </c>
      <c r="BJ51" s="93">
        <f t="shared" si="23"/>
        <v>62037.137770491805</v>
      </c>
      <c r="BK51" s="93">
        <f t="shared" si="24"/>
        <v>62037.137770491805</v>
      </c>
      <c r="BL51" s="93">
        <f t="shared" si="61"/>
        <v>26577.660600000003</v>
      </c>
      <c r="BM51" s="93">
        <f t="shared" si="62"/>
        <v>16881.862229508195</v>
      </c>
      <c r="BN51" s="93">
        <f t="shared" si="63"/>
        <v>18000</v>
      </c>
      <c r="BO51" s="93">
        <f t="shared" si="64"/>
        <v>-1750</v>
      </c>
      <c r="BP51" s="93">
        <f t="shared" si="65"/>
        <v>631.86222950819501</v>
      </c>
      <c r="BQ51" s="93">
        <f t="shared" si="66"/>
        <v>-1118.137770491805</v>
      </c>
      <c r="BR51" s="93">
        <f t="shared" si="67"/>
        <v>3</v>
      </c>
      <c r="BS51" s="93">
        <f t="shared" si="68"/>
        <v>5627.2874098360653</v>
      </c>
      <c r="BT51" s="93">
        <f t="shared" si="69"/>
        <v>631.86222950819501</v>
      </c>
      <c r="BU51" s="93">
        <f t="shared" si="70"/>
        <v>-1750</v>
      </c>
      <c r="BV51" s="93">
        <f t="shared" si="71"/>
        <v>-1118.137770491805</v>
      </c>
      <c r="BW51" s="93">
        <f t="shared" si="72"/>
        <v>210.62074316939834</v>
      </c>
      <c r="BX51" s="93">
        <f t="shared" si="73"/>
        <v>-583.33333333333337</v>
      </c>
      <c r="BY51" s="93">
        <f t="shared" si="74"/>
        <v>-372.71259016393498</v>
      </c>
    </row>
    <row r="52" spans="1:77" ht="14.4" x14ac:dyDescent="0.3">
      <c r="A52" s="182" t="s">
        <v>122</v>
      </c>
      <c r="B52" s="204" t="s">
        <v>175</v>
      </c>
      <c r="C52" s="154" t="s">
        <v>124</v>
      </c>
      <c r="D52" s="183" t="s">
        <v>116</v>
      </c>
      <c r="E52" s="154" t="s">
        <v>164</v>
      </c>
      <c r="F52" s="154" t="s">
        <v>118</v>
      </c>
      <c r="G52" s="155" t="str">
        <f t="shared" si="2"/>
        <v>U Space</v>
      </c>
      <c r="H52" s="154">
        <v>2</v>
      </c>
      <c r="I52" s="154">
        <v>2</v>
      </c>
      <c r="J52" s="184">
        <f t="shared" si="75"/>
        <v>0</v>
      </c>
      <c r="K52" s="154">
        <v>2</v>
      </c>
      <c r="L52" s="154"/>
      <c r="M52" s="185">
        <f>30000/12</f>
        <v>2500</v>
      </c>
      <c r="N52" s="186">
        <f t="shared" si="45"/>
        <v>30000</v>
      </c>
      <c r="O52" s="187" t="str">
        <f t="shared" si="3"/>
        <v>Rated</v>
      </c>
      <c r="P52" s="154" t="s">
        <v>125</v>
      </c>
      <c r="Q52" s="154">
        <v>0.5</v>
      </c>
      <c r="R52" s="237">
        <v>0.27</v>
      </c>
      <c r="S52" s="189">
        <f t="shared" si="41"/>
        <v>0.22999999999999998</v>
      </c>
      <c r="T52" s="154"/>
      <c r="U52" s="190">
        <f t="shared" si="5"/>
        <v>0.11499999999999999</v>
      </c>
      <c r="V52" s="190">
        <f t="shared" si="6"/>
        <v>0.25</v>
      </c>
      <c r="W52" s="235">
        <f t="shared" si="44"/>
        <v>0.27</v>
      </c>
      <c r="X52" s="154"/>
      <c r="Y52" s="85"/>
      <c r="Z52" s="193" t="str">
        <f t="shared" si="46"/>
        <v>Bundled</v>
      </c>
      <c r="AA52" s="154"/>
      <c r="AB52" s="190"/>
      <c r="AC52" s="194"/>
      <c r="AD52" s="236"/>
      <c r="AE52" s="122"/>
      <c r="AF52" s="155" t="str">
        <f>IF(AE52="No of Seats","No of Seats",(IF(AE52="Space","Sq Ft","")))</f>
        <v/>
      </c>
      <c r="AG52" s="154"/>
      <c r="AH52" s="154"/>
      <c r="AI52" s="154"/>
      <c r="AJ52" s="154"/>
      <c r="AK52" s="154"/>
      <c r="AL52" s="185"/>
      <c r="AM52" s="85">
        <f t="shared" si="47"/>
        <v>5000</v>
      </c>
      <c r="AN52" s="85">
        <f t="shared" si="48"/>
        <v>0</v>
      </c>
      <c r="AO52" s="85">
        <f t="shared" si="49"/>
        <v>0</v>
      </c>
      <c r="AP52" s="85">
        <f t="shared" si="50"/>
        <v>0</v>
      </c>
      <c r="AQ52" s="86">
        <f>20000/12</f>
        <v>1666.6666666666667</v>
      </c>
      <c r="AR52" s="87">
        <f t="shared" si="51"/>
        <v>0</v>
      </c>
      <c r="AS52" s="88">
        <f t="shared" si="52"/>
        <v>0</v>
      </c>
      <c r="AT52" s="87" t="s">
        <v>119</v>
      </c>
      <c r="AU52" s="71">
        <v>721005181</v>
      </c>
      <c r="AV52" s="195">
        <v>42964</v>
      </c>
      <c r="AW52" s="71">
        <v>1</v>
      </c>
      <c r="AX52" s="195">
        <v>43282</v>
      </c>
      <c r="AY52" s="71"/>
      <c r="BA52" s="86">
        <f t="shared" si="53"/>
        <v>0</v>
      </c>
      <c r="BB52" s="86">
        <f t="shared" si="54"/>
        <v>0</v>
      </c>
      <c r="BC52" s="86">
        <f t="shared" si="55"/>
        <v>8743.5790399999987</v>
      </c>
      <c r="BD52" s="86">
        <f t="shared" si="56"/>
        <v>3949.1775199999975</v>
      </c>
      <c r="BE52" s="86">
        <f t="shared" si="57"/>
        <v>9577.387999999999</v>
      </c>
      <c r="BF52" s="86"/>
      <c r="BG52" s="92">
        <f t="shared" si="58"/>
        <v>5000</v>
      </c>
      <c r="BH52" s="92">
        <f t="shared" si="59"/>
        <v>2394.3469999999998</v>
      </c>
      <c r="BI52" s="92">
        <f t="shared" si="60"/>
        <v>2605.6530000000002</v>
      </c>
      <c r="BJ52" s="93">
        <f t="shared" si="23"/>
        <v>2814.1052400000003</v>
      </c>
      <c r="BK52" s="93">
        <f t="shared" si="24"/>
        <v>4012.7056200000006</v>
      </c>
      <c r="BL52" s="93">
        <f t="shared" si="61"/>
        <v>2605.6530000000002</v>
      </c>
      <c r="BM52" s="93">
        <f t="shared" si="62"/>
        <v>2185.8947599999997</v>
      </c>
      <c r="BN52" s="93">
        <f t="shared" si="63"/>
        <v>1500</v>
      </c>
      <c r="BO52" s="93">
        <f t="shared" si="64"/>
        <v>894.34699999999975</v>
      </c>
      <c r="BP52" s="93">
        <f t="shared" si="65"/>
        <v>-208.45224000000007</v>
      </c>
      <c r="BQ52" s="93">
        <f t="shared" si="66"/>
        <v>685.89475999999968</v>
      </c>
      <c r="BR52" s="93">
        <f t="shared" si="67"/>
        <v>0.25</v>
      </c>
      <c r="BS52" s="93">
        <f t="shared" si="68"/>
        <v>8743.5790399999987</v>
      </c>
      <c r="BT52" s="93">
        <f t="shared" si="69"/>
        <v>-208.45224000000007</v>
      </c>
      <c r="BU52" s="93">
        <f t="shared" si="70"/>
        <v>894.34699999999975</v>
      </c>
      <c r="BV52" s="93">
        <f t="shared" si="71"/>
        <v>685.89475999999968</v>
      </c>
      <c r="BW52" s="93">
        <f t="shared" si="72"/>
        <v>-833.8089600000003</v>
      </c>
      <c r="BX52" s="93">
        <f t="shared" si="73"/>
        <v>3577.387999999999</v>
      </c>
      <c r="BY52" s="93">
        <f t="shared" si="74"/>
        <v>2743.5790399999987</v>
      </c>
    </row>
    <row r="53" spans="1:77" ht="14.4" x14ac:dyDescent="0.3">
      <c r="A53" s="182" t="s">
        <v>122</v>
      </c>
      <c r="B53" s="204" t="s">
        <v>176</v>
      </c>
      <c r="C53" s="154" t="s">
        <v>115</v>
      </c>
      <c r="D53" s="183" t="s">
        <v>116</v>
      </c>
      <c r="E53" s="154" t="s">
        <v>44</v>
      </c>
      <c r="F53" s="154" t="s">
        <v>131</v>
      </c>
      <c r="G53" s="155" t="str">
        <f t="shared" si="2"/>
        <v>Sq Ft</v>
      </c>
      <c r="H53" s="154">
        <v>600</v>
      </c>
      <c r="I53" s="154">
        <v>600</v>
      </c>
      <c r="J53" s="184">
        <f t="shared" si="75"/>
        <v>0</v>
      </c>
      <c r="K53" s="154">
        <v>600</v>
      </c>
      <c r="L53" s="154"/>
      <c r="M53" s="185">
        <f>6218/12</f>
        <v>518.16666666666663</v>
      </c>
      <c r="N53" s="186">
        <f t="shared" si="45"/>
        <v>6218</v>
      </c>
      <c r="O53" s="187" t="str">
        <f t="shared" si="3"/>
        <v>Subscribed</v>
      </c>
      <c r="P53" s="154" t="s">
        <v>125</v>
      </c>
      <c r="Q53" s="154">
        <v>60</v>
      </c>
      <c r="R53" s="229">
        <v>35</v>
      </c>
      <c r="S53" s="189">
        <f t="shared" si="41"/>
        <v>25</v>
      </c>
      <c r="T53" s="154"/>
      <c r="U53" s="190">
        <f t="shared" si="5"/>
        <v>25</v>
      </c>
      <c r="V53" s="190">
        <f t="shared" si="6"/>
        <v>60</v>
      </c>
      <c r="W53" s="206">
        <f t="shared" si="44"/>
        <v>35</v>
      </c>
      <c r="X53" s="190"/>
      <c r="Y53" s="85"/>
      <c r="Z53" s="193" t="str">
        <f t="shared" si="46"/>
        <v>Bundled</v>
      </c>
      <c r="AA53" s="190">
        <v>1</v>
      </c>
      <c r="AB53" s="183" t="s">
        <v>132</v>
      </c>
      <c r="AC53" s="194">
        <v>8.1999999999999993</v>
      </c>
      <c r="AD53">
        <v>23257.978265625025</v>
      </c>
      <c r="AE53" s="202" t="s">
        <v>133</v>
      </c>
      <c r="AF53" s="155" t="str">
        <f>IF(AE53="No of Seats","No of Seats",(IF(AE53="Space","Sq Ft","")))</f>
        <v>No of Seats</v>
      </c>
      <c r="AG53" s="154">
        <v>7</v>
      </c>
      <c r="AH53" s="154">
        <v>7</v>
      </c>
      <c r="AI53" s="154">
        <f>AG53-AH53</f>
        <v>0</v>
      </c>
      <c r="AJ53" s="154">
        <v>7</v>
      </c>
      <c r="AK53" s="154"/>
      <c r="AL53" s="185">
        <f>91800/12</f>
        <v>7650</v>
      </c>
      <c r="AM53" s="85">
        <f t="shared" si="47"/>
        <v>310900</v>
      </c>
      <c r="AN53" s="85">
        <f t="shared" si="48"/>
        <v>0</v>
      </c>
      <c r="AO53" s="85">
        <f t="shared" si="49"/>
        <v>190715.42177812519</v>
      </c>
      <c r="AP53" s="85">
        <f t="shared" si="50"/>
        <v>53550</v>
      </c>
      <c r="AQ53" s="86"/>
      <c r="AR53" s="87">
        <f t="shared" si="51"/>
        <v>0</v>
      </c>
      <c r="AS53" s="88">
        <f t="shared" si="52"/>
        <v>0</v>
      </c>
      <c r="AT53" s="104" t="s">
        <v>134</v>
      </c>
      <c r="AU53" s="71">
        <v>721002807</v>
      </c>
      <c r="AV53" s="195">
        <v>42370</v>
      </c>
      <c r="AW53" s="71">
        <v>10</v>
      </c>
      <c r="AX53" s="195">
        <v>46023</v>
      </c>
      <c r="AY53" s="71"/>
      <c r="BA53" s="86">
        <f t="shared" si="53"/>
        <v>0</v>
      </c>
      <c r="BB53" s="86">
        <f t="shared" si="54"/>
        <v>0</v>
      </c>
      <c r="BC53" s="86">
        <f t="shared" si="55"/>
        <v>2796.2496182221716</v>
      </c>
      <c r="BD53" s="86">
        <f t="shared" si="56"/>
        <v>2796.2496182221716</v>
      </c>
      <c r="BE53" s="86">
        <f t="shared" si="57"/>
        <v>-5240.9453333333349</v>
      </c>
      <c r="BF53" s="86"/>
      <c r="BG53" s="92">
        <f t="shared" si="58"/>
        <v>501615.42177812522</v>
      </c>
      <c r="BH53" s="92">
        <f t="shared" si="59"/>
        <v>0</v>
      </c>
      <c r="BI53" s="92">
        <f t="shared" si="60"/>
        <v>501615.42177812522</v>
      </c>
      <c r="BJ53" s="93">
        <f t="shared" si="23"/>
        <v>333840.44468479493</v>
      </c>
      <c r="BK53" s="93">
        <f t="shared" si="24"/>
        <v>333840.44468479493</v>
      </c>
      <c r="BL53" s="93">
        <f t="shared" si="61"/>
        <v>625356.72000000009</v>
      </c>
      <c r="BM53" s="93">
        <f t="shared" si="62"/>
        <v>167774.97709333029</v>
      </c>
      <c r="BN53" s="93">
        <f t="shared" si="63"/>
        <v>360000</v>
      </c>
      <c r="BO53" s="93">
        <f t="shared" si="64"/>
        <v>-360000</v>
      </c>
      <c r="BP53" s="93">
        <f t="shared" si="65"/>
        <v>167774.97709333029</v>
      </c>
      <c r="BQ53" s="93">
        <f t="shared" si="66"/>
        <v>-192225.02290666971</v>
      </c>
      <c r="BR53" s="93">
        <f t="shared" si="67"/>
        <v>60</v>
      </c>
      <c r="BS53" s="93">
        <f t="shared" si="68"/>
        <v>2796.2496182221716</v>
      </c>
      <c r="BT53" s="93">
        <f t="shared" si="69"/>
        <v>291516.27531520516</v>
      </c>
      <c r="BU53" s="93">
        <f t="shared" si="70"/>
        <v>-674456.72000000009</v>
      </c>
      <c r="BV53" s="93">
        <f t="shared" si="71"/>
        <v>-382940.44468479493</v>
      </c>
      <c r="BW53" s="93">
        <f t="shared" si="72"/>
        <v>4858.6045885867525</v>
      </c>
      <c r="BX53" s="93">
        <f t="shared" si="73"/>
        <v>-11240.945333333335</v>
      </c>
      <c r="BY53" s="93">
        <f t="shared" si="74"/>
        <v>-6382.3407447465825</v>
      </c>
    </row>
    <row r="54" spans="1:77" ht="14.4" x14ac:dyDescent="0.3">
      <c r="A54" s="182" t="s">
        <v>122</v>
      </c>
      <c r="B54" s="154" t="s">
        <v>177</v>
      </c>
      <c r="C54" s="154" t="s">
        <v>115</v>
      </c>
      <c r="D54" s="183" t="s">
        <v>116</v>
      </c>
      <c r="E54" s="154" t="s">
        <v>117</v>
      </c>
      <c r="F54" s="154" t="s">
        <v>118</v>
      </c>
      <c r="G54" s="155" t="str">
        <f t="shared" si="2"/>
        <v>No of Racks</v>
      </c>
      <c r="H54" s="154">
        <v>2</v>
      </c>
      <c r="I54" s="154">
        <v>1</v>
      </c>
      <c r="J54" s="184">
        <f t="shared" si="75"/>
        <v>1</v>
      </c>
      <c r="K54" s="154">
        <v>0</v>
      </c>
      <c r="L54" s="154"/>
      <c r="M54" s="185">
        <f>2900*68</f>
        <v>197200</v>
      </c>
      <c r="N54" s="186">
        <f t="shared" si="45"/>
        <v>2366400</v>
      </c>
      <c r="O54" s="187" t="str">
        <f t="shared" si="3"/>
        <v>Subscribed</v>
      </c>
      <c r="P54" s="154" t="s">
        <v>125</v>
      </c>
      <c r="Q54" s="154">
        <v>12</v>
      </c>
      <c r="R54" s="229">
        <v>14.78</v>
      </c>
      <c r="S54" s="189">
        <f t="shared" si="41"/>
        <v>-2.7799999999999994</v>
      </c>
      <c r="T54" s="154"/>
      <c r="U54" s="190">
        <f t="shared" si="5"/>
        <v>0</v>
      </c>
      <c r="V54" s="190">
        <f t="shared" si="6"/>
        <v>12</v>
      </c>
      <c r="W54" s="206">
        <f t="shared" si="44"/>
        <v>14.78</v>
      </c>
      <c r="X54" s="154"/>
      <c r="Y54" s="85">
        <f>280*68</f>
        <v>19040</v>
      </c>
      <c r="Z54" s="193" t="str">
        <f t="shared" si="46"/>
        <v>Bundled</v>
      </c>
      <c r="AA54" s="190"/>
      <c r="AB54" s="190"/>
      <c r="AC54" s="194"/>
      <c r="AD54" s="232"/>
      <c r="AE54" s="122"/>
      <c r="AF54" s="155"/>
      <c r="AG54" s="154"/>
      <c r="AH54" s="154"/>
      <c r="AI54" s="154"/>
      <c r="AJ54" s="154"/>
      <c r="AK54" s="154"/>
      <c r="AL54" s="185"/>
      <c r="AM54" s="85">
        <f t="shared" si="47"/>
        <v>0</v>
      </c>
      <c r="AN54" s="85">
        <f t="shared" si="48"/>
        <v>0</v>
      </c>
      <c r="AO54" s="85">
        <f t="shared" si="49"/>
        <v>0</v>
      </c>
      <c r="AP54" s="85">
        <f t="shared" si="50"/>
        <v>0</v>
      </c>
      <c r="AQ54" s="86">
        <f>750*68</f>
        <v>51000</v>
      </c>
      <c r="AR54" s="87">
        <f t="shared" si="51"/>
        <v>0</v>
      </c>
      <c r="AS54" s="88">
        <f t="shared" si="52"/>
        <v>0</v>
      </c>
      <c r="AT54" s="104" t="s">
        <v>119</v>
      </c>
      <c r="AU54" s="71">
        <v>121000378</v>
      </c>
      <c r="AV54" s="195"/>
      <c r="AW54" s="71">
        <v>1</v>
      </c>
      <c r="AX54" s="195"/>
      <c r="AY54" s="71"/>
      <c r="BA54" s="86">
        <f t="shared" si="53"/>
        <v>0</v>
      </c>
      <c r="BB54" s="86">
        <f t="shared" si="54"/>
        <v>0</v>
      </c>
      <c r="BC54" s="86">
        <f t="shared" si="55"/>
        <v>-12837.183780000001</v>
      </c>
      <c r="BD54" s="86">
        <f t="shared" si="56"/>
        <v>-12837.183780000001</v>
      </c>
      <c r="BE54" s="86">
        <f t="shared" si="57"/>
        <v>-10422.612000000001</v>
      </c>
      <c r="BF54" s="86"/>
      <c r="BG54" s="92">
        <f t="shared" si="58"/>
        <v>0</v>
      </c>
      <c r="BH54" s="92">
        <f t="shared" si="59"/>
        <v>0</v>
      </c>
      <c r="BI54" s="92">
        <f t="shared" si="60"/>
        <v>0</v>
      </c>
      <c r="BJ54" s="93">
        <f t="shared" si="23"/>
        <v>154046.20536000002</v>
      </c>
      <c r="BK54" s="93">
        <f t="shared" si="24"/>
        <v>154046.20536000002</v>
      </c>
      <c r="BL54" s="93">
        <f t="shared" si="61"/>
        <v>125071.34400000001</v>
      </c>
      <c r="BM54" s="93">
        <f t="shared" si="62"/>
        <v>-154046.20536000002</v>
      </c>
      <c r="BN54" s="93">
        <f t="shared" si="63"/>
        <v>72000</v>
      </c>
      <c r="BO54" s="93">
        <f t="shared" si="64"/>
        <v>-72000</v>
      </c>
      <c r="BP54" s="93">
        <f t="shared" si="65"/>
        <v>-154046.20536000002</v>
      </c>
      <c r="BQ54" s="93">
        <f t="shared" si="66"/>
        <v>-226046.20536000002</v>
      </c>
      <c r="BR54" s="93">
        <f t="shared" si="67"/>
        <v>12</v>
      </c>
      <c r="BS54" s="93">
        <f t="shared" si="68"/>
        <v>-12837.183780000001</v>
      </c>
      <c r="BT54" s="93">
        <f t="shared" si="69"/>
        <v>-28974.86136000001</v>
      </c>
      <c r="BU54" s="93">
        <f t="shared" si="70"/>
        <v>-197071.34400000001</v>
      </c>
      <c r="BV54" s="93">
        <f t="shared" si="71"/>
        <v>-226046.20536000002</v>
      </c>
      <c r="BW54" s="93">
        <f t="shared" si="72"/>
        <v>-2414.5717800000007</v>
      </c>
      <c r="BX54" s="93">
        <f t="shared" si="73"/>
        <v>-16422.612000000001</v>
      </c>
      <c r="BY54" s="93">
        <f t="shared" si="74"/>
        <v>-18837.183780000003</v>
      </c>
    </row>
    <row r="55" spans="1:77" ht="14.4" x14ac:dyDescent="0.3">
      <c r="A55" s="182" t="s">
        <v>136</v>
      </c>
      <c r="B55" s="154" t="s">
        <v>178</v>
      </c>
      <c r="C55" s="154" t="s">
        <v>124</v>
      </c>
      <c r="D55" s="183" t="s">
        <v>116</v>
      </c>
      <c r="E55" s="154" t="s">
        <v>117</v>
      </c>
      <c r="F55" s="154" t="s">
        <v>118</v>
      </c>
      <c r="G55" s="155" t="str">
        <f t="shared" ref="G55:G74" si="76">IF(E55="Rack","No of Racks",(IF(E55="Space","Sq Ft","U Space")))</f>
        <v>No of Racks</v>
      </c>
      <c r="H55" s="154">
        <v>2</v>
      </c>
      <c r="I55" s="154">
        <v>2</v>
      </c>
      <c r="J55" s="184">
        <f t="shared" si="75"/>
        <v>0</v>
      </c>
      <c r="K55" s="154">
        <v>2</v>
      </c>
      <c r="L55" s="154"/>
      <c r="M55" s="185">
        <f>545000/12</f>
        <v>45416.666666666664</v>
      </c>
      <c r="N55" s="186">
        <f t="shared" si="45"/>
        <v>545000</v>
      </c>
      <c r="O55" s="187" t="str">
        <f t="shared" si="3"/>
        <v>Rated</v>
      </c>
      <c r="P55" s="154" t="s">
        <v>125</v>
      </c>
      <c r="Q55" s="154">
        <v>12</v>
      </c>
      <c r="R55" s="227">
        <v>11.093</v>
      </c>
      <c r="S55" s="189">
        <f t="shared" si="41"/>
        <v>0.90700000000000003</v>
      </c>
      <c r="T55" s="154"/>
      <c r="U55" s="190">
        <f t="shared" si="5"/>
        <v>0.45350000000000001</v>
      </c>
      <c r="V55" s="190">
        <f t="shared" si="6"/>
        <v>6</v>
      </c>
      <c r="W55" s="238">
        <f t="shared" si="44"/>
        <v>11.093</v>
      </c>
      <c r="X55" s="190">
        <f>S55*-1</f>
        <v>-0.90700000000000003</v>
      </c>
      <c r="Y55" s="85"/>
      <c r="Z55" s="193" t="str">
        <f t="shared" si="46"/>
        <v>Bundled</v>
      </c>
      <c r="AA55" s="154"/>
      <c r="AB55" s="190"/>
      <c r="AC55" s="194"/>
      <c r="AD55" s="203"/>
      <c r="AE55" s="122"/>
      <c r="AF55" s="155" t="str">
        <f>IF(AE55="No of Seats","No of Seats",(IF(AE55="Space","Sq Ft","")))</f>
        <v/>
      </c>
      <c r="AG55" s="154">
        <v>1</v>
      </c>
      <c r="AH55" s="154">
        <v>1</v>
      </c>
      <c r="AI55" s="154">
        <f>AG55-AH55</f>
        <v>0</v>
      </c>
      <c r="AJ55" s="154">
        <v>1</v>
      </c>
      <c r="AK55" s="154"/>
      <c r="AL55" s="185">
        <f>100000/12</f>
        <v>8333.3333333333339</v>
      </c>
      <c r="AM55" s="85">
        <f t="shared" si="47"/>
        <v>90833.333333333328</v>
      </c>
      <c r="AN55" s="85">
        <f t="shared" si="48"/>
        <v>0</v>
      </c>
      <c r="AO55" s="85">
        <f t="shared" si="49"/>
        <v>0</v>
      </c>
      <c r="AP55" s="85">
        <f t="shared" si="50"/>
        <v>8333.3333333333339</v>
      </c>
      <c r="AQ55" s="86"/>
      <c r="AR55" s="87">
        <f t="shared" si="51"/>
        <v>0</v>
      </c>
      <c r="AS55" s="88">
        <f t="shared" si="52"/>
        <v>0</v>
      </c>
      <c r="AT55" s="87" t="s">
        <v>119</v>
      </c>
      <c r="AU55" s="71">
        <v>721003774</v>
      </c>
      <c r="AV55" s="195">
        <v>42522</v>
      </c>
      <c r="AW55" s="103"/>
      <c r="AX55" s="195"/>
      <c r="AY55" s="71" t="s">
        <v>121</v>
      </c>
      <c r="BA55" s="86">
        <f t="shared" si="53"/>
        <v>0</v>
      </c>
      <c r="BB55" s="86">
        <f t="shared" si="54"/>
        <v>0</v>
      </c>
      <c r="BC55" s="86">
        <f t="shared" si="55"/>
        <v>-4130.7835971111126</v>
      </c>
      <c r="BD55" s="86">
        <f t="shared" si="56"/>
        <v>-4918.559354111113</v>
      </c>
      <c r="BE55" s="86">
        <f t="shared" si="57"/>
        <v>4716.2768888888868</v>
      </c>
      <c r="BF55" s="86"/>
      <c r="BG55" s="92">
        <f t="shared" si="58"/>
        <v>90833.333333333328</v>
      </c>
      <c r="BH55" s="92">
        <f t="shared" si="59"/>
        <v>28297.661333333323</v>
      </c>
      <c r="BI55" s="92">
        <f t="shared" si="60"/>
        <v>62535.672000000006</v>
      </c>
      <c r="BJ55" s="93">
        <f t="shared" si="23"/>
        <v>115618.034916</v>
      </c>
      <c r="BK55" s="93">
        <f t="shared" si="24"/>
        <v>120344.68945800001</v>
      </c>
      <c r="BL55" s="93">
        <f t="shared" si="61"/>
        <v>62535.672000000006</v>
      </c>
      <c r="BM55" s="93">
        <f t="shared" si="62"/>
        <v>-24784.701582666676</v>
      </c>
      <c r="BN55" s="93">
        <f t="shared" si="63"/>
        <v>36000</v>
      </c>
      <c r="BO55" s="93">
        <f t="shared" si="64"/>
        <v>-7702.3386666666775</v>
      </c>
      <c r="BP55" s="93">
        <f t="shared" si="65"/>
        <v>-53082.362915999998</v>
      </c>
      <c r="BQ55" s="93">
        <f t="shared" si="66"/>
        <v>-60784.701582666676</v>
      </c>
      <c r="BR55" s="93">
        <f t="shared" si="67"/>
        <v>6</v>
      </c>
      <c r="BS55" s="93">
        <f t="shared" si="68"/>
        <v>-4130.7835971111126</v>
      </c>
      <c r="BT55" s="93">
        <f t="shared" si="69"/>
        <v>-53082.362915999998</v>
      </c>
      <c r="BU55" s="93">
        <f t="shared" si="70"/>
        <v>-7702.3386666666793</v>
      </c>
      <c r="BV55" s="93">
        <f t="shared" si="71"/>
        <v>-60784.701582666676</v>
      </c>
      <c r="BW55" s="93">
        <f t="shared" si="72"/>
        <v>-8847.0604860000003</v>
      </c>
      <c r="BX55" s="93">
        <f t="shared" si="73"/>
        <v>-1283.7231111111132</v>
      </c>
      <c r="BY55" s="93">
        <f t="shared" si="74"/>
        <v>-10130.783597111113</v>
      </c>
    </row>
    <row r="56" spans="1:77" ht="14.4" x14ac:dyDescent="0.3">
      <c r="A56" s="182" t="s">
        <v>136</v>
      </c>
      <c r="B56" s="154" t="s">
        <v>179</v>
      </c>
      <c r="C56" s="154" t="s">
        <v>124</v>
      </c>
      <c r="D56" s="183" t="s">
        <v>116</v>
      </c>
      <c r="E56" s="154" t="s">
        <v>117</v>
      </c>
      <c r="F56" s="154" t="s">
        <v>118</v>
      </c>
      <c r="G56" s="155" t="str">
        <f t="shared" si="76"/>
        <v>No of Racks</v>
      </c>
      <c r="H56" s="154">
        <v>2</v>
      </c>
      <c r="I56" s="154">
        <v>2</v>
      </c>
      <c r="J56" s="184">
        <f t="shared" si="75"/>
        <v>0</v>
      </c>
      <c r="K56" s="154">
        <v>2</v>
      </c>
      <c r="L56" s="154"/>
      <c r="M56" s="185">
        <f>860000/12</f>
        <v>71666.666666666672</v>
      </c>
      <c r="N56" s="85">
        <f t="shared" si="45"/>
        <v>860000</v>
      </c>
      <c r="O56" s="187" t="s">
        <v>124</v>
      </c>
      <c r="P56" s="154" t="s">
        <v>108</v>
      </c>
      <c r="Q56" s="154">
        <v>4</v>
      </c>
      <c r="R56" s="227">
        <v>20.265000000000001</v>
      </c>
      <c r="S56" s="189">
        <f t="shared" si="41"/>
        <v>-16.265000000000001</v>
      </c>
      <c r="T56" s="154"/>
      <c r="U56" s="190">
        <f t="shared" si="5"/>
        <v>0</v>
      </c>
      <c r="V56" s="190">
        <f t="shared" si="6"/>
        <v>2</v>
      </c>
      <c r="W56" s="238">
        <f t="shared" si="44"/>
        <v>20.265000000000001</v>
      </c>
      <c r="X56" s="190"/>
      <c r="Y56" s="85">
        <f>205000/12</f>
        <v>17083.333333333332</v>
      </c>
      <c r="Z56" s="193" t="str">
        <f t="shared" si="46"/>
        <v>Bundled</v>
      </c>
      <c r="AA56" s="154"/>
      <c r="AB56" s="190"/>
      <c r="AC56" s="194"/>
      <c r="AD56" s="203"/>
      <c r="AE56" s="202" t="s">
        <v>133</v>
      </c>
      <c r="AF56" s="155" t="str">
        <f>IF(AE56="No of Seats","No of Seats",(IF(AE56="Space","Sq Ft","")))</f>
        <v>No of Seats</v>
      </c>
      <c r="AG56" s="154">
        <v>2</v>
      </c>
      <c r="AH56" s="154"/>
      <c r="AI56" s="154">
        <v>2</v>
      </c>
      <c r="AJ56" s="154"/>
      <c r="AK56" s="154"/>
      <c r="AL56" s="185">
        <f>190000/12</f>
        <v>15833.333333333334</v>
      </c>
      <c r="AM56" s="85">
        <f t="shared" si="47"/>
        <v>143333.33333333334</v>
      </c>
      <c r="AN56" s="85">
        <f t="shared" si="48"/>
        <v>0</v>
      </c>
      <c r="AO56" s="85">
        <f t="shared" si="49"/>
        <v>0</v>
      </c>
      <c r="AP56" s="85">
        <f t="shared" si="50"/>
        <v>0</v>
      </c>
      <c r="AQ56" s="86">
        <f>12500+10000+100000</f>
        <v>122500</v>
      </c>
      <c r="AR56" s="87">
        <f t="shared" si="51"/>
        <v>0</v>
      </c>
      <c r="AS56" s="87">
        <f t="shared" si="52"/>
        <v>0</v>
      </c>
      <c r="AT56" s="87" t="s">
        <v>134</v>
      </c>
      <c r="AU56" s="71"/>
      <c r="AV56" s="195">
        <v>43484</v>
      </c>
      <c r="AW56" s="71">
        <v>1</v>
      </c>
      <c r="AX56" s="195">
        <v>43818</v>
      </c>
      <c r="AY56" s="71"/>
      <c r="BA56" s="86">
        <f t="shared" si="53"/>
        <v>0</v>
      </c>
      <c r="BB56" s="86">
        <f t="shared" si="54"/>
        <v>0</v>
      </c>
      <c r="BC56" s="86">
        <f t="shared" si="55"/>
        <v>-33940.449423333339</v>
      </c>
      <c r="BD56" s="86">
        <f t="shared" si="56"/>
        <v>-33940.449423333339</v>
      </c>
      <c r="BE56" s="86">
        <f t="shared" si="57"/>
        <v>61244.054666666671</v>
      </c>
      <c r="BF56" s="86"/>
      <c r="BG56" s="95">
        <f t="shared" si="58"/>
        <v>143333.33333333334</v>
      </c>
      <c r="BH56" s="95">
        <f t="shared" si="59"/>
        <v>122488.10933333334</v>
      </c>
      <c r="BI56" s="95">
        <f t="shared" si="60"/>
        <v>20845.224000000002</v>
      </c>
      <c r="BJ56" s="93">
        <f t="shared" si="23"/>
        <v>211214.23218000002</v>
      </c>
      <c r="BK56" s="93">
        <f t="shared" si="24"/>
        <v>211214.23218000002</v>
      </c>
      <c r="BL56" s="93">
        <f t="shared" si="61"/>
        <v>20845.224000000002</v>
      </c>
      <c r="BM56" s="93">
        <f t="shared" si="62"/>
        <v>-67880.898846666678</v>
      </c>
      <c r="BN56" s="93">
        <f t="shared" si="63"/>
        <v>12000</v>
      </c>
      <c r="BO56" s="93">
        <f t="shared" si="64"/>
        <v>110488.10933333334</v>
      </c>
      <c r="BP56" s="93">
        <f t="shared" si="65"/>
        <v>-190369.00818</v>
      </c>
      <c r="BQ56" s="93">
        <f t="shared" si="66"/>
        <v>-79880.898846666663</v>
      </c>
      <c r="BR56" s="93">
        <f t="shared" si="67"/>
        <v>2</v>
      </c>
      <c r="BS56" s="93">
        <f t="shared" si="68"/>
        <v>-33940.449423333339</v>
      </c>
      <c r="BT56" s="93">
        <f t="shared" si="69"/>
        <v>-190369.00818</v>
      </c>
      <c r="BU56" s="93">
        <f t="shared" si="70"/>
        <v>110488.10933333334</v>
      </c>
      <c r="BV56" s="93">
        <f t="shared" si="71"/>
        <v>-79880.898846666663</v>
      </c>
      <c r="BW56" s="93">
        <f t="shared" si="72"/>
        <v>-95184.504090000002</v>
      </c>
      <c r="BX56" s="93">
        <f t="shared" si="73"/>
        <v>55244.054666666671</v>
      </c>
      <c r="BY56" s="93">
        <f t="shared" si="74"/>
        <v>-39940.449423333332</v>
      </c>
    </row>
    <row r="57" spans="1:77" ht="14.4" x14ac:dyDescent="0.3">
      <c r="A57" s="182" t="s">
        <v>136</v>
      </c>
      <c r="B57" s="154" t="s">
        <v>180</v>
      </c>
      <c r="C57" s="154" t="s">
        <v>115</v>
      </c>
      <c r="D57" s="183" t="s">
        <v>116</v>
      </c>
      <c r="E57" s="154" t="s">
        <v>117</v>
      </c>
      <c r="F57" s="154" t="s">
        <v>118</v>
      </c>
      <c r="G57" s="155" t="str">
        <f t="shared" si="76"/>
        <v>No of Racks</v>
      </c>
      <c r="H57" s="154">
        <v>1</v>
      </c>
      <c r="I57" s="154">
        <v>1</v>
      </c>
      <c r="J57" s="184">
        <f t="shared" si="75"/>
        <v>0</v>
      </c>
      <c r="K57" s="154">
        <v>1</v>
      </c>
      <c r="L57" s="154"/>
      <c r="M57" s="185">
        <f>600000/12</f>
        <v>50000</v>
      </c>
      <c r="N57" s="186">
        <f t="shared" si="45"/>
        <v>600000</v>
      </c>
      <c r="O57" s="187" t="str">
        <f t="shared" ref="O57:O72" si="77">C57</f>
        <v>Subscribed</v>
      </c>
      <c r="P57" s="154" t="s">
        <v>125</v>
      </c>
      <c r="Q57" s="154">
        <v>6</v>
      </c>
      <c r="R57" s="239">
        <v>13.03</v>
      </c>
      <c r="S57" s="189">
        <f t="shared" si="41"/>
        <v>-7.0299999999999994</v>
      </c>
      <c r="T57" s="154"/>
      <c r="U57" s="190">
        <f t="shared" si="5"/>
        <v>0</v>
      </c>
      <c r="V57" s="190">
        <f t="shared" si="6"/>
        <v>6</v>
      </c>
      <c r="W57" s="240">
        <f t="shared" si="44"/>
        <v>13.03</v>
      </c>
      <c r="X57" s="190">
        <f>S57*-1</f>
        <v>7.0299999999999994</v>
      </c>
      <c r="Y57" s="85">
        <f>90000/12</f>
        <v>7500</v>
      </c>
      <c r="Z57" s="193" t="str">
        <f t="shared" si="46"/>
        <v>Bundled</v>
      </c>
      <c r="AA57" s="154"/>
      <c r="AB57" s="190"/>
      <c r="AC57" s="194"/>
      <c r="AD57" s="149">
        <v>1237.8</v>
      </c>
      <c r="AE57" s="122"/>
      <c r="AF57" s="155" t="str">
        <f>IF(AE57="No of Seats","No of Seats",(IF(AE57="Space","Sq Ft","")))</f>
        <v/>
      </c>
      <c r="AG57" s="154"/>
      <c r="AH57" s="154"/>
      <c r="AI57" s="154"/>
      <c r="AJ57" s="154"/>
      <c r="AK57" s="154"/>
      <c r="AL57" s="185"/>
      <c r="AM57" s="85">
        <f t="shared" si="47"/>
        <v>50000</v>
      </c>
      <c r="AN57" s="85">
        <f t="shared" si="48"/>
        <v>52724.999999999993</v>
      </c>
      <c r="AO57" s="85">
        <f t="shared" si="49"/>
        <v>0</v>
      </c>
      <c r="AP57" s="85">
        <f t="shared" si="50"/>
        <v>0</v>
      </c>
      <c r="AQ57" s="86"/>
      <c r="AR57" s="87">
        <f t="shared" si="51"/>
        <v>0</v>
      </c>
      <c r="AS57" s="88">
        <f t="shared" si="52"/>
        <v>0</v>
      </c>
      <c r="AT57" s="87" t="s">
        <v>119</v>
      </c>
      <c r="AU57" s="71">
        <v>721004242</v>
      </c>
      <c r="AV57" s="195">
        <v>42720</v>
      </c>
      <c r="AW57" s="71">
        <v>3</v>
      </c>
      <c r="AX57" s="195">
        <v>43770</v>
      </c>
      <c r="AY57" s="71"/>
      <c r="BA57" s="86">
        <f t="shared" si="53"/>
        <v>0</v>
      </c>
      <c r="BB57" s="86">
        <f t="shared" si="54"/>
        <v>0</v>
      </c>
      <c r="BC57" s="86">
        <f t="shared" si="55"/>
        <v>14159.643716939891</v>
      </c>
      <c r="BD57" s="86">
        <f t="shared" si="56"/>
        <v>14159.643716939891</v>
      </c>
      <c r="BE57" s="86">
        <f t="shared" si="57"/>
        <v>6698.221333333332</v>
      </c>
      <c r="BF57" s="86"/>
      <c r="BG57" s="92">
        <f t="shared" si="58"/>
        <v>102725</v>
      </c>
      <c r="BH57" s="92">
        <f t="shared" si="59"/>
        <v>40189.327999999994</v>
      </c>
      <c r="BI57" s="92">
        <f t="shared" si="60"/>
        <v>62535.672000000006</v>
      </c>
      <c r="BJ57" s="93">
        <f t="shared" si="23"/>
        <v>17767.137698360657</v>
      </c>
      <c r="BK57" s="93">
        <f t="shared" si="24"/>
        <v>17767.137698360657</v>
      </c>
      <c r="BL57" s="93">
        <f t="shared" si="61"/>
        <v>62535.672000000006</v>
      </c>
      <c r="BM57" s="93">
        <f t="shared" si="62"/>
        <v>84957.862301639339</v>
      </c>
      <c r="BN57" s="93">
        <f t="shared" si="63"/>
        <v>36000</v>
      </c>
      <c r="BO57" s="93">
        <f t="shared" si="64"/>
        <v>4189.3279999999941</v>
      </c>
      <c r="BP57" s="93">
        <f t="shared" si="65"/>
        <v>44768.534301639345</v>
      </c>
      <c r="BQ57" s="93">
        <f t="shared" si="66"/>
        <v>48957.862301639339</v>
      </c>
      <c r="BR57" s="93">
        <f t="shared" si="67"/>
        <v>6</v>
      </c>
      <c r="BS57" s="93">
        <f t="shared" si="68"/>
        <v>14159.643716939891</v>
      </c>
      <c r="BT57" s="93">
        <f t="shared" si="69"/>
        <v>44768.534301639345</v>
      </c>
      <c r="BU57" s="93">
        <f t="shared" si="70"/>
        <v>4189.3279999999922</v>
      </c>
      <c r="BV57" s="93">
        <f t="shared" si="71"/>
        <v>48957.862301639339</v>
      </c>
      <c r="BW57" s="93">
        <f t="shared" si="72"/>
        <v>7461.4223836065576</v>
      </c>
      <c r="BX57" s="93">
        <f t="shared" si="73"/>
        <v>698.22133333333204</v>
      </c>
      <c r="BY57" s="93">
        <f t="shared" si="74"/>
        <v>8159.6437169398896</v>
      </c>
    </row>
    <row r="58" spans="1:77" ht="14.4" x14ac:dyDescent="0.3">
      <c r="A58" s="182" t="s">
        <v>136</v>
      </c>
      <c r="B58" s="204" t="s">
        <v>181</v>
      </c>
      <c r="C58" s="154" t="s">
        <v>115</v>
      </c>
      <c r="D58" s="183" t="s">
        <v>130</v>
      </c>
      <c r="E58" s="154" t="s">
        <v>117</v>
      </c>
      <c r="F58" s="154" t="s">
        <v>131</v>
      </c>
      <c r="G58" s="155" t="str">
        <f t="shared" si="76"/>
        <v>No of Racks</v>
      </c>
      <c r="H58" s="154">
        <v>6</v>
      </c>
      <c r="I58" s="154">
        <v>6</v>
      </c>
      <c r="J58" s="184">
        <f t="shared" si="75"/>
        <v>0</v>
      </c>
      <c r="K58" s="154">
        <v>6</v>
      </c>
      <c r="L58" s="154"/>
      <c r="M58" s="185">
        <f>225000/12</f>
        <v>18750</v>
      </c>
      <c r="N58" s="186">
        <f t="shared" si="45"/>
        <v>225000</v>
      </c>
      <c r="O58" s="187" t="str">
        <f t="shared" si="77"/>
        <v>Subscribed</v>
      </c>
      <c r="P58" s="154" t="s">
        <v>108</v>
      </c>
      <c r="Q58" s="154">
        <v>15</v>
      </c>
      <c r="R58" s="213">
        <v>13.04</v>
      </c>
      <c r="S58" s="189">
        <f t="shared" si="41"/>
        <v>1.9600000000000009</v>
      </c>
      <c r="T58" s="154"/>
      <c r="U58" s="190">
        <f t="shared" si="5"/>
        <v>1.9600000000000009</v>
      </c>
      <c r="V58" s="190">
        <f t="shared" si="6"/>
        <v>15</v>
      </c>
      <c r="W58" s="206">
        <f t="shared" si="44"/>
        <v>13.04</v>
      </c>
      <c r="X58" s="190">
        <f>S58*-1</f>
        <v>-1.9600000000000009</v>
      </c>
      <c r="Y58" s="85"/>
      <c r="Z58" s="193" t="str">
        <f t="shared" si="46"/>
        <v>Metered</v>
      </c>
      <c r="AA58" s="154"/>
      <c r="AB58" s="183" t="s">
        <v>145</v>
      </c>
      <c r="AC58" s="194">
        <v>16</v>
      </c>
      <c r="AD58" s="149">
        <v>9618.2000000000007</v>
      </c>
      <c r="AE58" s="122"/>
      <c r="AF58" s="155" t="str">
        <f>IF(AE58="No of Seats","No of Seats",(IF(AE58="Space","Sq Ft","")))</f>
        <v/>
      </c>
      <c r="AG58" s="154">
        <v>1</v>
      </c>
      <c r="AH58" s="154">
        <v>1</v>
      </c>
      <c r="AI58" s="154">
        <f>AG58-AH58</f>
        <v>0</v>
      </c>
      <c r="AJ58" s="154">
        <v>1</v>
      </c>
      <c r="AK58" s="154"/>
      <c r="AL58" s="185">
        <f>40000/12</f>
        <v>3333.3333333333335</v>
      </c>
      <c r="AM58" s="85">
        <f t="shared" si="47"/>
        <v>112500</v>
      </c>
      <c r="AN58" s="85">
        <f t="shared" si="48"/>
        <v>0</v>
      </c>
      <c r="AO58" s="85">
        <f t="shared" si="49"/>
        <v>0</v>
      </c>
      <c r="AP58" s="85">
        <f t="shared" si="50"/>
        <v>3333.3333333333335</v>
      </c>
      <c r="AQ58" s="86"/>
      <c r="AR58" s="87">
        <f t="shared" si="51"/>
        <v>115833.33333333333</v>
      </c>
      <c r="AS58" s="88">
        <f t="shared" si="52"/>
        <v>1390000</v>
      </c>
      <c r="AT58" s="87" t="s">
        <v>134</v>
      </c>
      <c r="AU58" s="71">
        <v>721005779</v>
      </c>
      <c r="AV58" s="195">
        <v>43118</v>
      </c>
      <c r="AW58" s="71">
        <v>4.5</v>
      </c>
      <c r="AX58" s="195">
        <v>43242</v>
      </c>
      <c r="AY58" s="71"/>
      <c r="BA58" s="86">
        <f t="shared" si="53"/>
        <v>19305.555555555555</v>
      </c>
      <c r="BB58" s="86">
        <f t="shared" si="54"/>
        <v>7722.2222222222217</v>
      </c>
      <c r="BC58" s="86">
        <f t="shared" si="55"/>
        <v>-1703.8500463387986</v>
      </c>
      <c r="BD58" s="86">
        <f t="shared" si="56"/>
        <v>-1703.8500463387986</v>
      </c>
      <c r="BE58" s="86">
        <f t="shared" si="57"/>
        <v>-1359.2202000000009</v>
      </c>
      <c r="BF58" s="86"/>
      <c r="BG58" s="92">
        <f t="shared" si="58"/>
        <v>112500</v>
      </c>
      <c r="BH58" s="92">
        <f t="shared" si="59"/>
        <v>112500</v>
      </c>
      <c r="BI58" s="92">
        <f t="shared" si="60"/>
        <v>0</v>
      </c>
      <c r="BJ58" s="93">
        <f t="shared" si="23"/>
        <v>138057.75069508198</v>
      </c>
      <c r="BK58" s="93">
        <f t="shared" si="24"/>
        <v>138057.75069508198</v>
      </c>
      <c r="BL58" s="93">
        <f t="shared" si="61"/>
        <v>132888.30300000001</v>
      </c>
      <c r="BM58" s="93">
        <f t="shared" si="62"/>
        <v>-25557.750695081981</v>
      </c>
      <c r="BN58" s="93">
        <f t="shared" si="63"/>
        <v>90000</v>
      </c>
      <c r="BO58" s="93">
        <f t="shared" si="64"/>
        <v>22500</v>
      </c>
      <c r="BP58" s="93">
        <f t="shared" si="65"/>
        <v>-138057.75069508198</v>
      </c>
      <c r="BQ58" s="93">
        <f t="shared" si="66"/>
        <v>-115557.75069508198</v>
      </c>
      <c r="BR58" s="93">
        <f t="shared" si="67"/>
        <v>15</v>
      </c>
      <c r="BS58" s="93">
        <f t="shared" si="68"/>
        <v>-1703.8500463387986</v>
      </c>
      <c r="BT58" s="93">
        <f t="shared" si="69"/>
        <v>-138057.75069508198</v>
      </c>
      <c r="BU58" s="93">
        <f t="shared" si="70"/>
        <v>22500</v>
      </c>
      <c r="BV58" s="93">
        <f t="shared" si="71"/>
        <v>-115557.75069508198</v>
      </c>
      <c r="BW58" s="93">
        <f t="shared" si="72"/>
        <v>-9203.8500463387991</v>
      </c>
      <c r="BX58" s="93">
        <f t="shared" si="73"/>
        <v>1500</v>
      </c>
      <c r="BY58" s="93">
        <f t="shared" si="74"/>
        <v>-7703.8500463387991</v>
      </c>
    </row>
    <row r="59" spans="1:77" ht="14.4" x14ac:dyDescent="0.3">
      <c r="A59" s="154" t="s">
        <v>158</v>
      </c>
      <c r="B59" s="154" t="s">
        <v>182</v>
      </c>
      <c r="C59" s="154" t="s">
        <v>124</v>
      </c>
      <c r="D59" s="183" t="s">
        <v>116</v>
      </c>
      <c r="E59" s="154" t="s">
        <v>117</v>
      </c>
      <c r="F59" s="154" t="s">
        <v>118</v>
      </c>
      <c r="G59" s="155" t="str">
        <f t="shared" si="76"/>
        <v>No of Racks</v>
      </c>
      <c r="H59" s="154">
        <v>2</v>
      </c>
      <c r="I59" s="154">
        <v>2</v>
      </c>
      <c r="J59" s="184">
        <f t="shared" si="75"/>
        <v>0</v>
      </c>
      <c r="K59" s="154">
        <v>2</v>
      </c>
      <c r="L59" s="154"/>
      <c r="M59" s="185">
        <f>600000/12</f>
        <v>50000</v>
      </c>
      <c r="N59" s="186">
        <f t="shared" si="45"/>
        <v>600000</v>
      </c>
      <c r="O59" s="187" t="str">
        <f t="shared" si="77"/>
        <v>Rated</v>
      </c>
      <c r="P59" s="154" t="s">
        <v>125</v>
      </c>
      <c r="Q59" s="154">
        <v>7</v>
      </c>
      <c r="R59" s="227">
        <v>1</v>
      </c>
      <c r="S59" s="189">
        <f t="shared" si="41"/>
        <v>6</v>
      </c>
      <c r="T59" s="154"/>
      <c r="U59" s="190">
        <f t="shared" si="5"/>
        <v>3</v>
      </c>
      <c r="V59" s="190">
        <f t="shared" si="6"/>
        <v>3.5</v>
      </c>
      <c r="W59" s="154">
        <v>1</v>
      </c>
      <c r="X59" s="190"/>
      <c r="Y59" s="85"/>
      <c r="Z59" s="193" t="str">
        <f t="shared" si="46"/>
        <v>Bundled</v>
      </c>
      <c r="AA59" s="154"/>
      <c r="AB59" s="190"/>
      <c r="AC59" s="194"/>
      <c r="AD59" s="241">
        <v>158430</v>
      </c>
      <c r="AE59" s="122"/>
      <c r="AF59" s="155"/>
      <c r="AG59" s="154"/>
      <c r="AH59" s="154"/>
      <c r="AI59" s="154"/>
      <c r="AJ59" s="154"/>
      <c r="AK59" s="154"/>
      <c r="AL59" s="185"/>
      <c r="AM59" s="85">
        <f t="shared" si="47"/>
        <v>100000</v>
      </c>
      <c r="AN59" s="85">
        <f t="shared" si="48"/>
        <v>0</v>
      </c>
      <c r="AO59" s="85">
        <f t="shared" si="49"/>
        <v>0</v>
      </c>
      <c r="AP59" s="85">
        <f t="shared" si="50"/>
        <v>0</v>
      </c>
      <c r="AQ59" s="86"/>
      <c r="AR59" s="87">
        <f t="shared" si="51"/>
        <v>0</v>
      </c>
      <c r="AS59" s="88">
        <f t="shared" si="52"/>
        <v>0</v>
      </c>
      <c r="AT59" s="87" t="s">
        <v>134</v>
      </c>
      <c r="AU59" s="71">
        <v>721004950</v>
      </c>
      <c r="AV59" s="195">
        <v>42783</v>
      </c>
      <c r="AW59" s="71">
        <v>3</v>
      </c>
      <c r="AX59" s="195">
        <v>43848</v>
      </c>
      <c r="AY59" s="71" t="s">
        <v>183</v>
      </c>
      <c r="BA59" s="86">
        <f t="shared" si="53"/>
        <v>0</v>
      </c>
      <c r="BB59" s="86">
        <f t="shared" si="54"/>
        <v>0</v>
      </c>
      <c r="BC59" s="86">
        <f t="shared" si="55"/>
        <v>-621163.72955503513</v>
      </c>
      <c r="BD59" s="86">
        <f t="shared" si="56"/>
        <v>-621163.72955503513</v>
      </c>
      <c r="BE59" s="86">
        <f t="shared" si="57"/>
        <v>18148.816571428568</v>
      </c>
      <c r="BF59" s="86"/>
      <c r="BG59" s="92">
        <f t="shared" si="58"/>
        <v>100000</v>
      </c>
      <c r="BH59" s="92">
        <f t="shared" si="59"/>
        <v>63520.857999999993</v>
      </c>
      <c r="BI59" s="92">
        <f t="shared" si="60"/>
        <v>36479.142000000007</v>
      </c>
      <c r="BJ59" s="93">
        <f t="shared" si="23"/>
        <v>2274073.053442623</v>
      </c>
      <c r="BK59" s="93">
        <f t="shared" si="24"/>
        <v>2274073.053442623</v>
      </c>
      <c r="BL59" s="93">
        <f t="shared" si="61"/>
        <v>36479.142000000007</v>
      </c>
      <c r="BM59" s="93">
        <f t="shared" si="62"/>
        <v>-2174073.053442623</v>
      </c>
      <c r="BN59" s="93">
        <f t="shared" si="63"/>
        <v>21000</v>
      </c>
      <c r="BO59" s="93">
        <f t="shared" si="64"/>
        <v>42520.857999999993</v>
      </c>
      <c r="BP59" s="93">
        <f t="shared" si="65"/>
        <v>-2237593.911442623</v>
      </c>
      <c r="BQ59" s="93">
        <f t="shared" si="66"/>
        <v>-2195073.053442623</v>
      </c>
      <c r="BR59" s="93">
        <f t="shared" si="67"/>
        <v>3.5</v>
      </c>
      <c r="BS59" s="93">
        <f t="shared" si="68"/>
        <v>-621163.72955503513</v>
      </c>
      <c r="BT59" s="93">
        <f t="shared" si="69"/>
        <v>-2237593.911442623</v>
      </c>
      <c r="BU59" s="93">
        <f t="shared" si="70"/>
        <v>42520.857999999986</v>
      </c>
      <c r="BV59" s="93">
        <f t="shared" si="71"/>
        <v>-2195073.053442623</v>
      </c>
      <c r="BW59" s="93">
        <f t="shared" si="72"/>
        <v>-639312.54612646368</v>
      </c>
      <c r="BX59" s="93">
        <f t="shared" si="73"/>
        <v>12148.816571428568</v>
      </c>
      <c r="BY59" s="93">
        <f t="shared" si="74"/>
        <v>-627163.72955503513</v>
      </c>
    </row>
    <row r="60" spans="1:77" ht="14.4" x14ac:dyDescent="0.3">
      <c r="A60" s="182" t="s">
        <v>136</v>
      </c>
      <c r="B60" s="204" t="s">
        <v>184</v>
      </c>
      <c r="C60" s="154" t="s">
        <v>124</v>
      </c>
      <c r="D60" s="183" t="s">
        <v>116</v>
      </c>
      <c r="E60" s="154" t="s">
        <v>117</v>
      </c>
      <c r="F60" s="154" t="s">
        <v>118</v>
      </c>
      <c r="G60" s="155" t="str">
        <f t="shared" si="76"/>
        <v>No of Racks</v>
      </c>
      <c r="H60" s="154">
        <v>2</v>
      </c>
      <c r="I60" s="154">
        <v>2</v>
      </c>
      <c r="J60" s="184">
        <f t="shared" si="75"/>
        <v>0</v>
      </c>
      <c r="K60" s="154">
        <v>2</v>
      </c>
      <c r="L60" s="154"/>
      <c r="M60" s="185">
        <f>(620000)/12</f>
        <v>51666.666666666664</v>
      </c>
      <c r="N60" s="186">
        <f t="shared" si="45"/>
        <v>620000</v>
      </c>
      <c r="O60" s="187" t="str">
        <f t="shared" si="77"/>
        <v>Rated</v>
      </c>
      <c r="P60" s="154" t="s">
        <v>125</v>
      </c>
      <c r="Q60" s="154">
        <v>12</v>
      </c>
      <c r="R60" s="242">
        <v>0</v>
      </c>
      <c r="S60" s="189">
        <f t="shared" si="41"/>
        <v>12</v>
      </c>
      <c r="T60" s="154"/>
      <c r="U60" s="190">
        <f t="shared" si="5"/>
        <v>6</v>
      </c>
      <c r="V60" s="190">
        <f t="shared" si="6"/>
        <v>6</v>
      </c>
      <c r="W60" s="240">
        <f>R60</f>
        <v>0</v>
      </c>
      <c r="X60" s="190">
        <f>S60*-1</f>
        <v>-12</v>
      </c>
      <c r="Y60" s="85">
        <f>95000/12</f>
        <v>7916.666666666667</v>
      </c>
      <c r="Z60" s="193" t="str">
        <f t="shared" si="46"/>
        <v>Bundled</v>
      </c>
      <c r="AA60" s="154"/>
      <c r="AB60" s="190"/>
      <c r="AC60" s="194"/>
      <c r="AD60" s="203"/>
      <c r="AE60" s="122"/>
      <c r="AF60" s="155"/>
      <c r="AG60" s="154"/>
      <c r="AH60" s="154"/>
      <c r="AI60" s="154"/>
      <c r="AJ60" s="154"/>
      <c r="AK60" s="154"/>
      <c r="AL60" s="185"/>
      <c r="AM60" s="85">
        <f t="shared" si="47"/>
        <v>103333.33333333333</v>
      </c>
      <c r="AN60" s="85">
        <f t="shared" si="48"/>
        <v>-95000</v>
      </c>
      <c r="AO60" s="85">
        <f t="shared" si="49"/>
        <v>0</v>
      </c>
      <c r="AP60" s="85">
        <f t="shared" si="50"/>
        <v>0</v>
      </c>
      <c r="AQ60" s="86">
        <f>(32000+120000+12000+200000)/12</f>
        <v>30333.333333333332</v>
      </c>
      <c r="AR60" s="87">
        <f t="shared" si="51"/>
        <v>0</v>
      </c>
      <c r="AS60" s="88">
        <f t="shared" si="52"/>
        <v>0</v>
      </c>
      <c r="AT60" s="87" t="s">
        <v>134</v>
      </c>
      <c r="AU60" s="71" t="s">
        <v>185</v>
      </c>
      <c r="AV60" s="195">
        <v>42811</v>
      </c>
      <c r="AW60" s="71">
        <v>1</v>
      </c>
      <c r="AX60" s="195">
        <v>43149</v>
      </c>
      <c r="AY60" s="71" t="s">
        <v>186</v>
      </c>
      <c r="BA60" s="86">
        <f t="shared" si="53"/>
        <v>0</v>
      </c>
      <c r="BB60" s="86">
        <f t="shared" si="54"/>
        <v>0</v>
      </c>
      <c r="BC60" s="86">
        <f t="shared" si="55"/>
        <v>1388.888888888888</v>
      </c>
      <c r="BD60" s="86">
        <f t="shared" si="56"/>
        <v>-9033.7231111111123</v>
      </c>
      <c r="BE60" s="86">
        <f t="shared" si="57"/>
        <v>-9033.7231111111123</v>
      </c>
      <c r="BF60" s="86"/>
      <c r="BG60" s="92">
        <f t="shared" si="58"/>
        <v>8333.3333333333285</v>
      </c>
      <c r="BH60" s="92">
        <f t="shared" si="59"/>
        <v>0</v>
      </c>
      <c r="BI60" s="92">
        <f t="shared" si="60"/>
        <v>8333.3333333333285</v>
      </c>
      <c r="BJ60" s="93">
        <f t="shared" si="23"/>
        <v>0</v>
      </c>
      <c r="BK60" s="93">
        <f t="shared" si="24"/>
        <v>62535.672000000006</v>
      </c>
      <c r="BL60" s="93">
        <f t="shared" si="61"/>
        <v>62535.672000000006</v>
      </c>
      <c r="BM60" s="93">
        <f t="shared" si="62"/>
        <v>8333.3333333333285</v>
      </c>
      <c r="BN60" s="93">
        <f t="shared" si="63"/>
        <v>36000</v>
      </c>
      <c r="BO60" s="93">
        <f t="shared" si="64"/>
        <v>-36000</v>
      </c>
      <c r="BP60" s="93">
        <f t="shared" si="65"/>
        <v>8333.3333333333285</v>
      </c>
      <c r="BQ60" s="93">
        <f t="shared" si="66"/>
        <v>-27666.666666666672</v>
      </c>
      <c r="BR60" s="93">
        <f t="shared" si="67"/>
        <v>6</v>
      </c>
      <c r="BS60" s="93">
        <f t="shared" si="68"/>
        <v>1388.888888888888</v>
      </c>
      <c r="BT60" s="93">
        <f t="shared" si="69"/>
        <v>62535.672000000006</v>
      </c>
      <c r="BU60" s="93">
        <f t="shared" si="70"/>
        <v>-90202.338666666677</v>
      </c>
      <c r="BV60" s="93">
        <f t="shared" si="71"/>
        <v>-27666.666666666672</v>
      </c>
      <c r="BW60" s="93">
        <f t="shared" si="72"/>
        <v>10422.612000000001</v>
      </c>
      <c r="BX60" s="93">
        <f t="shared" si="73"/>
        <v>-15033.723111111112</v>
      </c>
      <c r="BY60" s="93">
        <f t="shared" si="74"/>
        <v>-4611.1111111111122</v>
      </c>
    </row>
    <row r="61" spans="1:77" ht="14.4" x14ac:dyDescent="0.3">
      <c r="A61" s="182" t="s">
        <v>136</v>
      </c>
      <c r="B61" s="182" t="s">
        <v>187</v>
      </c>
      <c r="C61" s="154" t="s">
        <v>124</v>
      </c>
      <c r="D61" s="183" t="s">
        <v>116</v>
      </c>
      <c r="E61" s="154" t="s">
        <v>117</v>
      </c>
      <c r="F61" s="154" t="s">
        <v>131</v>
      </c>
      <c r="G61" s="155" t="str">
        <f t="shared" si="76"/>
        <v>No of Racks</v>
      </c>
      <c r="H61" s="154">
        <v>6</v>
      </c>
      <c r="I61" s="154">
        <v>6</v>
      </c>
      <c r="J61" s="184">
        <f t="shared" si="75"/>
        <v>0</v>
      </c>
      <c r="K61" s="154">
        <v>6</v>
      </c>
      <c r="L61" s="154"/>
      <c r="M61" s="185">
        <f>(600000)/12</f>
        <v>50000</v>
      </c>
      <c r="N61" s="186">
        <f t="shared" si="45"/>
        <v>600000</v>
      </c>
      <c r="O61" s="187" t="str">
        <f t="shared" si="77"/>
        <v>Rated</v>
      </c>
      <c r="P61" s="154" t="s">
        <v>125</v>
      </c>
      <c r="Q61" s="154">
        <v>36</v>
      </c>
      <c r="R61" s="227">
        <v>49.5</v>
      </c>
      <c r="S61" s="189">
        <f t="shared" si="41"/>
        <v>-13.5</v>
      </c>
      <c r="T61" s="154"/>
      <c r="U61" s="190">
        <f t="shared" si="5"/>
        <v>0</v>
      </c>
      <c r="V61" s="190">
        <f t="shared" si="6"/>
        <v>18</v>
      </c>
      <c r="W61" s="240">
        <f>R61</f>
        <v>49.5</v>
      </c>
      <c r="X61" s="190">
        <f>S61*-1</f>
        <v>13.5</v>
      </c>
      <c r="Y61" s="85">
        <f>90000/12</f>
        <v>7500</v>
      </c>
      <c r="Z61" s="193" t="str">
        <f t="shared" si="46"/>
        <v>Bundled</v>
      </c>
      <c r="AA61" s="154"/>
      <c r="AB61" s="190"/>
      <c r="AC61" s="194"/>
      <c r="AD61" s="203"/>
      <c r="AE61" s="122"/>
      <c r="AF61" s="155"/>
      <c r="AG61" s="154"/>
      <c r="AH61" s="154"/>
      <c r="AI61" s="154"/>
      <c r="AJ61" s="154"/>
      <c r="AK61" s="154"/>
      <c r="AL61" s="185"/>
      <c r="AM61" s="85">
        <f t="shared" si="47"/>
        <v>300000</v>
      </c>
      <c r="AN61" s="85">
        <f t="shared" si="48"/>
        <v>101250</v>
      </c>
      <c r="AO61" s="85">
        <f t="shared" si="49"/>
        <v>0</v>
      </c>
      <c r="AP61" s="85">
        <f t="shared" si="50"/>
        <v>0</v>
      </c>
      <c r="AQ61" s="86">
        <f>10000+10000/12</f>
        <v>10833.333333333334</v>
      </c>
      <c r="AR61" s="87">
        <f t="shared" si="51"/>
        <v>0</v>
      </c>
      <c r="AS61" s="88">
        <f t="shared" si="52"/>
        <v>0</v>
      </c>
      <c r="AT61" s="87" t="s">
        <v>134</v>
      </c>
      <c r="AU61" s="71">
        <v>721005411</v>
      </c>
      <c r="AV61" s="195">
        <v>42995</v>
      </c>
      <c r="AW61" s="71">
        <v>5</v>
      </c>
      <c r="AX61" s="195">
        <v>44774</v>
      </c>
      <c r="AY61" s="71" t="s">
        <v>188</v>
      </c>
      <c r="BA61" s="86">
        <f t="shared" si="53"/>
        <v>0</v>
      </c>
      <c r="BB61" s="86">
        <f t="shared" si="54"/>
        <v>0</v>
      </c>
      <c r="BC61" s="86">
        <f t="shared" si="55"/>
        <v>-6370.5163333333367</v>
      </c>
      <c r="BD61" s="86">
        <f t="shared" si="56"/>
        <v>-6370.5163333333367</v>
      </c>
      <c r="BE61" s="86">
        <f t="shared" si="57"/>
        <v>11869.054666666667</v>
      </c>
      <c r="BF61" s="86"/>
      <c r="BG61" s="92">
        <f t="shared" si="58"/>
        <v>401250</v>
      </c>
      <c r="BH61" s="92">
        <f t="shared" si="59"/>
        <v>213642.984</v>
      </c>
      <c r="BI61" s="92">
        <f t="shared" si="60"/>
        <v>187607.016</v>
      </c>
      <c r="BJ61" s="93">
        <f t="shared" si="23"/>
        <v>515919.29400000005</v>
      </c>
      <c r="BK61" s="93">
        <f t="shared" si="24"/>
        <v>515919.29400000005</v>
      </c>
      <c r="BL61" s="93">
        <f t="shared" si="61"/>
        <v>187607.016</v>
      </c>
      <c r="BM61" s="93">
        <f t="shared" si="62"/>
        <v>-114669.29400000005</v>
      </c>
      <c r="BN61" s="93">
        <f t="shared" si="63"/>
        <v>108000</v>
      </c>
      <c r="BO61" s="93">
        <f t="shared" si="64"/>
        <v>105642.984</v>
      </c>
      <c r="BP61" s="93">
        <f t="shared" si="65"/>
        <v>-328312.27800000005</v>
      </c>
      <c r="BQ61" s="93">
        <f t="shared" si="66"/>
        <v>-222669.29400000005</v>
      </c>
      <c r="BR61" s="93">
        <f t="shared" si="67"/>
        <v>18</v>
      </c>
      <c r="BS61" s="93">
        <f t="shared" si="68"/>
        <v>-6370.5163333333367</v>
      </c>
      <c r="BT61" s="93">
        <f t="shared" si="69"/>
        <v>-328312.27800000005</v>
      </c>
      <c r="BU61" s="93">
        <f t="shared" si="70"/>
        <v>105642.984</v>
      </c>
      <c r="BV61" s="93">
        <f t="shared" si="71"/>
        <v>-222669.29400000005</v>
      </c>
      <c r="BW61" s="93">
        <f t="shared" si="72"/>
        <v>-18239.571000000004</v>
      </c>
      <c r="BX61" s="93">
        <f t="shared" si="73"/>
        <v>5869.0546666666669</v>
      </c>
      <c r="BY61" s="93">
        <f t="shared" si="74"/>
        <v>-12370.516333333337</v>
      </c>
    </row>
    <row r="62" spans="1:77" ht="14.4" x14ac:dyDescent="0.3">
      <c r="A62" s="154" t="s">
        <v>158</v>
      </c>
      <c r="B62" s="154" t="s">
        <v>189</v>
      </c>
      <c r="C62" s="154" t="s">
        <v>124</v>
      </c>
      <c r="D62" s="183" t="s">
        <v>116</v>
      </c>
      <c r="E62" s="154" t="s">
        <v>117</v>
      </c>
      <c r="F62" s="154" t="s">
        <v>118</v>
      </c>
      <c r="G62" s="155" t="str">
        <f t="shared" si="76"/>
        <v>No of Racks</v>
      </c>
      <c r="H62" s="154">
        <v>1</v>
      </c>
      <c r="I62" s="154">
        <v>1</v>
      </c>
      <c r="J62" s="184">
        <f t="shared" si="75"/>
        <v>0</v>
      </c>
      <c r="K62" s="154">
        <v>1</v>
      </c>
      <c r="L62" s="154"/>
      <c r="M62" s="185">
        <f>425000/12</f>
        <v>35416.666666666664</v>
      </c>
      <c r="N62" s="186">
        <f t="shared" si="45"/>
        <v>425000</v>
      </c>
      <c r="O62" s="187" t="str">
        <f t="shared" si="77"/>
        <v>Rated</v>
      </c>
      <c r="P62" s="154" t="s">
        <v>125</v>
      </c>
      <c r="Q62" s="154">
        <v>3</v>
      </c>
      <c r="R62" s="154">
        <v>0.6</v>
      </c>
      <c r="S62" s="189">
        <f t="shared" si="41"/>
        <v>2.4</v>
      </c>
      <c r="T62" s="154"/>
      <c r="U62" s="190">
        <f t="shared" si="5"/>
        <v>1.2</v>
      </c>
      <c r="V62" s="190">
        <f t="shared" si="6"/>
        <v>1.5</v>
      </c>
      <c r="W62" s="154">
        <v>0.6</v>
      </c>
      <c r="X62" s="190"/>
      <c r="Y62" s="85">
        <f>110000/12</f>
        <v>9166.6666666666661</v>
      </c>
      <c r="Z62" s="193" t="str">
        <f t="shared" si="46"/>
        <v>Bundled</v>
      </c>
      <c r="AA62" s="154"/>
      <c r="AB62" s="190"/>
      <c r="AC62" s="194"/>
      <c r="AD62" s="203"/>
      <c r="AE62" s="122"/>
      <c r="AF62" s="155"/>
      <c r="AG62" s="154"/>
      <c r="AH62" s="154"/>
      <c r="AI62" s="154"/>
      <c r="AJ62" s="154"/>
      <c r="AK62" s="154"/>
      <c r="AL62" s="185"/>
      <c r="AM62" s="85">
        <f t="shared" si="47"/>
        <v>35416.666666666664</v>
      </c>
      <c r="AN62" s="85">
        <f t="shared" si="48"/>
        <v>0</v>
      </c>
      <c r="AO62" s="85">
        <f t="shared" si="49"/>
        <v>0</v>
      </c>
      <c r="AP62" s="85">
        <f t="shared" si="50"/>
        <v>0</v>
      </c>
      <c r="AQ62" s="86"/>
      <c r="AR62" s="87">
        <f t="shared" si="51"/>
        <v>0</v>
      </c>
      <c r="AS62" s="88">
        <f t="shared" si="52"/>
        <v>0</v>
      </c>
      <c r="AT62" s="87" t="s">
        <v>190</v>
      </c>
      <c r="AU62" s="71">
        <v>721004131</v>
      </c>
      <c r="AV62" s="195">
        <v>43602</v>
      </c>
      <c r="AW62" s="71">
        <v>1</v>
      </c>
      <c r="AX62" s="195">
        <v>43969</v>
      </c>
      <c r="AY62" s="71"/>
      <c r="BA62" s="86"/>
      <c r="BB62" s="86"/>
      <c r="BC62" s="86">
        <f t="shared" si="55"/>
        <v>19442.06631111111</v>
      </c>
      <c r="BD62" s="86">
        <f t="shared" si="56"/>
        <v>11103.976711111109</v>
      </c>
      <c r="BE62" s="86">
        <f t="shared" si="57"/>
        <v>13188.499111111109</v>
      </c>
      <c r="BF62" s="86"/>
      <c r="BG62" s="92">
        <f t="shared" si="58"/>
        <v>35416.666666666664</v>
      </c>
      <c r="BH62" s="92">
        <f t="shared" si="59"/>
        <v>19782.748666666663</v>
      </c>
      <c r="BI62" s="92">
        <f t="shared" si="60"/>
        <v>15633.918000000001</v>
      </c>
      <c r="BJ62" s="93">
        <f t="shared" si="23"/>
        <v>6253.5672000000004</v>
      </c>
      <c r="BK62" s="93">
        <f t="shared" si="24"/>
        <v>18760.7016</v>
      </c>
      <c r="BL62" s="93">
        <f t="shared" si="61"/>
        <v>15633.918000000001</v>
      </c>
      <c r="BM62" s="93">
        <f t="shared" si="62"/>
        <v>29163.099466666667</v>
      </c>
      <c r="BN62" s="93">
        <f t="shared" si="63"/>
        <v>9000</v>
      </c>
      <c r="BO62" s="93">
        <f t="shared" si="64"/>
        <v>10782.748666666663</v>
      </c>
      <c r="BP62" s="93">
        <f t="shared" si="65"/>
        <v>9380.3508000000002</v>
      </c>
      <c r="BQ62" s="93">
        <f t="shared" si="66"/>
        <v>20163.099466666663</v>
      </c>
      <c r="BR62" s="93">
        <f t="shared" si="67"/>
        <v>1.5</v>
      </c>
      <c r="BS62" s="93">
        <f t="shared" si="68"/>
        <v>19442.06631111111</v>
      </c>
      <c r="BT62" s="93">
        <f t="shared" si="69"/>
        <v>9380.3508000000002</v>
      </c>
      <c r="BU62" s="93">
        <f t="shared" si="70"/>
        <v>10782.748666666663</v>
      </c>
      <c r="BV62" s="93">
        <f t="shared" si="71"/>
        <v>20163.099466666663</v>
      </c>
      <c r="BW62" s="93">
        <f t="shared" si="72"/>
        <v>6253.5672000000004</v>
      </c>
      <c r="BX62" s="93">
        <f t="shared" si="73"/>
        <v>7188.4991111111085</v>
      </c>
      <c r="BY62" s="93">
        <f t="shared" si="74"/>
        <v>13442.066311111108</v>
      </c>
    </row>
    <row r="63" spans="1:77" ht="18" x14ac:dyDescent="0.3">
      <c r="A63" s="182" t="s">
        <v>136</v>
      </c>
      <c r="B63" s="154" t="s">
        <v>191</v>
      </c>
      <c r="C63" s="154" t="s">
        <v>115</v>
      </c>
      <c r="D63" s="183" t="s">
        <v>130</v>
      </c>
      <c r="E63" s="154" t="s">
        <v>117</v>
      </c>
      <c r="F63" s="154" t="s">
        <v>131</v>
      </c>
      <c r="G63" s="155" t="str">
        <f t="shared" si="76"/>
        <v>No of Racks</v>
      </c>
      <c r="H63" s="154">
        <v>16</v>
      </c>
      <c r="I63" s="154">
        <v>16</v>
      </c>
      <c r="J63" s="184">
        <f t="shared" si="75"/>
        <v>0</v>
      </c>
      <c r="K63" s="154">
        <v>16</v>
      </c>
      <c r="L63" s="154"/>
      <c r="M63" s="185">
        <f>(18200000/65/16)</f>
        <v>17500</v>
      </c>
      <c r="N63" s="85">
        <f t="shared" si="45"/>
        <v>210000</v>
      </c>
      <c r="O63" s="187" t="str">
        <f t="shared" si="77"/>
        <v>Subscribed</v>
      </c>
      <c r="P63" s="154" t="s">
        <v>108</v>
      </c>
      <c r="Q63" s="154">
        <v>48</v>
      </c>
      <c r="R63" s="229">
        <v>49.1</v>
      </c>
      <c r="S63" s="189">
        <f t="shared" si="41"/>
        <v>-1.1000000000000014</v>
      </c>
      <c r="T63" s="154"/>
      <c r="U63" s="190">
        <f t="shared" si="5"/>
        <v>0</v>
      </c>
      <c r="V63" s="190">
        <f t="shared" si="6"/>
        <v>48</v>
      </c>
      <c r="W63" s="206">
        <f>R63</f>
        <v>49.1</v>
      </c>
      <c r="X63" s="190"/>
      <c r="Y63" s="243" t="s">
        <v>192</v>
      </c>
      <c r="Z63" s="193" t="str">
        <f t="shared" si="46"/>
        <v>Metered</v>
      </c>
      <c r="AA63" s="154"/>
      <c r="AB63" s="183" t="s">
        <v>145</v>
      </c>
      <c r="AC63" s="194">
        <v>15</v>
      </c>
      <c r="AD63" s="244">
        <v>0</v>
      </c>
      <c r="AE63" s="122"/>
      <c r="AF63" s="155" t="s">
        <v>133</v>
      </c>
      <c r="AG63" s="154">
        <v>20</v>
      </c>
      <c r="AH63" s="154">
        <v>20</v>
      </c>
      <c r="AI63" s="154">
        <v>0</v>
      </c>
      <c r="AJ63" s="154">
        <v>20</v>
      </c>
      <c r="AK63" s="154"/>
      <c r="AL63" s="185">
        <f>((4333333/10/65)+(80000/12))</f>
        <v>13333.33282051282</v>
      </c>
      <c r="AM63" s="85">
        <f t="shared" si="47"/>
        <v>280000</v>
      </c>
      <c r="AN63" s="85"/>
      <c r="AO63" s="85"/>
      <c r="AP63" s="85"/>
      <c r="AQ63" s="86"/>
      <c r="AR63" s="87">
        <f t="shared" si="51"/>
        <v>280000</v>
      </c>
      <c r="AS63" s="88">
        <f t="shared" si="52"/>
        <v>3360000</v>
      </c>
      <c r="AT63" s="87" t="s">
        <v>168</v>
      </c>
      <c r="AU63" s="71">
        <v>721005781</v>
      </c>
      <c r="AV63" s="195">
        <v>43025</v>
      </c>
      <c r="AW63" s="71">
        <v>6</v>
      </c>
      <c r="AX63" s="195">
        <v>45192</v>
      </c>
      <c r="AY63" s="71"/>
      <c r="BA63" s="86">
        <f>IF(E63="Rack",AR63/H63,0)+IF(E63="U Space",AR63*40/H63,0)+IF(E63="Space",AR63*30/H63,0)</f>
        <v>17500</v>
      </c>
      <c r="BB63" s="86">
        <f>+AR63/V63</f>
        <v>5833.333333333333</v>
      </c>
      <c r="BC63" s="86">
        <f t="shared" si="55"/>
        <v>-4828.130191666668</v>
      </c>
      <c r="BD63" s="86">
        <f t="shared" si="56"/>
        <v>-4828.130191666668</v>
      </c>
      <c r="BE63" s="86">
        <f t="shared" si="57"/>
        <v>-3025.8868666666676</v>
      </c>
      <c r="BF63" s="86"/>
      <c r="BG63" s="92">
        <f t="shared" si="58"/>
        <v>280000</v>
      </c>
      <c r="BH63" s="92">
        <f t="shared" si="59"/>
        <v>280000</v>
      </c>
      <c r="BI63" s="92">
        <f t="shared" si="60"/>
        <v>0</v>
      </c>
      <c r="BJ63" s="93">
        <f t="shared" si="23"/>
        <v>511750.24920000008</v>
      </c>
      <c r="BK63" s="93">
        <f t="shared" si="24"/>
        <v>511750.24920000008</v>
      </c>
      <c r="BL63" s="93">
        <f t="shared" si="61"/>
        <v>425242.56960000005</v>
      </c>
      <c r="BM63" s="93">
        <f t="shared" si="62"/>
        <v>-231750.24920000008</v>
      </c>
      <c r="BN63" s="93">
        <f t="shared" si="63"/>
        <v>288000</v>
      </c>
      <c r="BO63" s="93">
        <f t="shared" si="64"/>
        <v>-8000</v>
      </c>
      <c r="BP63" s="93">
        <f t="shared" si="65"/>
        <v>-511750.24920000008</v>
      </c>
      <c r="BQ63" s="93">
        <f t="shared" si="66"/>
        <v>-519750.24920000008</v>
      </c>
      <c r="BR63" s="93">
        <f t="shared" si="67"/>
        <v>48</v>
      </c>
      <c r="BS63" s="93">
        <f t="shared" si="68"/>
        <v>-4828.130191666668</v>
      </c>
      <c r="BT63" s="93">
        <f t="shared" si="69"/>
        <v>-511750.24920000008</v>
      </c>
      <c r="BU63" s="93">
        <f t="shared" si="70"/>
        <v>-8000</v>
      </c>
      <c r="BV63" s="93">
        <f t="shared" si="71"/>
        <v>-519750.24920000008</v>
      </c>
      <c r="BW63" s="93">
        <f t="shared" si="72"/>
        <v>-10661.463525000001</v>
      </c>
      <c r="BX63" s="93">
        <f t="shared" si="73"/>
        <v>-166.66666666666666</v>
      </c>
      <c r="BY63" s="93">
        <f t="shared" si="74"/>
        <v>-10828.130191666669</v>
      </c>
    </row>
    <row r="64" spans="1:77" ht="15.6" x14ac:dyDescent="0.3">
      <c r="A64" s="182" t="s">
        <v>136</v>
      </c>
      <c r="B64" s="154" t="s">
        <v>191</v>
      </c>
      <c r="C64" s="154" t="s">
        <v>115</v>
      </c>
      <c r="D64" s="183" t="s">
        <v>130</v>
      </c>
      <c r="E64" s="154" t="s">
        <v>117</v>
      </c>
      <c r="F64" s="154" t="s">
        <v>131</v>
      </c>
      <c r="G64" s="155" t="str">
        <f t="shared" si="76"/>
        <v>No of Racks</v>
      </c>
      <c r="H64" s="154">
        <v>1</v>
      </c>
      <c r="I64" s="154">
        <v>1</v>
      </c>
      <c r="J64" s="184">
        <f t="shared" si="75"/>
        <v>0</v>
      </c>
      <c r="K64" s="154">
        <v>1</v>
      </c>
      <c r="L64" s="154"/>
      <c r="M64" s="185">
        <f>(18200000/65/16)</f>
        <v>17500</v>
      </c>
      <c r="N64" s="85">
        <f t="shared" si="45"/>
        <v>210000</v>
      </c>
      <c r="O64" s="187" t="str">
        <f t="shared" si="77"/>
        <v>Subscribed</v>
      </c>
      <c r="P64" s="154" t="s">
        <v>108</v>
      </c>
      <c r="Q64" s="154">
        <v>3</v>
      </c>
      <c r="R64" s="229">
        <v>1.0900000000000001</v>
      </c>
      <c r="S64" s="189">
        <f t="shared" si="41"/>
        <v>1.91</v>
      </c>
      <c r="T64" s="154"/>
      <c r="U64" s="190">
        <f t="shared" si="5"/>
        <v>1.91</v>
      </c>
      <c r="V64" s="190">
        <f t="shared" si="6"/>
        <v>3</v>
      </c>
      <c r="W64" s="206">
        <f>R64</f>
        <v>1.0900000000000001</v>
      </c>
      <c r="X64" s="190"/>
      <c r="Y64" s="243" t="s">
        <v>192</v>
      </c>
      <c r="Z64" s="193" t="str">
        <f t="shared" si="46"/>
        <v>Metered</v>
      </c>
      <c r="AA64" s="154"/>
      <c r="AB64" s="183" t="s">
        <v>145</v>
      </c>
      <c r="AC64" s="194">
        <v>15</v>
      </c>
      <c r="AD64" s="245">
        <v>0</v>
      </c>
      <c r="AE64" s="122"/>
      <c r="AF64" s="155" t="s">
        <v>133</v>
      </c>
      <c r="AG64" s="154"/>
      <c r="AH64" s="154"/>
      <c r="AI64" s="154"/>
      <c r="AJ64" s="154"/>
      <c r="AK64" s="154"/>
      <c r="AL64" s="185"/>
      <c r="AM64" s="85">
        <f t="shared" si="47"/>
        <v>17500</v>
      </c>
      <c r="AN64" s="85"/>
      <c r="AO64" s="85"/>
      <c r="AP64" s="85"/>
      <c r="AQ64" s="86"/>
      <c r="AR64" s="87">
        <f t="shared" si="51"/>
        <v>17500</v>
      </c>
      <c r="AS64" s="88">
        <f t="shared" si="52"/>
        <v>210000</v>
      </c>
      <c r="AT64" s="87" t="s">
        <v>168</v>
      </c>
      <c r="AU64" s="71" t="s">
        <v>193</v>
      </c>
      <c r="AV64" s="195">
        <v>43269</v>
      </c>
      <c r="AW64" s="71">
        <v>1</v>
      </c>
      <c r="AX64" s="195">
        <v>43604</v>
      </c>
      <c r="AY64" s="71"/>
      <c r="BA64" s="86">
        <f>IF(E64="Rack",AR64/H64,0)+IF(E64="U Space",AR64*40/H64,0)+IF(E64="Space",AR64*30/H64,0)</f>
        <v>17500</v>
      </c>
      <c r="BB64" s="86">
        <f>+AR64/V64</f>
        <v>5833.333333333333</v>
      </c>
      <c r="BC64" s="86">
        <f t="shared" si="55"/>
        <v>2046.4509733333325</v>
      </c>
      <c r="BD64" s="86">
        <f t="shared" si="56"/>
        <v>-4589.278666666668</v>
      </c>
      <c r="BE64" s="86">
        <f t="shared" si="57"/>
        <v>-3025.8868666666676</v>
      </c>
      <c r="BF64" s="86"/>
      <c r="BG64" s="92">
        <f t="shared" si="58"/>
        <v>17500</v>
      </c>
      <c r="BH64" s="92">
        <f t="shared" si="59"/>
        <v>17500</v>
      </c>
      <c r="BI64" s="92">
        <f t="shared" si="60"/>
        <v>0</v>
      </c>
      <c r="BJ64" s="93">
        <f t="shared" si="23"/>
        <v>11360.647080000002</v>
      </c>
      <c r="BK64" s="93">
        <f t="shared" si="24"/>
        <v>31267.836000000003</v>
      </c>
      <c r="BL64" s="93">
        <f t="shared" si="61"/>
        <v>26577.660600000003</v>
      </c>
      <c r="BM64" s="93">
        <f t="shared" si="62"/>
        <v>6139.3529199999975</v>
      </c>
      <c r="BN64" s="93">
        <f t="shared" si="63"/>
        <v>18000</v>
      </c>
      <c r="BO64" s="93">
        <f t="shared" si="64"/>
        <v>-500</v>
      </c>
      <c r="BP64" s="93">
        <f t="shared" si="65"/>
        <v>-11360.647080000002</v>
      </c>
      <c r="BQ64" s="93">
        <f t="shared" si="66"/>
        <v>-11860.647080000002</v>
      </c>
      <c r="BR64" s="93">
        <f t="shared" si="67"/>
        <v>3</v>
      </c>
      <c r="BS64" s="93">
        <f t="shared" si="68"/>
        <v>2046.4509733333325</v>
      </c>
      <c r="BT64" s="93">
        <f t="shared" si="69"/>
        <v>-11360.647080000002</v>
      </c>
      <c r="BU64" s="93">
        <f t="shared" si="70"/>
        <v>-500</v>
      </c>
      <c r="BV64" s="93">
        <f t="shared" si="71"/>
        <v>-11860.647080000002</v>
      </c>
      <c r="BW64" s="93">
        <f t="shared" si="72"/>
        <v>-3786.882360000001</v>
      </c>
      <c r="BX64" s="93">
        <f t="shared" si="73"/>
        <v>-166.66666666666666</v>
      </c>
      <c r="BY64" s="93">
        <f t="shared" si="74"/>
        <v>-3953.5490266666675</v>
      </c>
    </row>
    <row r="65" spans="1:256" ht="14.4" x14ac:dyDescent="0.3">
      <c r="A65" s="182" t="s">
        <v>136</v>
      </c>
      <c r="B65" s="154" t="s">
        <v>191</v>
      </c>
      <c r="C65" s="154" t="s">
        <v>115</v>
      </c>
      <c r="D65" s="183" t="s">
        <v>130</v>
      </c>
      <c r="E65" s="154" t="s">
        <v>117</v>
      </c>
      <c r="F65" s="154" t="s">
        <v>131</v>
      </c>
      <c r="G65" s="155" t="str">
        <f t="shared" si="76"/>
        <v>No of Racks</v>
      </c>
      <c r="H65" s="154">
        <v>1</v>
      </c>
      <c r="I65" s="154">
        <v>1</v>
      </c>
      <c r="J65" s="184">
        <f t="shared" si="75"/>
        <v>0</v>
      </c>
      <c r="K65" s="154">
        <v>1</v>
      </c>
      <c r="L65" s="154"/>
      <c r="M65" s="185"/>
      <c r="N65" s="85"/>
      <c r="O65" s="187" t="str">
        <f t="shared" si="77"/>
        <v>Subscribed</v>
      </c>
      <c r="P65" s="154" t="s">
        <v>108</v>
      </c>
      <c r="Q65" s="154">
        <v>3</v>
      </c>
      <c r="R65" s="229">
        <v>0.4</v>
      </c>
      <c r="S65" s="189">
        <f t="shared" si="41"/>
        <v>2.6</v>
      </c>
      <c r="T65" s="154"/>
      <c r="U65" s="190"/>
      <c r="V65" s="190">
        <f t="shared" si="6"/>
        <v>3</v>
      </c>
      <c r="W65" s="206"/>
      <c r="X65" s="190"/>
      <c r="Y65" s="85"/>
      <c r="Z65" s="193"/>
      <c r="AA65" s="154"/>
      <c r="AB65" s="190"/>
      <c r="AC65" s="194"/>
      <c r="AD65" s="232"/>
      <c r="AE65" s="122"/>
      <c r="AF65" s="155"/>
      <c r="AG65" s="154"/>
      <c r="AH65" s="154"/>
      <c r="AI65" s="154"/>
      <c r="AJ65" s="154"/>
      <c r="AK65" s="154"/>
      <c r="AL65" s="185"/>
      <c r="AM65" s="85"/>
      <c r="AN65" s="85"/>
      <c r="AO65" s="85"/>
      <c r="AP65" s="85"/>
      <c r="AQ65" s="86"/>
      <c r="AR65" s="105"/>
      <c r="AS65" s="88"/>
      <c r="AT65" s="87"/>
      <c r="AU65" s="71"/>
      <c r="AV65" s="195"/>
      <c r="AW65" s="71"/>
      <c r="AX65" s="195"/>
      <c r="AY65" s="71"/>
      <c r="BA65" s="86"/>
      <c r="BB65" s="86"/>
      <c r="BC65" s="86"/>
      <c r="BD65" s="86"/>
      <c r="BE65" s="86"/>
      <c r="BF65" s="86"/>
      <c r="BG65" s="92"/>
      <c r="BH65" s="92"/>
      <c r="BI65" s="92"/>
      <c r="BJ65" s="93"/>
      <c r="BK65" s="93"/>
      <c r="BL65" s="93">
        <f t="shared" si="61"/>
        <v>26577.660600000003</v>
      </c>
      <c r="BM65" s="93"/>
      <c r="BN65" s="93">
        <f t="shared" si="63"/>
        <v>18000</v>
      </c>
      <c r="BO65" s="93"/>
      <c r="BP65" s="93"/>
      <c r="BQ65" s="93"/>
      <c r="BR65" s="93">
        <f t="shared" si="67"/>
        <v>3</v>
      </c>
      <c r="BS65" s="93"/>
      <c r="BT65" s="93"/>
      <c r="BU65" s="93"/>
      <c r="BV65" s="93"/>
      <c r="BW65" s="93"/>
      <c r="BX65" s="93"/>
      <c r="BY65" s="93"/>
    </row>
    <row r="66" spans="1:256" ht="14.4" x14ac:dyDescent="0.3">
      <c r="A66" s="182" t="s">
        <v>136</v>
      </c>
      <c r="B66" s="204" t="s">
        <v>194</v>
      </c>
      <c r="C66" s="154" t="s">
        <v>115</v>
      </c>
      <c r="D66" s="183" t="s">
        <v>130</v>
      </c>
      <c r="E66" s="154" t="s">
        <v>117</v>
      </c>
      <c r="F66" s="154" t="s">
        <v>131</v>
      </c>
      <c r="G66" s="155" t="str">
        <f t="shared" si="76"/>
        <v>No of Racks</v>
      </c>
      <c r="H66" s="154">
        <v>18</v>
      </c>
      <c r="I66" s="154">
        <v>18</v>
      </c>
      <c r="J66" s="184">
        <f t="shared" si="75"/>
        <v>0</v>
      </c>
      <c r="K66" s="154">
        <v>18</v>
      </c>
      <c r="L66" s="154"/>
      <c r="M66" s="185">
        <f>288889/12</f>
        <v>24074.083333333332</v>
      </c>
      <c r="N66" s="186">
        <f t="shared" ref="N66:N74" si="78">M66*12</f>
        <v>288889</v>
      </c>
      <c r="O66" s="187" t="str">
        <f t="shared" si="77"/>
        <v>Subscribed</v>
      </c>
      <c r="P66" s="154" t="s">
        <v>108</v>
      </c>
      <c r="Q66" s="154">
        <v>80</v>
      </c>
      <c r="R66" s="213">
        <v>52.7</v>
      </c>
      <c r="S66" s="189">
        <f t="shared" si="41"/>
        <v>27.299999999999997</v>
      </c>
      <c r="T66" s="154"/>
      <c r="U66" s="190">
        <f t="shared" ref="U66:U74" si="79">IF(S66&lt;=0,0,(IF(O66="Rated",(S66+T66)*$U$20,(S66+T66))))</f>
        <v>27.299999999999997</v>
      </c>
      <c r="V66" s="190">
        <f t="shared" si="6"/>
        <v>80</v>
      </c>
      <c r="W66" s="206">
        <f>R66</f>
        <v>52.7</v>
      </c>
      <c r="X66" s="190"/>
      <c r="Y66" s="85">
        <v>0</v>
      </c>
      <c r="Z66" s="193" t="str">
        <f t="shared" ref="Z66:Z71" si="80">D66</f>
        <v>Metered</v>
      </c>
      <c r="AA66" s="154">
        <v>1.7</v>
      </c>
      <c r="AB66" s="183" t="s">
        <v>132</v>
      </c>
      <c r="AC66" s="194">
        <v>8.1999999999999993</v>
      </c>
      <c r="AD66" s="149">
        <v>37508.599609375</v>
      </c>
      <c r="AE66" s="122"/>
      <c r="AF66" s="155" t="str">
        <f>IF(AE66="No of Seats","No of Seats",(IF(AE66="Space","Sq Ft","")))</f>
        <v/>
      </c>
      <c r="AG66" s="154">
        <v>3</v>
      </c>
      <c r="AH66" s="154">
        <v>3</v>
      </c>
      <c r="AI66" s="154">
        <v>0</v>
      </c>
      <c r="AJ66" s="154">
        <v>3</v>
      </c>
      <c r="AK66" s="154"/>
      <c r="AL66" s="185">
        <f>50000/12</f>
        <v>4166.666666666667</v>
      </c>
      <c r="AM66" s="85">
        <f t="shared" ref="AM66:AM74" si="81">M66*K66</f>
        <v>433333.5</v>
      </c>
      <c r="AN66" s="85">
        <f t="shared" ref="AN66:AN74" si="82">Y66*X66</f>
        <v>0</v>
      </c>
      <c r="AO66" s="85">
        <f t="shared" ref="AO66:AO74" si="83">AD66*AC66*AA66</f>
        <v>522869.87855468749</v>
      </c>
      <c r="AP66" s="85">
        <f t="shared" ref="AP66:AP74" si="84">AL66*AJ66</f>
        <v>12500</v>
      </c>
      <c r="AQ66" s="86"/>
      <c r="AR66" s="105">
        <f t="shared" ref="AR66:AR74" si="85">SUBTOTAL(9,AM66:AQ66)</f>
        <v>968703.37855468749</v>
      </c>
      <c r="AS66" s="88">
        <f t="shared" ref="AS66:AS74" si="86">AR66*12</f>
        <v>11624440.54265625</v>
      </c>
      <c r="AT66" s="87" t="s">
        <v>134</v>
      </c>
      <c r="AU66" s="71">
        <v>721004444</v>
      </c>
      <c r="AV66" s="195">
        <v>42783</v>
      </c>
      <c r="AW66" s="71">
        <v>5</v>
      </c>
      <c r="AX66" s="195">
        <v>44583</v>
      </c>
      <c r="AY66" s="71"/>
      <c r="BA66" s="86">
        <f t="shared" ref="BA66:BA74" si="87">IF(E66="Rack",AR66/H66,0)+IF(E66="U Space",AR66*40/H66,0)+IF(E66="Space",AR66*30/H66,0)</f>
        <v>53816.854364149302</v>
      </c>
      <c r="BB66" s="86">
        <f t="shared" ref="BB66:BB74" si="88">+AR66/V66</f>
        <v>12108.792231933594</v>
      </c>
      <c r="BC66" s="86">
        <f t="shared" ref="BC66:BC74" si="89">+($AM66+$AN66+$AO66-BJ66)/$V66</f>
        <v>5222.6539812828169</v>
      </c>
      <c r="BD66" s="86">
        <f t="shared" ref="BD66:BD74" si="90">+($AM66+$AN66+$AO66-BK66)/$V66</f>
        <v>5222.6539812828169</v>
      </c>
      <c r="BE66" s="86">
        <f t="shared" ref="BE66:BE74" si="91">+($AM66+$AN66+IF(D66="Bundled",0,V66*0.85*AA66*AC66*30.5*24)-BL66)/$V66</f>
        <v>5230.916549999999</v>
      </c>
      <c r="BF66" s="86"/>
      <c r="BG66" s="92">
        <f t="shared" ref="BG66:BG74" si="92">+AM66+AN66+AO66</f>
        <v>956203.37855468749</v>
      </c>
      <c r="BH66" s="92">
        <f t="shared" ref="BH66:BH74" si="93">+BG66-BI66</f>
        <v>433333.5</v>
      </c>
      <c r="BI66" s="92">
        <f t="shared" ref="BI66:BI74" si="94">IF(D66="Bundled",MIN(V66*$AD$20*(1+$K$2),BG66),AO66)</f>
        <v>522869.87855468749</v>
      </c>
      <c r="BJ66" s="93">
        <f t="shared" ref="BJ66:BJ74" si="95">IF($AD66&gt;0,$AD66*$AA$20*$AC$20*(1+$AF$20*(20/$AC$20)/732),$AD$20*W66)</f>
        <v>538391.06005206215</v>
      </c>
      <c r="BK66" s="93">
        <f t="shared" ref="BK66:BK74" si="96">IF($AD66&gt;0,$AD66*$AA$20*$AC$20*(1+$AF$20*(20/$AC$20)/732),+$AD$20*(W66+U66))</f>
        <v>538391.06005206215</v>
      </c>
      <c r="BL66" s="93">
        <f t="shared" si="61"/>
        <v>708737.61600000004</v>
      </c>
      <c r="BM66" s="93">
        <f t="shared" ref="BM66:BM74" si="97">+BC66*V66</f>
        <v>417812.31850262533</v>
      </c>
      <c r="BN66" s="93">
        <f t="shared" si="63"/>
        <v>480000</v>
      </c>
      <c r="BO66" s="93">
        <f t="shared" ref="BO66:BO74" si="98">+BH66-BN66</f>
        <v>-46666.5</v>
      </c>
      <c r="BP66" s="93">
        <f t="shared" ref="BP66:BP74" si="99">+BI66-BJ66</f>
        <v>-15521.181497374666</v>
      </c>
      <c r="BQ66" s="93">
        <f t="shared" ref="BQ66:BQ74" si="100">+BO66+BP66</f>
        <v>-62187.681497374666</v>
      </c>
      <c r="BR66" s="93">
        <f t="shared" si="67"/>
        <v>80</v>
      </c>
      <c r="BS66" s="93">
        <f t="shared" ref="BS66:BS74" si="101">+BC66</f>
        <v>5222.6539812828169</v>
      </c>
      <c r="BT66" s="93">
        <f t="shared" ref="BT66:BT74" si="102">IF(D66="Bundled",BL66-BJ66,AO66-BJ66)</f>
        <v>-15521.181497374666</v>
      </c>
      <c r="BU66" s="93">
        <f t="shared" ref="BU66:BU74" si="103">IF(D66="Bundled",+(BE66-$J$2)*V66,(AM66+AN66)-V66*$J$2)</f>
        <v>-46666.5</v>
      </c>
      <c r="BV66" s="93">
        <f t="shared" ref="BV66:BV74" si="104">+BT66+BU66</f>
        <v>-62187.681497374666</v>
      </c>
      <c r="BW66" s="93">
        <f t="shared" ref="BW66:BW74" si="105">+BT66/$BR66</f>
        <v>-194.01476871718333</v>
      </c>
      <c r="BX66" s="93">
        <f t="shared" ref="BX66:BX74" si="106">+BU66/$BR66</f>
        <v>-583.33124999999995</v>
      </c>
      <c r="BY66" s="93">
        <f t="shared" ref="BY66:BY74" si="107">+BV66/$BR66</f>
        <v>-777.34601871718337</v>
      </c>
    </row>
    <row r="67" spans="1:256" ht="14.4" x14ac:dyDescent="0.3">
      <c r="A67" s="246" t="s">
        <v>122</v>
      </c>
      <c r="B67" s="247" t="s">
        <v>195</v>
      </c>
      <c r="C67" s="247" t="s">
        <v>124</v>
      </c>
      <c r="D67" s="248" t="s">
        <v>116</v>
      </c>
      <c r="E67" s="247" t="s">
        <v>117</v>
      </c>
      <c r="F67" s="247" t="s">
        <v>118</v>
      </c>
      <c r="G67" s="157" t="str">
        <f t="shared" si="76"/>
        <v>No of Racks</v>
      </c>
      <c r="H67" s="247">
        <v>2</v>
      </c>
      <c r="I67" s="247">
        <v>2</v>
      </c>
      <c r="J67" s="184">
        <f t="shared" si="75"/>
        <v>0</v>
      </c>
      <c r="K67" s="247">
        <v>2</v>
      </c>
      <c r="L67" s="247"/>
      <c r="M67" s="249">
        <f>(475000*2)/12</f>
        <v>79166.666666666672</v>
      </c>
      <c r="N67" s="106">
        <f t="shared" si="78"/>
        <v>950000</v>
      </c>
      <c r="O67" s="250" t="str">
        <f t="shared" si="77"/>
        <v>Rated</v>
      </c>
      <c r="P67" s="247" t="s">
        <v>125</v>
      </c>
      <c r="Q67" s="247">
        <v>8</v>
      </c>
      <c r="R67" s="251">
        <v>0</v>
      </c>
      <c r="S67" s="252">
        <f t="shared" si="41"/>
        <v>8</v>
      </c>
      <c r="T67" s="253"/>
      <c r="U67" s="190">
        <f t="shared" si="79"/>
        <v>4</v>
      </c>
      <c r="V67" s="253">
        <v>4.3499999999999996</v>
      </c>
      <c r="W67" s="206">
        <f>R67</f>
        <v>0</v>
      </c>
      <c r="X67" s="190"/>
      <c r="Y67" s="106">
        <f>(90000+100000)/12</f>
        <v>15833.333333333334</v>
      </c>
      <c r="Z67" s="254" t="str">
        <f t="shared" si="80"/>
        <v>Bundled</v>
      </c>
      <c r="AA67" s="253"/>
      <c r="AB67" s="253"/>
      <c r="AC67" s="194"/>
      <c r="AD67" s="197"/>
      <c r="AE67" s="139"/>
      <c r="AF67" s="157" t="str">
        <f>IF(AE67="No of Seats","No of Seats",(IF(AE67="Space","Sq Ft","")))</f>
        <v/>
      </c>
      <c r="AG67" s="253"/>
      <c r="AH67" s="253"/>
      <c r="AI67" s="253"/>
      <c r="AJ67" s="253"/>
      <c r="AK67" s="253"/>
      <c r="AL67" s="249"/>
      <c r="AM67" s="106">
        <f t="shared" si="81"/>
        <v>158333.33333333334</v>
      </c>
      <c r="AN67" s="106">
        <f t="shared" si="82"/>
        <v>0</v>
      </c>
      <c r="AO67" s="106">
        <f t="shared" si="83"/>
        <v>0</v>
      </c>
      <c r="AP67" s="106">
        <f t="shared" si="84"/>
        <v>0</v>
      </c>
      <c r="AQ67" s="107">
        <f>(40000)/12</f>
        <v>3333.3333333333335</v>
      </c>
      <c r="AR67" s="105">
        <f t="shared" si="85"/>
        <v>0</v>
      </c>
      <c r="AS67" s="105">
        <f t="shared" si="86"/>
        <v>0</v>
      </c>
      <c r="AT67" s="105" t="s">
        <v>119</v>
      </c>
      <c r="AU67" s="108">
        <v>721005672</v>
      </c>
      <c r="AV67" s="255">
        <v>43070</v>
      </c>
      <c r="AW67" s="108">
        <v>1</v>
      </c>
      <c r="AX67" s="255">
        <v>43405</v>
      </c>
      <c r="AY67" s="108"/>
      <c r="BA67" s="109">
        <f t="shared" si="87"/>
        <v>0</v>
      </c>
      <c r="BB67" s="109">
        <f t="shared" si="88"/>
        <v>0</v>
      </c>
      <c r="BC67" s="109">
        <f t="shared" si="89"/>
        <v>36398.467432950194</v>
      </c>
      <c r="BD67" s="109">
        <f t="shared" si="90"/>
        <v>26814.456398467435</v>
      </c>
      <c r="BE67" s="109">
        <f t="shared" si="91"/>
        <v>25975.855432950197</v>
      </c>
      <c r="BF67" s="109"/>
      <c r="BG67" s="256">
        <f t="shared" si="92"/>
        <v>158333.33333333334</v>
      </c>
      <c r="BH67" s="256">
        <f t="shared" si="93"/>
        <v>112994.97113333334</v>
      </c>
      <c r="BI67" s="256">
        <f t="shared" si="94"/>
        <v>45338.362200000003</v>
      </c>
      <c r="BJ67" s="110">
        <f t="shared" si="95"/>
        <v>0</v>
      </c>
      <c r="BK67" s="110">
        <f t="shared" si="96"/>
        <v>41690.448000000004</v>
      </c>
      <c r="BL67" s="110">
        <f t="shared" si="61"/>
        <v>45338.362200000003</v>
      </c>
      <c r="BM67" s="110">
        <f t="shared" si="97"/>
        <v>158333.33333333334</v>
      </c>
      <c r="BN67" s="110">
        <f t="shared" si="63"/>
        <v>26099.999999999996</v>
      </c>
      <c r="BO67" s="110">
        <f t="shared" si="98"/>
        <v>86894.97113333334</v>
      </c>
      <c r="BP67" s="110">
        <f t="shared" si="99"/>
        <v>45338.362200000003</v>
      </c>
      <c r="BQ67" s="110">
        <f t="shared" si="100"/>
        <v>132233.33333333334</v>
      </c>
      <c r="BR67" s="110">
        <f t="shared" si="67"/>
        <v>4.3499999999999996</v>
      </c>
      <c r="BS67" s="110">
        <f t="shared" si="101"/>
        <v>36398.467432950194</v>
      </c>
      <c r="BT67" s="110">
        <f t="shared" si="102"/>
        <v>45338.362200000003</v>
      </c>
      <c r="BU67" s="110">
        <f t="shared" si="103"/>
        <v>86894.971133333354</v>
      </c>
      <c r="BV67" s="110">
        <f t="shared" si="104"/>
        <v>132233.33333333337</v>
      </c>
      <c r="BW67" s="110">
        <f t="shared" si="105"/>
        <v>10422.612000000001</v>
      </c>
      <c r="BX67" s="110">
        <f t="shared" si="106"/>
        <v>19975.855432950197</v>
      </c>
      <c r="BY67" s="110">
        <f t="shared" si="107"/>
        <v>30398.467432950201</v>
      </c>
    </row>
    <row r="68" spans="1:256" ht="14.4" x14ac:dyDescent="0.3">
      <c r="A68" s="246" t="s">
        <v>122</v>
      </c>
      <c r="B68" s="247" t="s">
        <v>196</v>
      </c>
      <c r="C68" s="247" t="s">
        <v>124</v>
      </c>
      <c r="D68" s="248" t="s">
        <v>116</v>
      </c>
      <c r="E68" s="247" t="s">
        <v>117</v>
      </c>
      <c r="F68" s="247" t="s">
        <v>118</v>
      </c>
      <c r="G68" s="157" t="str">
        <f t="shared" si="76"/>
        <v>No of Racks</v>
      </c>
      <c r="H68" s="247">
        <v>1</v>
      </c>
      <c r="I68" s="247">
        <v>1</v>
      </c>
      <c r="J68" s="184">
        <f t="shared" si="75"/>
        <v>0</v>
      </c>
      <c r="K68" s="247">
        <v>1</v>
      </c>
      <c r="L68" s="247"/>
      <c r="M68" s="249">
        <f>420000/12</f>
        <v>35000</v>
      </c>
      <c r="N68" s="106">
        <f t="shared" si="78"/>
        <v>420000</v>
      </c>
      <c r="O68" s="250" t="str">
        <f t="shared" si="77"/>
        <v>Rated</v>
      </c>
      <c r="P68" s="247" t="s">
        <v>125</v>
      </c>
      <c r="Q68" s="247">
        <v>3</v>
      </c>
      <c r="R68" s="251">
        <v>4.6900000000000004</v>
      </c>
      <c r="S68" s="252">
        <f t="shared" si="41"/>
        <v>-1.6900000000000004</v>
      </c>
      <c r="T68" s="253"/>
      <c r="U68" s="190">
        <f t="shared" si="79"/>
        <v>0</v>
      </c>
      <c r="V68" s="253">
        <f t="shared" ref="V68:V74" si="108">IF(O68="Rated",Q68*$U$20,Q68)</f>
        <v>1.5</v>
      </c>
      <c r="W68" s="206">
        <f>R68</f>
        <v>4.6900000000000004</v>
      </c>
      <c r="X68" s="190"/>
      <c r="Y68" s="106">
        <f>90000/12</f>
        <v>7500</v>
      </c>
      <c r="Z68" s="254" t="str">
        <f t="shared" si="80"/>
        <v>Bundled</v>
      </c>
      <c r="AA68" s="253"/>
      <c r="AB68" s="253"/>
      <c r="AC68" s="194"/>
      <c r="AD68" s="197"/>
      <c r="AE68" s="139"/>
      <c r="AF68" s="157" t="str">
        <f>IF(AE68="No of Seats","No of Seats",(IF(AE68="Space","Sq Ft","")))</f>
        <v/>
      </c>
      <c r="AG68" s="253"/>
      <c r="AH68" s="253"/>
      <c r="AI68" s="253"/>
      <c r="AJ68" s="253"/>
      <c r="AK68" s="253"/>
      <c r="AL68" s="249"/>
      <c r="AM68" s="106">
        <f t="shared" si="81"/>
        <v>35000</v>
      </c>
      <c r="AN68" s="106">
        <f t="shared" si="82"/>
        <v>0</v>
      </c>
      <c r="AO68" s="106">
        <f t="shared" si="83"/>
        <v>0</v>
      </c>
      <c r="AP68" s="106">
        <f t="shared" si="84"/>
        <v>0</v>
      </c>
      <c r="AQ68" s="107">
        <f>(40000)/12</f>
        <v>3333.3333333333335</v>
      </c>
      <c r="AR68" s="105">
        <f t="shared" si="85"/>
        <v>0</v>
      </c>
      <c r="AS68" s="105">
        <f t="shared" si="86"/>
        <v>0</v>
      </c>
      <c r="AT68" s="105" t="s">
        <v>119</v>
      </c>
      <c r="AU68" s="108" t="s">
        <v>197</v>
      </c>
      <c r="AV68" s="255">
        <v>43101</v>
      </c>
      <c r="AW68" s="108">
        <v>1</v>
      </c>
      <c r="AX68" s="255">
        <v>43452</v>
      </c>
      <c r="AY68" s="108" t="s">
        <v>198</v>
      </c>
      <c r="BA68" s="109">
        <f t="shared" si="87"/>
        <v>0</v>
      </c>
      <c r="BB68" s="109">
        <f t="shared" si="88"/>
        <v>0</v>
      </c>
      <c r="BC68" s="109">
        <f t="shared" si="89"/>
        <v>-9254.7001866666742</v>
      </c>
      <c r="BD68" s="109">
        <f t="shared" si="90"/>
        <v>-9254.7001866666742</v>
      </c>
      <c r="BE68" s="109">
        <f t="shared" si="91"/>
        <v>12910.721333333333</v>
      </c>
      <c r="BF68" s="109"/>
      <c r="BG68" s="256">
        <f t="shared" si="92"/>
        <v>35000</v>
      </c>
      <c r="BH68" s="256">
        <f t="shared" si="93"/>
        <v>19366.081999999999</v>
      </c>
      <c r="BI68" s="256">
        <f t="shared" si="94"/>
        <v>15633.918000000001</v>
      </c>
      <c r="BJ68" s="110">
        <f t="shared" si="95"/>
        <v>48882.05028000001</v>
      </c>
      <c r="BK68" s="110">
        <f t="shared" si="96"/>
        <v>48882.05028000001</v>
      </c>
      <c r="BL68" s="110">
        <f t="shared" si="61"/>
        <v>15633.918000000001</v>
      </c>
      <c r="BM68" s="110">
        <f t="shared" si="97"/>
        <v>-13882.05028000001</v>
      </c>
      <c r="BN68" s="110">
        <f t="shared" si="63"/>
        <v>9000</v>
      </c>
      <c r="BO68" s="110">
        <f t="shared" si="98"/>
        <v>10366.081999999999</v>
      </c>
      <c r="BP68" s="110">
        <f t="shared" si="99"/>
        <v>-33248.132280000005</v>
      </c>
      <c r="BQ68" s="110">
        <f t="shared" si="100"/>
        <v>-22882.050280000007</v>
      </c>
      <c r="BR68" s="110">
        <f t="shared" si="67"/>
        <v>1.5</v>
      </c>
      <c r="BS68" s="110">
        <f t="shared" si="101"/>
        <v>-9254.7001866666742</v>
      </c>
      <c r="BT68" s="110">
        <f t="shared" si="102"/>
        <v>-33248.132280000005</v>
      </c>
      <c r="BU68" s="110">
        <f t="shared" si="103"/>
        <v>10366.081999999999</v>
      </c>
      <c r="BV68" s="110">
        <f t="shared" si="104"/>
        <v>-22882.050280000007</v>
      </c>
      <c r="BW68" s="110">
        <f t="shared" si="105"/>
        <v>-22165.421520000004</v>
      </c>
      <c r="BX68" s="110">
        <f t="shared" si="106"/>
        <v>6910.721333333332</v>
      </c>
      <c r="BY68" s="110">
        <f t="shared" si="107"/>
        <v>-15254.700186666671</v>
      </c>
    </row>
    <row r="69" spans="1:256" ht="14.4" x14ac:dyDescent="0.3">
      <c r="A69" s="182" t="s">
        <v>136</v>
      </c>
      <c r="B69" s="247" t="s">
        <v>199</v>
      </c>
      <c r="C69" s="247" t="s">
        <v>124</v>
      </c>
      <c r="D69" s="248" t="s">
        <v>116</v>
      </c>
      <c r="E69" s="247" t="s">
        <v>117</v>
      </c>
      <c r="F69" s="247" t="s">
        <v>118</v>
      </c>
      <c r="G69" s="157" t="str">
        <f t="shared" si="76"/>
        <v>No of Racks</v>
      </c>
      <c r="H69" s="247">
        <v>4</v>
      </c>
      <c r="I69" s="247">
        <v>4</v>
      </c>
      <c r="J69" s="184">
        <f t="shared" si="75"/>
        <v>0</v>
      </c>
      <c r="K69" s="247">
        <v>4</v>
      </c>
      <c r="L69" s="247"/>
      <c r="M69" s="249">
        <f>2483545/12</f>
        <v>206962.08333333334</v>
      </c>
      <c r="N69" s="106">
        <f t="shared" si="78"/>
        <v>2483545</v>
      </c>
      <c r="O69" s="250" t="str">
        <f t="shared" si="77"/>
        <v>Rated</v>
      </c>
      <c r="P69" s="247" t="s">
        <v>125</v>
      </c>
      <c r="Q69" s="247">
        <v>24</v>
      </c>
      <c r="R69" s="237">
        <v>47.92</v>
      </c>
      <c r="S69" s="252">
        <f t="shared" si="41"/>
        <v>-23.92</v>
      </c>
      <c r="T69" s="253"/>
      <c r="U69" s="190">
        <f t="shared" si="79"/>
        <v>0</v>
      </c>
      <c r="V69" s="253">
        <f t="shared" si="108"/>
        <v>12</v>
      </c>
      <c r="W69" s="206">
        <f>R69</f>
        <v>47.92</v>
      </c>
      <c r="X69" s="190"/>
      <c r="Y69" s="106">
        <f>96000/12</f>
        <v>8000</v>
      </c>
      <c r="Z69" s="254" t="str">
        <f t="shared" si="80"/>
        <v>Bundled</v>
      </c>
      <c r="AA69" s="253"/>
      <c r="AB69" s="253"/>
      <c r="AC69" s="194"/>
      <c r="AD69" s="197"/>
      <c r="AE69" s="257" t="s">
        <v>133</v>
      </c>
      <c r="AF69" s="157" t="str">
        <f>IF(AE69="No of Seats","No of Seats",(IF(AE69="Space","Sq Ft","")))</f>
        <v>No of Seats</v>
      </c>
      <c r="AG69" s="154">
        <v>1</v>
      </c>
      <c r="AH69" s="154">
        <v>1</v>
      </c>
      <c r="AI69" s="154">
        <v>0</v>
      </c>
      <c r="AJ69" s="253"/>
      <c r="AK69" s="253"/>
      <c r="AL69" s="249">
        <f>95000/12</f>
        <v>7916.666666666667</v>
      </c>
      <c r="AM69" s="106">
        <f t="shared" si="81"/>
        <v>827848.33333333337</v>
      </c>
      <c r="AN69" s="106">
        <f t="shared" si="82"/>
        <v>0</v>
      </c>
      <c r="AO69" s="106">
        <f t="shared" si="83"/>
        <v>0</v>
      </c>
      <c r="AP69" s="106">
        <f t="shared" si="84"/>
        <v>0</v>
      </c>
      <c r="AQ69" s="107">
        <f>150000+12500+48000</f>
        <v>210500</v>
      </c>
      <c r="AR69" s="105">
        <f t="shared" si="85"/>
        <v>0</v>
      </c>
      <c r="AS69" s="105">
        <f t="shared" si="86"/>
        <v>0</v>
      </c>
      <c r="AT69" s="105" t="s">
        <v>119</v>
      </c>
      <c r="AU69" s="108"/>
      <c r="AV69" s="255">
        <v>43391</v>
      </c>
      <c r="AW69" s="108">
        <v>3</v>
      </c>
      <c r="AX69" s="255">
        <v>44460</v>
      </c>
      <c r="AY69" s="108" t="s">
        <v>200</v>
      </c>
      <c r="BA69" s="109">
        <f t="shared" si="87"/>
        <v>0</v>
      </c>
      <c r="BB69" s="109">
        <f t="shared" si="88"/>
        <v>0</v>
      </c>
      <c r="BC69" s="109">
        <f t="shared" si="89"/>
        <v>27366.397191111111</v>
      </c>
      <c r="BD69" s="109">
        <f t="shared" si="90"/>
        <v>27366.397191111111</v>
      </c>
      <c r="BE69" s="109">
        <f t="shared" si="91"/>
        <v>58564.749111111109</v>
      </c>
      <c r="BF69" s="109"/>
      <c r="BG69" s="256">
        <f t="shared" si="92"/>
        <v>827848.33333333337</v>
      </c>
      <c r="BH69" s="256">
        <f t="shared" si="93"/>
        <v>702776.98933333333</v>
      </c>
      <c r="BI69" s="256">
        <f t="shared" si="94"/>
        <v>125071.34400000001</v>
      </c>
      <c r="BJ69" s="110">
        <f t="shared" si="95"/>
        <v>499451.56704000005</v>
      </c>
      <c r="BK69" s="110">
        <f t="shared" si="96"/>
        <v>499451.56704000005</v>
      </c>
      <c r="BL69" s="110">
        <f t="shared" si="61"/>
        <v>125071.34400000001</v>
      </c>
      <c r="BM69" s="110">
        <f t="shared" si="97"/>
        <v>328396.76629333332</v>
      </c>
      <c r="BN69" s="110">
        <f t="shared" si="63"/>
        <v>72000</v>
      </c>
      <c r="BO69" s="110">
        <f t="shared" si="98"/>
        <v>630776.98933333333</v>
      </c>
      <c r="BP69" s="110">
        <f t="shared" si="99"/>
        <v>-374380.22304000007</v>
      </c>
      <c r="BQ69" s="110">
        <f t="shared" si="100"/>
        <v>256396.76629333326</v>
      </c>
      <c r="BR69" s="110">
        <f t="shared" si="67"/>
        <v>12</v>
      </c>
      <c r="BS69" s="110">
        <f t="shared" si="101"/>
        <v>27366.397191111111</v>
      </c>
      <c r="BT69" s="110">
        <f t="shared" si="102"/>
        <v>-374380.22304000007</v>
      </c>
      <c r="BU69" s="110">
        <f t="shared" si="103"/>
        <v>630776.98933333333</v>
      </c>
      <c r="BV69" s="110">
        <f t="shared" si="104"/>
        <v>256396.76629333326</v>
      </c>
      <c r="BW69" s="110">
        <f t="shared" si="105"/>
        <v>-31198.351920000005</v>
      </c>
      <c r="BX69" s="110">
        <f t="shared" si="106"/>
        <v>52564.749111111109</v>
      </c>
      <c r="BY69" s="110">
        <f t="shared" si="107"/>
        <v>21366.397191111104</v>
      </c>
    </row>
    <row r="70" spans="1:256" ht="14.4" x14ac:dyDescent="0.3">
      <c r="A70" s="182" t="s">
        <v>122</v>
      </c>
      <c r="B70" s="204" t="s">
        <v>201</v>
      </c>
      <c r="C70" s="154" t="s">
        <v>124</v>
      </c>
      <c r="D70" s="183" t="s">
        <v>116</v>
      </c>
      <c r="E70" s="154" t="s">
        <v>117</v>
      </c>
      <c r="F70" s="154" t="s">
        <v>118</v>
      </c>
      <c r="G70" s="155" t="str">
        <f t="shared" si="76"/>
        <v>No of Racks</v>
      </c>
      <c r="H70" s="154">
        <v>1</v>
      </c>
      <c r="I70" s="154">
        <v>1</v>
      </c>
      <c r="J70" s="184">
        <f t="shared" si="75"/>
        <v>0</v>
      </c>
      <c r="K70" s="154">
        <v>1</v>
      </c>
      <c r="L70" s="154"/>
      <c r="M70" s="185">
        <f>485000/12</f>
        <v>40416.666666666664</v>
      </c>
      <c r="N70" s="186">
        <f t="shared" si="78"/>
        <v>485000</v>
      </c>
      <c r="O70" s="187" t="str">
        <f t="shared" si="77"/>
        <v>Rated</v>
      </c>
      <c r="P70" s="154" t="s">
        <v>125</v>
      </c>
      <c r="Q70" s="154">
        <v>3</v>
      </c>
      <c r="R70" s="227">
        <v>2.64</v>
      </c>
      <c r="S70" s="189">
        <f t="shared" si="41"/>
        <v>0.35999999999999988</v>
      </c>
      <c r="T70" s="190"/>
      <c r="U70" s="190">
        <f t="shared" si="79"/>
        <v>0.17999999999999994</v>
      </c>
      <c r="V70" s="190">
        <f t="shared" si="108"/>
        <v>1.5</v>
      </c>
      <c r="W70" s="206">
        <f>R70</f>
        <v>2.64</v>
      </c>
      <c r="X70" s="190"/>
      <c r="Y70" s="85">
        <f>90000/12</f>
        <v>7500</v>
      </c>
      <c r="Z70" s="193" t="str">
        <f t="shared" si="80"/>
        <v>Bundled</v>
      </c>
      <c r="AA70" s="190"/>
      <c r="AB70" s="190"/>
      <c r="AC70" s="194"/>
      <c r="AD70" s="197"/>
      <c r="AE70" s="122"/>
      <c r="AF70" s="155" t="str">
        <f>IF(AE70="No of Seats","No of Seats",(IF(AE70="Space","Sq Ft","")))</f>
        <v/>
      </c>
      <c r="AG70" s="190"/>
      <c r="AH70" s="190"/>
      <c r="AI70" s="190"/>
      <c r="AJ70" s="190"/>
      <c r="AK70" s="190"/>
      <c r="AL70" s="185"/>
      <c r="AM70" s="85">
        <f t="shared" si="81"/>
        <v>40416.666666666664</v>
      </c>
      <c r="AN70" s="85">
        <f t="shared" si="82"/>
        <v>0</v>
      </c>
      <c r="AO70" s="85">
        <f t="shared" si="83"/>
        <v>0</v>
      </c>
      <c r="AP70" s="85">
        <f t="shared" si="84"/>
        <v>0</v>
      </c>
      <c r="AQ70" s="111">
        <f>(225000+100000+10000+100000)/12</f>
        <v>36250</v>
      </c>
      <c r="AR70" s="87">
        <f t="shared" si="85"/>
        <v>0</v>
      </c>
      <c r="AS70" s="88">
        <f t="shared" si="86"/>
        <v>0</v>
      </c>
      <c r="AT70" s="87" t="s">
        <v>119</v>
      </c>
      <c r="AU70" s="71" t="s">
        <v>202</v>
      </c>
      <c r="AV70" s="195">
        <v>42948</v>
      </c>
      <c r="AW70" s="71">
        <v>1</v>
      </c>
      <c r="AX70" s="195">
        <v>43282</v>
      </c>
      <c r="AY70" s="71"/>
      <c r="AZ70" s="71"/>
      <c r="BA70" s="86">
        <f t="shared" si="87"/>
        <v>0</v>
      </c>
      <c r="BB70" s="86">
        <f t="shared" si="88"/>
        <v>0</v>
      </c>
      <c r="BC70" s="86">
        <f t="shared" si="89"/>
        <v>8600.6473244444405</v>
      </c>
      <c r="BD70" s="86">
        <f t="shared" si="90"/>
        <v>7349.9338844444383</v>
      </c>
      <c r="BE70" s="86">
        <f t="shared" si="91"/>
        <v>16521.832444444441</v>
      </c>
      <c r="BF70" s="86"/>
      <c r="BG70" s="95">
        <f t="shared" si="92"/>
        <v>40416.666666666664</v>
      </c>
      <c r="BH70" s="95">
        <f t="shared" si="93"/>
        <v>24782.748666666663</v>
      </c>
      <c r="BI70" s="95">
        <f t="shared" si="94"/>
        <v>15633.918000000001</v>
      </c>
      <c r="BJ70" s="93">
        <f t="shared" si="95"/>
        <v>27515.695680000004</v>
      </c>
      <c r="BK70" s="93">
        <f t="shared" si="96"/>
        <v>29391.765840000007</v>
      </c>
      <c r="BL70" s="93">
        <f t="shared" si="61"/>
        <v>15633.918000000001</v>
      </c>
      <c r="BM70" s="93">
        <f t="shared" si="97"/>
        <v>12900.97098666666</v>
      </c>
      <c r="BN70" s="93">
        <f t="shared" si="63"/>
        <v>9000</v>
      </c>
      <c r="BO70" s="93">
        <f t="shared" si="98"/>
        <v>15782.748666666663</v>
      </c>
      <c r="BP70" s="93">
        <f t="shared" si="99"/>
        <v>-11881.777680000003</v>
      </c>
      <c r="BQ70" s="93">
        <f t="shared" si="100"/>
        <v>3900.9709866666599</v>
      </c>
      <c r="BR70" s="93">
        <f t="shared" si="67"/>
        <v>1.5</v>
      </c>
      <c r="BS70" s="93">
        <f t="shared" si="101"/>
        <v>8600.6473244444405</v>
      </c>
      <c r="BT70" s="93">
        <f t="shared" si="102"/>
        <v>-11881.777680000003</v>
      </c>
      <c r="BU70" s="93">
        <f t="shared" si="103"/>
        <v>15782.748666666661</v>
      </c>
      <c r="BV70" s="93">
        <f t="shared" si="104"/>
        <v>3900.9709866666581</v>
      </c>
      <c r="BW70" s="93">
        <f t="shared" si="105"/>
        <v>-7921.1851200000019</v>
      </c>
      <c r="BX70" s="93">
        <f t="shared" si="106"/>
        <v>10521.832444444441</v>
      </c>
      <c r="BY70" s="93">
        <f t="shared" si="107"/>
        <v>2600.6473244444387</v>
      </c>
    </row>
    <row r="71" spans="1:256" ht="14.4" x14ac:dyDescent="0.3">
      <c r="A71" s="182" t="s">
        <v>138</v>
      </c>
      <c r="B71" s="154" t="s">
        <v>203</v>
      </c>
      <c r="C71" s="154" t="s">
        <v>115</v>
      </c>
      <c r="D71" s="183" t="s">
        <v>116</v>
      </c>
      <c r="E71" s="154" t="s">
        <v>117</v>
      </c>
      <c r="F71" s="154" t="s">
        <v>118</v>
      </c>
      <c r="G71" s="155" t="str">
        <f t="shared" si="76"/>
        <v>No of Racks</v>
      </c>
      <c r="H71" s="154">
        <v>20</v>
      </c>
      <c r="I71" s="154">
        <v>20</v>
      </c>
      <c r="J71" s="184">
        <f t="shared" si="75"/>
        <v>0</v>
      </c>
      <c r="K71" s="154">
        <v>20</v>
      </c>
      <c r="L71" s="154"/>
      <c r="M71" s="185">
        <f>133940/12</f>
        <v>11161.666666666666</v>
      </c>
      <c r="N71" s="85">
        <f t="shared" si="78"/>
        <v>133940</v>
      </c>
      <c r="O71" s="187" t="str">
        <f t="shared" si="77"/>
        <v>Subscribed</v>
      </c>
      <c r="P71" s="154" t="s">
        <v>125</v>
      </c>
      <c r="Q71" s="154">
        <v>40</v>
      </c>
      <c r="R71" s="229">
        <v>53.9</v>
      </c>
      <c r="S71" s="189">
        <f t="shared" si="41"/>
        <v>-13.899999999999999</v>
      </c>
      <c r="T71" s="154"/>
      <c r="U71" s="190">
        <f t="shared" si="79"/>
        <v>0</v>
      </c>
      <c r="V71" s="190">
        <f t="shared" si="108"/>
        <v>40</v>
      </c>
      <c r="W71" s="206">
        <f>R71*0.9</f>
        <v>48.51</v>
      </c>
      <c r="X71" s="190">
        <f>S71*-1</f>
        <v>13.899999999999999</v>
      </c>
      <c r="Y71" s="85">
        <f>129700/12</f>
        <v>10808.333333333334</v>
      </c>
      <c r="Z71" s="193" t="str">
        <f t="shared" si="80"/>
        <v>Bundled</v>
      </c>
      <c r="AA71" s="154">
        <v>1.7</v>
      </c>
      <c r="AB71" s="183" t="s">
        <v>132</v>
      </c>
      <c r="AC71" s="194">
        <v>8.1999999999999993</v>
      </c>
      <c r="AD71" s="149">
        <v>35316.38232421875</v>
      </c>
      <c r="AE71" s="122"/>
      <c r="AF71" s="155"/>
      <c r="AG71" s="154"/>
      <c r="AH71" s="154"/>
      <c r="AI71" s="154"/>
      <c r="AJ71" s="154"/>
      <c r="AK71" s="154"/>
      <c r="AL71" s="185"/>
      <c r="AM71" s="85">
        <f t="shared" si="81"/>
        <v>223233.33333333331</v>
      </c>
      <c r="AN71" s="85">
        <f t="shared" si="82"/>
        <v>150235.83333333331</v>
      </c>
      <c r="AO71" s="85">
        <f t="shared" si="83"/>
        <v>492310.36959960929</v>
      </c>
      <c r="AP71" s="85">
        <f t="shared" si="84"/>
        <v>0</v>
      </c>
      <c r="AQ71" s="86">
        <f>50000+10000+50000+20000</f>
        <v>130000</v>
      </c>
      <c r="AR71" s="105">
        <f t="shared" si="85"/>
        <v>0</v>
      </c>
      <c r="AS71" s="87">
        <f t="shared" si="86"/>
        <v>0</v>
      </c>
      <c r="AT71" s="87" t="s">
        <v>168</v>
      </c>
      <c r="AU71" s="71" t="s">
        <v>204</v>
      </c>
      <c r="AV71" s="195">
        <v>43252</v>
      </c>
      <c r="AW71" s="71">
        <v>3</v>
      </c>
      <c r="AX71" s="195">
        <v>44317</v>
      </c>
      <c r="AY71" s="71"/>
      <c r="BA71" s="86">
        <f t="shared" si="87"/>
        <v>0</v>
      </c>
      <c r="BB71" s="86">
        <f t="shared" si="88"/>
        <v>0</v>
      </c>
      <c r="BC71" s="86">
        <f t="shared" si="89"/>
        <v>8971.3782967371844</v>
      </c>
      <c r="BD71" s="86">
        <f t="shared" si="90"/>
        <v>8971.3782967371844</v>
      </c>
      <c r="BE71" s="86">
        <f t="shared" si="91"/>
        <v>-1085.8828333333354</v>
      </c>
      <c r="BF71" s="86"/>
      <c r="BG71" s="95">
        <f t="shared" si="92"/>
        <v>865779.53626627591</v>
      </c>
      <c r="BH71" s="95">
        <f t="shared" si="93"/>
        <v>448875.05626627587</v>
      </c>
      <c r="BI71" s="95">
        <f t="shared" si="94"/>
        <v>416904.48000000004</v>
      </c>
      <c r="BJ71" s="93">
        <f t="shared" si="95"/>
        <v>506924.40439678857</v>
      </c>
      <c r="BK71" s="93">
        <f t="shared" si="96"/>
        <v>506924.40439678857</v>
      </c>
      <c r="BL71" s="93">
        <f t="shared" si="61"/>
        <v>416904.48000000004</v>
      </c>
      <c r="BM71" s="93">
        <f t="shared" si="97"/>
        <v>358855.13186948735</v>
      </c>
      <c r="BN71" s="93">
        <f t="shared" si="63"/>
        <v>240000</v>
      </c>
      <c r="BO71" s="93">
        <f t="shared" si="98"/>
        <v>208875.05626627587</v>
      </c>
      <c r="BP71" s="93">
        <f t="shared" si="99"/>
        <v>-90019.924396788527</v>
      </c>
      <c r="BQ71" s="93">
        <f t="shared" si="100"/>
        <v>118855.13186948735</v>
      </c>
      <c r="BR71" s="93">
        <f t="shared" si="67"/>
        <v>40</v>
      </c>
      <c r="BS71" s="93">
        <f t="shared" si="101"/>
        <v>8971.3782967371844</v>
      </c>
      <c r="BT71" s="93">
        <f t="shared" si="102"/>
        <v>-90019.924396788527</v>
      </c>
      <c r="BU71" s="93">
        <f t="shared" si="103"/>
        <v>-283435.31333333341</v>
      </c>
      <c r="BV71" s="93">
        <f t="shared" si="104"/>
        <v>-373455.23773012194</v>
      </c>
      <c r="BW71" s="93">
        <f t="shared" si="105"/>
        <v>-2250.498109919713</v>
      </c>
      <c r="BX71" s="93">
        <f t="shared" si="106"/>
        <v>-7085.8828333333349</v>
      </c>
      <c r="BY71" s="93">
        <f t="shared" si="107"/>
        <v>-9336.3809432530488</v>
      </c>
    </row>
    <row r="72" spans="1:256" ht="14.4" x14ac:dyDescent="0.3">
      <c r="A72" s="182" t="s">
        <v>205</v>
      </c>
      <c r="B72" s="154" t="s">
        <v>206</v>
      </c>
      <c r="C72" s="154" t="s">
        <v>115</v>
      </c>
      <c r="D72" s="183" t="s">
        <v>116</v>
      </c>
      <c r="E72" s="154" t="s">
        <v>117</v>
      </c>
      <c r="F72" s="154" t="s">
        <v>118</v>
      </c>
      <c r="G72" s="155" t="str">
        <f t="shared" si="76"/>
        <v>No of Racks</v>
      </c>
      <c r="H72" s="154">
        <v>19</v>
      </c>
      <c r="I72" s="154">
        <v>19</v>
      </c>
      <c r="J72" s="184">
        <f t="shared" si="75"/>
        <v>0</v>
      </c>
      <c r="K72" s="154">
        <v>19</v>
      </c>
      <c r="L72" s="154"/>
      <c r="M72" s="185">
        <f>((748*68)*3)</f>
        <v>152592</v>
      </c>
      <c r="N72" s="85">
        <f t="shared" si="78"/>
        <v>1831104</v>
      </c>
      <c r="O72" s="187" t="str">
        <f t="shared" si="77"/>
        <v>Subscribed</v>
      </c>
      <c r="P72" s="154" t="s">
        <v>108</v>
      </c>
      <c r="Q72" s="204">
        <v>47.64</v>
      </c>
      <c r="R72" s="229">
        <v>49.41</v>
      </c>
      <c r="S72" s="189">
        <f t="shared" si="41"/>
        <v>-1.769999999999996</v>
      </c>
      <c r="T72" s="154"/>
      <c r="U72" s="190">
        <f t="shared" si="79"/>
        <v>0</v>
      </c>
      <c r="V72" s="190">
        <f t="shared" si="108"/>
        <v>47.64</v>
      </c>
      <c r="W72" s="206">
        <f>R72</f>
        <v>49.41</v>
      </c>
      <c r="X72" s="190"/>
      <c r="Y72" s="85">
        <f>(1384*68)/12</f>
        <v>7842.666666666667</v>
      </c>
      <c r="Z72" s="193" t="s">
        <v>116</v>
      </c>
      <c r="AA72" s="154"/>
      <c r="AB72" s="190"/>
      <c r="AC72" s="194"/>
      <c r="AD72" s="232"/>
      <c r="AE72" s="122"/>
      <c r="AF72" s="155"/>
      <c r="AG72" s="154"/>
      <c r="AH72" s="154"/>
      <c r="AI72" s="154"/>
      <c r="AJ72" s="154"/>
      <c r="AK72" s="154"/>
      <c r="AL72" s="185"/>
      <c r="AM72" s="85">
        <f t="shared" si="81"/>
        <v>2899248</v>
      </c>
      <c r="AN72" s="85">
        <f t="shared" si="82"/>
        <v>0</v>
      </c>
      <c r="AO72" s="85">
        <f t="shared" si="83"/>
        <v>0</v>
      </c>
      <c r="AP72" s="85">
        <f t="shared" si="84"/>
        <v>0</v>
      </c>
      <c r="AQ72" s="86">
        <f>(116*7)*68</f>
        <v>55216</v>
      </c>
      <c r="AR72" s="105">
        <f t="shared" si="85"/>
        <v>0</v>
      </c>
      <c r="AS72" s="87">
        <f t="shared" si="86"/>
        <v>0</v>
      </c>
      <c r="AT72" s="87" t="s">
        <v>119</v>
      </c>
      <c r="AU72" s="71"/>
      <c r="AV72" s="195">
        <v>43238</v>
      </c>
      <c r="AW72" s="71">
        <v>1</v>
      </c>
      <c r="AX72" s="195">
        <v>43574</v>
      </c>
      <c r="AY72" s="71"/>
      <c r="BA72" s="86">
        <f t="shared" si="87"/>
        <v>0</v>
      </c>
      <c r="BB72" s="86">
        <f t="shared" si="88"/>
        <v>0</v>
      </c>
      <c r="BC72" s="86">
        <f t="shared" si="89"/>
        <v>50047.580627204028</v>
      </c>
      <c r="BD72" s="86">
        <f t="shared" si="90"/>
        <v>50047.580627204028</v>
      </c>
      <c r="BE72" s="86">
        <f t="shared" si="91"/>
        <v>50434.81873047859</v>
      </c>
      <c r="BF72" s="86"/>
      <c r="BG72" s="95">
        <f t="shared" si="92"/>
        <v>2899248</v>
      </c>
      <c r="BH72" s="95">
        <f t="shared" si="93"/>
        <v>2402714.7643200001</v>
      </c>
      <c r="BI72" s="95">
        <f t="shared" si="94"/>
        <v>496533.23568000004</v>
      </c>
      <c r="BJ72" s="93">
        <f t="shared" si="95"/>
        <v>514981.25891999999</v>
      </c>
      <c r="BK72" s="93">
        <f t="shared" si="96"/>
        <v>514981.25891999999</v>
      </c>
      <c r="BL72" s="93">
        <f t="shared" si="61"/>
        <v>496533.23568000004</v>
      </c>
      <c r="BM72" s="93">
        <f t="shared" si="97"/>
        <v>2384266.7410800001</v>
      </c>
      <c r="BN72" s="93">
        <f t="shared" si="63"/>
        <v>285840</v>
      </c>
      <c r="BO72" s="93">
        <f t="shared" si="98"/>
        <v>2116874.7643200001</v>
      </c>
      <c r="BP72" s="93">
        <f t="shared" si="99"/>
        <v>-18448.023239999951</v>
      </c>
      <c r="BQ72" s="93">
        <f t="shared" si="100"/>
        <v>2098426.7410800001</v>
      </c>
      <c r="BR72" s="93">
        <f t="shared" si="67"/>
        <v>47.64</v>
      </c>
      <c r="BS72" s="93">
        <f t="shared" si="101"/>
        <v>50047.580627204028</v>
      </c>
      <c r="BT72" s="93">
        <f t="shared" si="102"/>
        <v>-18448.023239999951</v>
      </c>
      <c r="BU72" s="93">
        <f t="shared" si="103"/>
        <v>2116874.7643200001</v>
      </c>
      <c r="BV72" s="93">
        <f t="shared" si="104"/>
        <v>2098426.7410800001</v>
      </c>
      <c r="BW72" s="93">
        <f t="shared" si="105"/>
        <v>-387.23810327455817</v>
      </c>
      <c r="BX72" s="93">
        <f t="shared" si="106"/>
        <v>44434.81873047859</v>
      </c>
      <c r="BY72" s="93">
        <f t="shared" si="107"/>
        <v>44047.580627204028</v>
      </c>
    </row>
    <row r="73" spans="1:256" ht="72" customHeight="1" x14ac:dyDescent="0.3">
      <c r="A73" s="182" t="s">
        <v>138</v>
      </c>
      <c r="B73" s="154" t="s">
        <v>207</v>
      </c>
      <c r="C73" s="154" t="s">
        <v>115</v>
      </c>
      <c r="D73" s="154" t="s">
        <v>115</v>
      </c>
      <c r="E73" s="154" t="s">
        <v>117</v>
      </c>
      <c r="F73" s="154" t="s">
        <v>118</v>
      </c>
      <c r="G73" s="155" t="str">
        <f t="shared" si="76"/>
        <v>No of Racks</v>
      </c>
      <c r="H73" s="154">
        <v>24</v>
      </c>
      <c r="I73" s="154">
        <v>24</v>
      </c>
      <c r="J73" s="184">
        <f t="shared" si="75"/>
        <v>0</v>
      </c>
      <c r="K73" s="154">
        <v>24</v>
      </c>
      <c r="L73" s="154"/>
      <c r="M73" s="185">
        <f>5760000/12</f>
        <v>480000</v>
      </c>
      <c r="N73" s="85">
        <f t="shared" si="78"/>
        <v>5760000</v>
      </c>
      <c r="O73" s="187" t="s">
        <v>115</v>
      </c>
      <c r="P73" s="154" t="s">
        <v>125</v>
      </c>
      <c r="Q73" s="154">
        <v>192</v>
      </c>
      <c r="R73" s="258">
        <v>53.6</v>
      </c>
      <c r="S73" s="189">
        <f t="shared" si="41"/>
        <v>138.4</v>
      </c>
      <c r="T73" s="154"/>
      <c r="U73" s="190">
        <f t="shared" si="79"/>
        <v>138.4</v>
      </c>
      <c r="V73" s="190">
        <f t="shared" si="108"/>
        <v>192</v>
      </c>
      <c r="W73" s="206">
        <f>R73</f>
        <v>53.6</v>
      </c>
      <c r="X73" s="190"/>
      <c r="Y73" s="85"/>
      <c r="Z73" s="193" t="s">
        <v>130</v>
      </c>
      <c r="AA73" s="154">
        <v>1.7</v>
      </c>
      <c r="AB73" s="183" t="s">
        <v>132</v>
      </c>
      <c r="AC73" s="194">
        <v>8.1999999999999993</v>
      </c>
      <c r="AD73" s="149">
        <v>38599.824317932129</v>
      </c>
      <c r="AE73" s="122"/>
      <c r="AF73" s="155" t="s">
        <v>208</v>
      </c>
      <c r="AG73" s="154">
        <v>15</v>
      </c>
      <c r="AH73" s="154">
        <v>15</v>
      </c>
      <c r="AI73" s="154">
        <v>0</v>
      </c>
      <c r="AJ73" s="154">
        <v>0</v>
      </c>
      <c r="AK73" s="154"/>
      <c r="AL73" s="249">
        <f>2000000/15</f>
        <v>133333.33333333334</v>
      </c>
      <c r="AM73" s="85">
        <f t="shared" si="81"/>
        <v>11520000</v>
      </c>
      <c r="AN73" s="85">
        <f t="shared" si="82"/>
        <v>0</v>
      </c>
      <c r="AO73" s="85">
        <f t="shared" si="83"/>
        <v>538081.55099197384</v>
      </c>
      <c r="AP73" s="85">
        <f t="shared" si="84"/>
        <v>0</v>
      </c>
      <c r="AQ73" s="86">
        <f>120000+25000</f>
        <v>145000</v>
      </c>
      <c r="AR73" s="105">
        <f t="shared" si="85"/>
        <v>0</v>
      </c>
      <c r="AS73" s="87">
        <f t="shared" si="86"/>
        <v>0</v>
      </c>
      <c r="AT73" s="87" t="s">
        <v>119</v>
      </c>
      <c r="AU73" s="71"/>
      <c r="AV73" s="195">
        <v>43484</v>
      </c>
      <c r="AW73" s="71">
        <v>5</v>
      </c>
      <c r="AX73" s="195">
        <v>43822</v>
      </c>
      <c r="AY73" s="71"/>
      <c r="BA73" s="86">
        <f t="shared" si="87"/>
        <v>0</v>
      </c>
      <c r="BB73" s="86">
        <f t="shared" si="88"/>
        <v>0</v>
      </c>
      <c r="BC73" s="86">
        <f t="shared" si="89"/>
        <v>59916.808677814784</v>
      </c>
      <c r="BD73" s="86">
        <f t="shared" si="90"/>
        <v>59916.808677814784</v>
      </c>
      <c r="BE73" s="86">
        <f t="shared" si="91"/>
        <v>59814.24779999999</v>
      </c>
      <c r="BF73" s="86"/>
      <c r="BG73" s="95">
        <f t="shared" si="92"/>
        <v>12058081.550991975</v>
      </c>
      <c r="BH73" s="95">
        <f t="shared" si="93"/>
        <v>11520000</v>
      </c>
      <c r="BI73" s="95">
        <f t="shared" si="94"/>
        <v>538081.55099197384</v>
      </c>
      <c r="BJ73" s="93">
        <f t="shared" si="95"/>
        <v>554054.28485153534</v>
      </c>
      <c r="BK73" s="93">
        <f t="shared" si="96"/>
        <v>554054.28485153534</v>
      </c>
      <c r="BL73" s="93">
        <f t="shared" si="61"/>
        <v>1700970.2784000002</v>
      </c>
      <c r="BM73" s="93">
        <f t="shared" si="97"/>
        <v>11504027.266140439</v>
      </c>
      <c r="BN73" s="93">
        <f t="shared" si="63"/>
        <v>1152000</v>
      </c>
      <c r="BO73" s="93">
        <f t="shared" si="98"/>
        <v>10368000</v>
      </c>
      <c r="BP73" s="93">
        <f t="shared" si="99"/>
        <v>-15972.7338595615</v>
      </c>
      <c r="BQ73" s="93">
        <f t="shared" si="100"/>
        <v>10352027.266140439</v>
      </c>
      <c r="BR73" s="93">
        <f t="shared" si="67"/>
        <v>192</v>
      </c>
      <c r="BS73" s="93">
        <f t="shared" si="101"/>
        <v>59916.808677814784</v>
      </c>
      <c r="BT73" s="93">
        <f t="shared" si="102"/>
        <v>-15972.7338595615</v>
      </c>
      <c r="BU73" s="93">
        <f t="shared" si="103"/>
        <v>10368000</v>
      </c>
      <c r="BV73" s="93">
        <f t="shared" si="104"/>
        <v>10352027.266140439</v>
      </c>
      <c r="BW73" s="93">
        <f t="shared" si="105"/>
        <v>-83.191322185216151</v>
      </c>
      <c r="BX73" s="93">
        <f t="shared" si="106"/>
        <v>54000</v>
      </c>
      <c r="BY73" s="93">
        <f t="shared" si="107"/>
        <v>53916.808677814784</v>
      </c>
    </row>
    <row r="74" spans="1:256" ht="14.4" x14ac:dyDescent="0.3">
      <c r="A74" s="182" t="s">
        <v>138</v>
      </c>
      <c r="B74" s="154" t="s">
        <v>209</v>
      </c>
      <c r="C74" s="154" t="s">
        <v>115</v>
      </c>
      <c r="D74" s="183" t="s">
        <v>116</v>
      </c>
      <c r="E74" s="154" t="s">
        <v>117</v>
      </c>
      <c r="F74" s="154" t="s">
        <v>131</v>
      </c>
      <c r="G74" s="155" t="str">
        <f t="shared" si="76"/>
        <v>No of Racks</v>
      </c>
      <c r="H74" s="154">
        <v>6</v>
      </c>
      <c r="I74" s="154">
        <v>6</v>
      </c>
      <c r="J74" s="184">
        <f t="shared" si="75"/>
        <v>0</v>
      </c>
      <c r="K74" s="154">
        <v>6</v>
      </c>
      <c r="L74" s="154"/>
      <c r="M74" s="185">
        <f>2300000/12</f>
        <v>191666.66666666666</v>
      </c>
      <c r="N74" s="186">
        <f t="shared" si="78"/>
        <v>2300000</v>
      </c>
      <c r="O74" s="187" t="str">
        <f>C74</f>
        <v>Subscribed</v>
      </c>
      <c r="P74" s="154" t="s">
        <v>125</v>
      </c>
      <c r="Q74" s="154">
        <v>18</v>
      </c>
      <c r="R74" s="259">
        <v>9.09</v>
      </c>
      <c r="S74" s="189">
        <f t="shared" si="41"/>
        <v>8.91</v>
      </c>
      <c r="T74" s="190"/>
      <c r="U74" s="190">
        <f t="shared" si="79"/>
        <v>8.91</v>
      </c>
      <c r="V74" s="190">
        <f t="shared" si="108"/>
        <v>18</v>
      </c>
      <c r="W74" s="192">
        <v>6.22</v>
      </c>
      <c r="X74" s="190"/>
      <c r="Y74" s="85">
        <f>90000/12</f>
        <v>7500</v>
      </c>
      <c r="Z74" s="193" t="str">
        <f>D74</f>
        <v>Bundled</v>
      </c>
      <c r="AA74" s="190"/>
      <c r="AB74" s="190"/>
      <c r="AC74" s="194"/>
      <c r="AD74" s="231">
        <v>0</v>
      </c>
      <c r="AE74" s="122"/>
      <c r="AF74" s="155"/>
      <c r="AG74" s="190"/>
      <c r="AH74" s="190"/>
      <c r="AI74" s="190"/>
      <c r="AJ74" s="190"/>
      <c r="AK74" s="190"/>
      <c r="AL74" s="185"/>
      <c r="AM74" s="85">
        <f t="shared" si="81"/>
        <v>1150000</v>
      </c>
      <c r="AN74" s="85">
        <f t="shared" si="82"/>
        <v>0</v>
      </c>
      <c r="AO74" s="85">
        <f t="shared" si="83"/>
        <v>0</v>
      </c>
      <c r="AP74" s="85">
        <f t="shared" si="84"/>
        <v>0</v>
      </c>
      <c r="AQ74" s="111">
        <f>(250000+100000+250000)/12</f>
        <v>50000</v>
      </c>
      <c r="AR74" s="87">
        <f t="shared" si="85"/>
        <v>0</v>
      </c>
      <c r="AS74" s="88">
        <f t="shared" si="86"/>
        <v>0</v>
      </c>
      <c r="AT74" s="87" t="s">
        <v>119</v>
      </c>
      <c r="AU74" s="225" t="s">
        <v>210</v>
      </c>
      <c r="AV74" s="195">
        <v>43149</v>
      </c>
      <c r="AW74" s="71">
        <v>1</v>
      </c>
      <c r="AX74" s="195">
        <v>43484</v>
      </c>
      <c r="AY74" s="71"/>
      <c r="AZ74" s="71"/>
      <c r="BA74" s="86">
        <f t="shared" si="87"/>
        <v>0</v>
      </c>
      <c r="BB74" s="86">
        <f t="shared" si="88"/>
        <v>0</v>
      </c>
      <c r="BC74" s="86">
        <f t="shared" si="89"/>
        <v>60287.297408888895</v>
      </c>
      <c r="BD74" s="86">
        <f t="shared" si="90"/>
        <v>55128.104468888887</v>
      </c>
      <c r="BE74" s="86">
        <f t="shared" si="91"/>
        <v>53466.276888888882</v>
      </c>
      <c r="BF74" s="86"/>
      <c r="BG74" s="95">
        <f t="shared" si="92"/>
        <v>1150000</v>
      </c>
      <c r="BH74" s="95">
        <f t="shared" si="93"/>
        <v>962392.98399999994</v>
      </c>
      <c r="BI74" s="95">
        <f t="shared" si="94"/>
        <v>187607.016</v>
      </c>
      <c r="BJ74" s="93">
        <f t="shared" si="95"/>
        <v>64828.646640000006</v>
      </c>
      <c r="BK74" s="93">
        <f t="shared" si="96"/>
        <v>157694.11955999999</v>
      </c>
      <c r="BL74" s="93">
        <f t="shared" si="61"/>
        <v>187607.016</v>
      </c>
      <c r="BM74" s="93">
        <f t="shared" si="97"/>
        <v>1085171.3533600001</v>
      </c>
      <c r="BN74" s="93">
        <f t="shared" si="63"/>
        <v>108000</v>
      </c>
      <c r="BO74" s="93">
        <f t="shared" si="98"/>
        <v>854392.98399999994</v>
      </c>
      <c r="BP74" s="93">
        <f t="shared" si="99"/>
        <v>122778.36936</v>
      </c>
      <c r="BQ74" s="93">
        <f t="shared" si="100"/>
        <v>977171.35335999995</v>
      </c>
      <c r="BR74" s="93">
        <f t="shared" si="67"/>
        <v>18</v>
      </c>
      <c r="BS74" s="93">
        <f t="shared" si="101"/>
        <v>60287.297408888895</v>
      </c>
      <c r="BT74" s="93">
        <f t="shared" si="102"/>
        <v>122778.36936</v>
      </c>
      <c r="BU74" s="93">
        <f t="shared" si="103"/>
        <v>854392.98399999994</v>
      </c>
      <c r="BV74" s="93">
        <f t="shared" si="104"/>
        <v>977171.35335999995</v>
      </c>
      <c r="BW74" s="93">
        <f t="shared" si="105"/>
        <v>6821.02052</v>
      </c>
      <c r="BX74" s="93">
        <f t="shared" si="106"/>
        <v>47466.276888888882</v>
      </c>
      <c r="BY74" s="93">
        <f t="shared" si="107"/>
        <v>54287.297408888888</v>
      </c>
    </row>
    <row r="75" spans="1:256" ht="14.25" customHeight="1" x14ac:dyDescent="0.3">
      <c r="A75" s="325" t="s">
        <v>4</v>
      </c>
      <c r="B75" s="260"/>
      <c r="C75" s="112"/>
      <c r="D75" s="112"/>
      <c r="E75" s="112"/>
      <c r="F75" s="112"/>
      <c r="G75" s="112"/>
      <c r="H75" s="260">
        <f>SUM(H23:H74)</f>
        <v>1560</v>
      </c>
      <c r="I75" s="260">
        <f>SUM(I23:I74)</f>
        <v>1427</v>
      </c>
      <c r="J75" s="324">
        <f t="shared" si="75"/>
        <v>133</v>
      </c>
      <c r="K75" s="260"/>
      <c r="L75" s="260"/>
      <c r="M75" s="260"/>
      <c r="N75" s="261"/>
      <c r="O75" s="260"/>
      <c r="P75" s="262"/>
      <c r="Q75" s="262"/>
      <c r="R75" s="263"/>
      <c r="S75" s="262"/>
      <c r="T75" s="262"/>
      <c r="U75" s="262">
        <f>SUM(U22:U74)</f>
        <v>711.26978629032249</v>
      </c>
      <c r="V75" s="262"/>
      <c r="W75" s="263"/>
      <c r="X75" s="262"/>
      <c r="Y75" s="264"/>
      <c r="Z75" s="262"/>
      <c r="AA75" s="262"/>
      <c r="AB75" s="262"/>
      <c r="AC75" s="197"/>
      <c r="AD75" s="203"/>
      <c r="AE75" s="265" t="str">
        <f>IF(AD75="No of Seats","No of Seats",(IF(AD75="Space","Sq Ft","")))</f>
        <v/>
      </c>
      <c r="AF75" s="266"/>
      <c r="AG75" s="266"/>
      <c r="AH75" s="266"/>
      <c r="AI75" s="262"/>
      <c r="AJ75" s="262"/>
      <c r="AK75" s="262"/>
      <c r="AL75" s="267"/>
      <c r="AM75" s="267"/>
      <c r="AN75" s="267"/>
      <c r="AO75" s="267"/>
      <c r="AP75" s="267">
        <f>SUM(AP22:AP70)</f>
        <v>341550</v>
      </c>
      <c r="AQ75" s="267">
        <f>SUM(AQ22:AQ70)</f>
        <v>1591312.2491666663</v>
      </c>
      <c r="AR75" s="112"/>
      <c r="AS75" s="112"/>
      <c r="AT75" s="112"/>
      <c r="AU75" s="112"/>
      <c r="AV75" s="112"/>
      <c r="AW75" s="112"/>
      <c r="AY75" s="113"/>
      <c r="AZ75" s="113"/>
      <c r="BA75" s="113"/>
      <c r="BB75" s="113"/>
      <c r="BC75" s="113"/>
      <c r="BD75" s="113"/>
      <c r="BE75" s="268"/>
      <c r="BF75" s="268"/>
      <c r="BG75" s="268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4"/>
      <c r="BT75" s="114"/>
      <c r="BU75" s="114"/>
      <c r="BV75" s="114"/>
      <c r="BW75" s="114"/>
    </row>
    <row r="76" spans="1:256" customFormat="1" ht="14.4" x14ac:dyDescent="0.3">
      <c r="A76" s="182" t="s">
        <v>211</v>
      </c>
      <c r="B76" s="247" t="s">
        <v>212</v>
      </c>
      <c r="C76" s="154" t="s">
        <v>124</v>
      </c>
      <c r="D76" s="269" t="s">
        <v>116</v>
      </c>
      <c r="E76" s="154" t="s">
        <v>117</v>
      </c>
      <c r="F76" s="154" t="s">
        <v>118</v>
      </c>
      <c r="G76" s="155" t="s">
        <v>213</v>
      </c>
      <c r="H76" s="155">
        <v>1</v>
      </c>
      <c r="I76" s="155">
        <v>1</v>
      </c>
      <c r="J76" s="184">
        <f t="shared" si="75"/>
        <v>0</v>
      </c>
      <c r="K76" s="155">
        <v>1</v>
      </c>
      <c r="L76" s="157"/>
      <c r="M76" s="270"/>
      <c r="N76" s="115">
        <v>0</v>
      </c>
      <c r="O76" s="271" t="s">
        <v>124</v>
      </c>
      <c r="P76" s="247" t="s">
        <v>125</v>
      </c>
      <c r="Q76" s="157">
        <v>3</v>
      </c>
      <c r="R76" s="251">
        <v>4.1399999999999997</v>
      </c>
      <c r="S76" s="189">
        <f t="shared" ref="S76:S83" si="109">Q76-R76</f>
        <v>-1.1399999999999997</v>
      </c>
      <c r="T76" s="272"/>
      <c r="U76" s="272">
        <v>0</v>
      </c>
      <c r="V76" s="272">
        <v>1.5</v>
      </c>
      <c r="W76" s="273">
        <f t="shared" ref="W76:W86" si="110">R76</f>
        <v>4.1399999999999997</v>
      </c>
      <c r="X76" s="272"/>
      <c r="Y76" s="115"/>
      <c r="Z76" s="274" t="s">
        <v>116</v>
      </c>
      <c r="AA76" s="272"/>
      <c r="AB76" s="272"/>
      <c r="AC76" s="275"/>
      <c r="AD76" s="276"/>
      <c r="AE76" s="277"/>
      <c r="AF76" s="157"/>
      <c r="AG76" s="272"/>
      <c r="AH76" s="272"/>
      <c r="AI76" s="272"/>
      <c r="AJ76" s="272"/>
      <c r="AK76" s="272"/>
      <c r="AL76" s="270"/>
      <c r="AM76" s="115">
        <v>0</v>
      </c>
      <c r="AN76" s="115">
        <v>0</v>
      </c>
      <c r="AO76" s="115">
        <v>0</v>
      </c>
      <c r="AP76" s="115">
        <v>0</v>
      </c>
      <c r="AQ76" s="116"/>
      <c r="AR76" s="117">
        <v>0</v>
      </c>
      <c r="AS76" s="117">
        <v>0</v>
      </c>
      <c r="AT76" s="117"/>
      <c r="AU76" s="118"/>
      <c r="AV76" s="278"/>
      <c r="AW76" s="118"/>
      <c r="AX76" s="278"/>
      <c r="AY76" s="118"/>
      <c r="AZ76" s="118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121"/>
      <c r="GS76" s="121"/>
      <c r="GT76" s="121"/>
      <c r="GU76" s="121"/>
      <c r="GV76" s="121"/>
      <c r="GW76" s="121"/>
      <c r="GX76" s="121"/>
      <c r="GY76" s="121"/>
      <c r="GZ76" s="121"/>
      <c r="HA76" s="121"/>
      <c r="HB76" s="121"/>
      <c r="HC76" s="121"/>
      <c r="HD76" s="121"/>
      <c r="HE76" s="121"/>
      <c r="HF76" s="121"/>
      <c r="HG76" s="121"/>
      <c r="HH76" s="121"/>
      <c r="HI76" s="121"/>
      <c r="HJ76" s="121"/>
      <c r="HK76" s="121"/>
      <c r="HL76" s="121"/>
      <c r="HM76" s="121"/>
      <c r="HN76" s="121"/>
      <c r="HO76" s="121"/>
      <c r="HP76" s="121"/>
      <c r="HQ76" s="121"/>
      <c r="HR76" s="121"/>
      <c r="HS76" s="121"/>
      <c r="HT76" s="121"/>
      <c r="HU76" s="121"/>
      <c r="HV76" s="121"/>
      <c r="HW76" s="121"/>
      <c r="HX76" s="121"/>
      <c r="HY76" s="121"/>
      <c r="HZ76" s="121"/>
      <c r="IA76" s="121"/>
      <c r="IB76" s="121"/>
      <c r="IC76" s="121"/>
      <c r="ID76" s="121"/>
      <c r="IE76" s="121"/>
      <c r="IF76" s="121"/>
      <c r="IG76" s="121"/>
      <c r="IH76" s="121"/>
      <c r="II76" s="121"/>
      <c r="IJ76" s="121"/>
      <c r="IK76" s="121"/>
      <c r="IL76" s="121"/>
      <c r="IM76" s="121"/>
      <c r="IN76" s="121"/>
      <c r="IO76" s="121"/>
      <c r="IP76" s="121"/>
      <c r="IQ76" s="121"/>
      <c r="IR76" s="121"/>
      <c r="IS76" s="121"/>
      <c r="IT76" s="121"/>
      <c r="IU76" s="121"/>
      <c r="IV76" s="121"/>
    </row>
    <row r="77" spans="1:256" ht="14.4" x14ac:dyDescent="0.3">
      <c r="A77" s="279" t="s">
        <v>122</v>
      </c>
      <c r="B77" s="280" t="s">
        <v>214</v>
      </c>
      <c r="C77" s="281" t="s">
        <v>124</v>
      </c>
      <c r="D77" s="269" t="s">
        <v>116</v>
      </c>
      <c r="E77" s="154" t="s">
        <v>117</v>
      </c>
      <c r="F77" s="154" t="s">
        <v>118</v>
      </c>
      <c r="G77" s="155" t="s">
        <v>213</v>
      </c>
      <c r="H77" s="155">
        <v>1</v>
      </c>
      <c r="I77" s="155">
        <v>1</v>
      </c>
      <c r="J77" s="184">
        <f t="shared" si="75"/>
        <v>0</v>
      </c>
      <c r="K77" s="158">
        <v>1</v>
      </c>
      <c r="L77" s="111"/>
      <c r="M77" s="93"/>
      <c r="N77" s="93"/>
      <c r="O77" s="282" t="s">
        <v>124</v>
      </c>
      <c r="P77" s="154" t="s">
        <v>125</v>
      </c>
      <c r="Q77" s="111">
        <v>1.5</v>
      </c>
      <c r="R77" s="283">
        <v>3.15</v>
      </c>
      <c r="S77" s="189">
        <f t="shared" si="109"/>
        <v>-1.65</v>
      </c>
      <c r="T77" s="71"/>
      <c r="U77" s="71"/>
      <c r="V77" s="71"/>
      <c r="W77" s="284">
        <f t="shared" si="110"/>
        <v>3.15</v>
      </c>
      <c r="X77" s="71"/>
      <c r="Y77" s="71"/>
      <c r="Z77" s="71"/>
      <c r="AA77" s="71"/>
      <c r="AB77" s="71"/>
      <c r="AC77" s="142"/>
      <c r="AD77" s="203"/>
      <c r="AE77" s="122"/>
      <c r="AF77" s="93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93"/>
      <c r="AS77" s="93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</row>
    <row r="78" spans="1:256" ht="14.4" x14ac:dyDescent="0.3">
      <c r="A78" s="279" t="s">
        <v>211</v>
      </c>
      <c r="B78" s="280" t="s">
        <v>215</v>
      </c>
      <c r="C78" s="154" t="s">
        <v>115</v>
      </c>
      <c r="D78" s="269" t="s">
        <v>116</v>
      </c>
      <c r="E78" s="154" t="s">
        <v>117</v>
      </c>
      <c r="F78" s="154" t="s">
        <v>118</v>
      </c>
      <c r="G78" s="155" t="s">
        <v>213</v>
      </c>
      <c r="H78" s="155">
        <v>1</v>
      </c>
      <c r="I78" s="155">
        <v>1</v>
      </c>
      <c r="J78" s="184">
        <f t="shared" si="75"/>
        <v>0</v>
      </c>
      <c r="K78" s="158">
        <v>1</v>
      </c>
      <c r="L78" s="111"/>
      <c r="M78" s="93"/>
      <c r="N78" s="93"/>
      <c r="O78" s="187" t="str">
        <f>C78</f>
        <v>Subscribed</v>
      </c>
      <c r="P78" s="111" t="s">
        <v>108</v>
      </c>
      <c r="Q78" s="285">
        <v>3</v>
      </c>
      <c r="R78" s="286">
        <v>1.35</v>
      </c>
      <c r="S78" s="189">
        <f t="shared" si="109"/>
        <v>1.65</v>
      </c>
      <c r="T78" s="71"/>
      <c r="U78" s="71"/>
      <c r="V78" s="71"/>
      <c r="W78" s="284">
        <f t="shared" si="110"/>
        <v>1.35</v>
      </c>
      <c r="X78" s="71"/>
      <c r="Y78" s="71"/>
      <c r="Z78" s="71"/>
      <c r="AA78" s="71"/>
      <c r="AB78" s="71"/>
      <c r="AC78" s="142"/>
      <c r="AD78">
        <v>2242.2199999999998</v>
      </c>
      <c r="AE78" s="122"/>
      <c r="AF78" s="93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93"/>
      <c r="AS78" s="93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</row>
    <row r="79" spans="1:256" ht="14.4" x14ac:dyDescent="0.3">
      <c r="A79" s="287" t="s">
        <v>211</v>
      </c>
      <c r="B79" s="288" t="s">
        <v>216</v>
      </c>
      <c r="C79" s="289" t="s">
        <v>124</v>
      </c>
      <c r="D79" s="290" t="s">
        <v>116</v>
      </c>
      <c r="E79" s="247" t="s">
        <v>117</v>
      </c>
      <c r="F79" s="247" t="s">
        <v>118</v>
      </c>
      <c r="G79" s="157" t="s">
        <v>213</v>
      </c>
      <c r="H79" s="157">
        <v>1</v>
      </c>
      <c r="I79" s="157">
        <v>1</v>
      </c>
      <c r="J79" s="184">
        <f t="shared" si="75"/>
        <v>0</v>
      </c>
      <c r="K79" s="291">
        <v>1</v>
      </c>
      <c r="L79" s="107"/>
      <c r="M79" s="110"/>
      <c r="N79" s="110"/>
      <c r="O79" s="271" t="s">
        <v>124</v>
      </c>
      <c r="P79" s="107" t="s">
        <v>125</v>
      </c>
      <c r="Q79" s="107">
        <v>3</v>
      </c>
      <c r="R79" s="292">
        <v>1.8744444443999999</v>
      </c>
      <c r="S79" s="252">
        <f t="shared" si="109"/>
        <v>1.1255555556000001</v>
      </c>
      <c r="T79" s="108"/>
      <c r="U79" s="108"/>
      <c r="V79" s="108"/>
      <c r="W79" s="293">
        <f t="shared" si="110"/>
        <v>1.8744444443999999</v>
      </c>
      <c r="X79" s="108"/>
      <c r="Y79" s="108"/>
      <c r="Z79" s="108"/>
      <c r="AA79" s="108"/>
      <c r="AB79" s="108"/>
      <c r="AC79" s="142"/>
      <c r="AD79" s="203"/>
      <c r="AE79" s="139"/>
      <c r="AF79" s="110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10"/>
      <c r="AS79" s="110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</row>
    <row r="80" spans="1:256" ht="14.4" x14ac:dyDescent="0.3">
      <c r="A80" s="182" t="s">
        <v>211</v>
      </c>
      <c r="B80" s="294" t="s">
        <v>217</v>
      </c>
      <c r="C80" s="154" t="s">
        <v>124</v>
      </c>
      <c r="D80" s="269" t="s">
        <v>116</v>
      </c>
      <c r="E80" s="154" t="s">
        <v>117</v>
      </c>
      <c r="F80" s="154" t="s">
        <v>118</v>
      </c>
      <c r="G80" s="155" t="s">
        <v>213</v>
      </c>
      <c r="H80" s="155">
        <v>3</v>
      </c>
      <c r="I80" s="155">
        <v>3</v>
      </c>
      <c r="J80" s="184">
        <f t="shared" si="75"/>
        <v>0</v>
      </c>
      <c r="K80" s="155">
        <v>3</v>
      </c>
      <c r="L80" s="111"/>
      <c r="M80" s="93"/>
      <c r="N80" s="93"/>
      <c r="O80" s="187" t="str">
        <f>C80</f>
        <v>Rated</v>
      </c>
      <c r="P80" s="111" t="s">
        <v>125</v>
      </c>
      <c r="Q80" s="111">
        <v>11</v>
      </c>
      <c r="R80" s="251">
        <v>10.38</v>
      </c>
      <c r="S80" s="189">
        <f t="shared" si="109"/>
        <v>0.61999999999999922</v>
      </c>
      <c r="T80" s="71"/>
      <c r="U80" s="71"/>
      <c r="V80" s="71"/>
      <c r="W80" s="284">
        <f t="shared" si="110"/>
        <v>10.38</v>
      </c>
      <c r="X80" s="71"/>
      <c r="Y80" s="71"/>
      <c r="Z80" s="71"/>
      <c r="AA80" s="71"/>
      <c r="AB80" s="71"/>
      <c r="AC80" s="142"/>
      <c r="AD80" s="203"/>
      <c r="AE80" s="122"/>
      <c r="AF80" s="93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93"/>
      <c r="AS80" s="93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</row>
    <row r="81" spans="1:77" ht="14.4" x14ac:dyDescent="0.3">
      <c r="A81" s="295" t="s">
        <v>122</v>
      </c>
      <c r="B81" s="296" t="s">
        <v>218</v>
      </c>
      <c r="C81" s="154" t="s">
        <v>124</v>
      </c>
      <c r="D81" s="297" t="s">
        <v>116</v>
      </c>
      <c r="E81" s="298" t="s">
        <v>164</v>
      </c>
      <c r="F81" s="154" t="s">
        <v>118</v>
      </c>
      <c r="G81" s="155" t="str">
        <f>IF(E81="Rack","No of Racks",(IF(E81="Space","Sq Ft","U Space")))</f>
        <v>U Space</v>
      </c>
      <c r="H81" s="299">
        <v>21</v>
      </c>
      <c r="I81" s="299">
        <v>21</v>
      </c>
      <c r="J81" s="184">
        <f t="shared" si="75"/>
        <v>0</v>
      </c>
      <c r="K81" s="299"/>
      <c r="L81" s="123"/>
      <c r="M81" s="124"/>
      <c r="N81" s="124"/>
      <c r="O81" s="300" t="s">
        <v>124</v>
      </c>
      <c r="P81" s="123" t="s">
        <v>125</v>
      </c>
      <c r="Q81" s="123">
        <v>1</v>
      </c>
      <c r="R81" s="237">
        <v>0.26</v>
      </c>
      <c r="S81" s="301">
        <f t="shared" si="109"/>
        <v>0.74</v>
      </c>
      <c r="T81" s="125"/>
      <c r="U81" s="125"/>
      <c r="V81" s="125"/>
      <c r="W81" s="284">
        <f t="shared" si="110"/>
        <v>0.26</v>
      </c>
      <c r="X81" s="125"/>
      <c r="Y81" s="125"/>
      <c r="Z81" s="125"/>
      <c r="AA81" s="125"/>
      <c r="AB81" s="125"/>
      <c r="AC81" s="143"/>
      <c r="AD81" s="302"/>
      <c r="AE81" s="140"/>
      <c r="AF81" s="124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4"/>
      <c r="AS81" s="124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</row>
    <row r="82" spans="1:77" ht="14.4" x14ac:dyDescent="0.3">
      <c r="A82" s="182" t="s">
        <v>122</v>
      </c>
      <c r="B82" s="127" t="s">
        <v>219</v>
      </c>
      <c r="C82" s="154" t="s">
        <v>124</v>
      </c>
      <c r="D82" s="297" t="s">
        <v>116</v>
      </c>
      <c r="E82" s="127" t="s">
        <v>164</v>
      </c>
      <c r="F82" s="154" t="s">
        <v>118</v>
      </c>
      <c r="G82" s="155" t="str">
        <f>IF(E82="Rack","No of Racks",(IF(E82="Space","Sq Ft","U Space")))</f>
        <v>U Space</v>
      </c>
      <c r="H82" s="127">
        <v>2</v>
      </c>
      <c r="I82" s="127">
        <v>2</v>
      </c>
      <c r="J82" s="184">
        <f t="shared" si="75"/>
        <v>0</v>
      </c>
      <c r="K82" s="126"/>
      <c r="L82" s="126"/>
      <c r="M82" s="126"/>
      <c r="N82" s="126"/>
      <c r="O82" s="126" t="s">
        <v>124</v>
      </c>
      <c r="P82" s="126" t="s">
        <v>125</v>
      </c>
      <c r="Q82" s="126">
        <v>0.75</v>
      </c>
      <c r="R82" s="251">
        <v>0.133333333333333</v>
      </c>
      <c r="S82" s="303">
        <f t="shared" si="109"/>
        <v>0.61666666666666703</v>
      </c>
      <c r="T82" s="127"/>
      <c r="U82" s="127"/>
      <c r="V82" s="127"/>
      <c r="W82" s="304">
        <f t="shared" si="110"/>
        <v>0.133333333333333</v>
      </c>
      <c r="X82" s="127"/>
      <c r="Y82" s="127"/>
      <c r="Z82" s="127"/>
      <c r="AA82" s="127"/>
      <c r="AB82" s="127"/>
      <c r="AC82" s="143"/>
      <c r="AD82" s="302"/>
      <c r="AE82" s="141"/>
      <c r="AF82" s="128"/>
      <c r="AG82" s="127"/>
      <c r="AH82" s="127"/>
      <c r="AI82" s="127"/>
      <c r="AJ82" s="127"/>
      <c r="AK82" s="127"/>
      <c r="AL82" s="127"/>
      <c r="AM82" s="129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  <c r="BK82" s="127"/>
      <c r="BL82" s="127"/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</row>
    <row r="83" spans="1:77" ht="14.4" x14ac:dyDescent="0.3">
      <c r="A83" s="182" t="s">
        <v>138</v>
      </c>
      <c r="B83" s="71" t="s">
        <v>220</v>
      </c>
      <c r="C83" s="71" t="s">
        <v>124</v>
      </c>
      <c r="D83" s="297" t="s">
        <v>116</v>
      </c>
      <c r="E83" s="71" t="s">
        <v>117</v>
      </c>
      <c r="F83" s="154" t="s">
        <v>118</v>
      </c>
      <c r="G83" s="155" t="s">
        <v>213</v>
      </c>
      <c r="H83" s="71">
        <v>1</v>
      </c>
      <c r="I83" s="71">
        <v>1</v>
      </c>
      <c r="J83" s="184">
        <f t="shared" si="75"/>
        <v>0</v>
      </c>
      <c r="K83" s="111"/>
      <c r="L83" s="111"/>
      <c r="M83" s="111"/>
      <c r="N83" s="111"/>
      <c r="O83" s="126" t="s">
        <v>124</v>
      </c>
      <c r="P83" s="126" t="s">
        <v>125</v>
      </c>
      <c r="Q83" s="111">
        <v>4</v>
      </c>
      <c r="R83" s="283">
        <v>3.25</v>
      </c>
      <c r="S83" s="133">
        <f t="shared" si="109"/>
        <v>0.75</v>
      </c>
      <c r="T83" s="71"/>
      <c r="U83" s="71"/>
      <c r="V83" s="71"/>
      <c r="W83" s="284">
        <f t="shared" si="110"/>
        <v>3.25</v>
      </c>
      <c r="X83" s="71"/>
      <c r="Y83" s="71"/>
      <c r="Z83" s="71"/>
      <c r="AA83" s="71"/>
      <c r="AB83" s="71"/>
      <c r="AC83" s="142"/>
      <c r="AD83" s="203"/>
      <c r="AE83" s="122"/>
      <c r="AF83" s="93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</row>
    <row r="84" spans="1:77" ht="14.4" x14ac:dyDescent="0.3">
      <c r="A84" s="182" t="s">
        <v>122</v>
      </c>
      <c r="B84" s="71" t="s">
        <v>221</v>
      </c>
      <c r="C84" s="71" t="s">
        <v>124</v>
      </c>
      <c r="D84" s="297" t="s">
        <v>116</v>
      </c>
      <c r="E84" s="127" t="s">
        <v>164</v>
      </c>
      <c r="F84" s="154" t="s">
        <v>118</v>
      </c>
      <c r="G84" s="155" t="str">
        <f>IF(E84="Rack","No of Racks",(IF(E84="Space","Sq Ft","U Space")))</f>
        <v>U Space</v>
      </c>
      <c r="H84" s="71"/>
      <c r="I84" s="71"/>
      <c r="J84" s="184"/>
      <c r="K84" s="111"/>
      <c r="L84" s="111"/>
      <c r="M84" s="111"/>
      <c r="N84" s="111"/>
      <c r="O84" s="126" t="s">
        <v>124</v>
      </c>
      <c r="P84" s="126" t="s">
        <v>125</v>
      </c>
      <c r="Q84" s="111"/>
      <c r="R84" s="305">
        <v>0.34888888889000003</v>
      </c>
      <c r="S84" s="133"/>
      <c r="T84" s="71"/>
      <c r="U84" s="71"/>
      <c r="V84" s="71"/>
      <c r="W84" s="304">
        <f t="shared" si="110"/>
        <v>0.34888888889000003</v>
      </c>
      <c r="X84" s="71"/>
      <c r="Y84" s="71"/>
      <c r="Z84" s="71"/>
      <c r="AA84" s="71"/>
      <c r="AB84" s="71"/>
      <c r="AC84" s="142"/>
      <c r="AD84" s="203"/>
      <c r="AE84" s="122"/>
      <c r="AF84" s="93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</row>
    <row r="85" spans="1:77" ht="14.4" x14ac:dyDescent="0.3">
      <c r="A85" s="182" t="s">
        <v>113</v>
      </c>
      <c r="B85" s="108" t="s">
        <v>222</v>
      </c>
      <c r="C85" s="108" t="s">
        <v>124</v>
      </c>
      <c r="D85" s="306" t="s">
        <v>116</v>
      </c>
      <c r="E85" s="108" t="s">
        <v>117</v>
      </c>
      <c r="F85" s="247" t="s">
        <v>118</v>
      </c>
      <c r="G85" s="108"/>
      <c r="H85" s="108">
        <v>4</v>
      </c>
      <c r="I85" s="108">
        <v>4</v>
      </c>
      <c r="J85" s="307">
        <f>H85-I85</f>
        <v>0</v>
      </c>
      <c r="K85" s="107"/>
      <c r="L85" s="107"/>
      <c r="M85" s="107"/>
      <c r="N85" s="107"/>
      <c r="O85" s="308" t="s">
        <v>124</v>
      </c>
      <c r="P85" s="308" t="s">
        <v>125</v>
      </c>
      <c r="Q85" s="107"/>
      <c r="R85" s="196">
        <v>4.43</v>
      </c>
      <c r="S85" s="130"/>
      <c r="T85" s="108"/>
      <c r="U85" s="108"/>
      <c r="V85" s="108"/>
      <c r="W85" s="309">
        <f t="shared" si="110"/>
        <v>4.43</v>
      </c>
      <c r="X85" s="108"/>
      <c r="Y85" s="108"/>
      <c r="Z85" s="108"/>
      <c r="AA85" s="108"/>
      <c r="AB85" s="108"/>
      <c r="AC85" s="142"/>
      <c r="AD85" s="203"/>
      <c r="AE85" s="139"/>
      <c r="AF85" s="110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</row>
    <row r="86" spans="1:77" x14ac:dyDescent="0.3">
      <c r="A86" s="182" t="s">
        <v>122</v>
      </c>
      <c r="B86" s="108" t="s">
        <v>223</v>
      </c>
      <c r="C86" s="108"/>
      <c r="D86" s="108"/>
      <c r="E86" s="310" t="s">
        <v>164</v>
      </c>
      <c r="F86" s="311" t="s">
        <v>118</v>
      </c>
      <c r="G86" s="312" t="str">
        <f>IF(E86="Rack","No of Racks",(IF(E86="Space","Sq Ft","U Space")))</f>
        <v>U Space</v>
      </c>
      <c r="H86" s="313">
        <v>3</v>
      </c>
      <c r="I86" s="313">
        <v>2</v>
      </c>
      <c r="J86" s="314">
        <f t="shared" ref="J86" si="111">H86-I86</f>
        <v>1</v>
      </c>
      <c r="K86" s="315"/>
      <c r="L86" s="315"/>
      <c r="M86" s="315"/>
      <c r="N86" s="315"/>
      <c r="O86" s="308" t="s">
        <v>124</v>
      </c>
      <c r="P86" s="316" t="s">
        <v>125</v>
      </c>
      <c r="Q86" s="315"/>
      <c r="R86" s="317">
        <v>0.14699999999999999</v>
      </c>
      <c r="S86" s="314"/>
      <c r="T86" s="313"/>
      <c r="U86" s="313"/>
      <c r="V86" s="313"/>
      <c r="W86" s="318">
        <f t="shared" si="110"/>
        <v>0.14699999999999999</v>
      </c>
      <c r="X86" s="108"/>
      <c r="Y86" s="108"/>
      <c r="Z86" s="108"/>
      <c r="AA86" s="108"/>
      <c r="AB86" s="108"/>
      <c r="AC86" s="108"/>
      <c r="AD86" s="110"/>
      <c r="AE86" s="110"/>
      <c r="AF86" s="110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</row>
    <row r="87" spans="1:77" ht="30" customHeight="1" x14ac:dyDescent="0.3">
      <c r="A87" s="182" t="s">
        <v>205</v>
      </c>
      <c r="B87" s="71" t="s">
        <v>224</v>
      </c>
      <c r="C87" s="71"/>
      <c r="D87" s="131"/>
      <c r="E87" s="71" t="s">
        <v>117</v>
      </c>
      <c r="F87" s="132"/>
      <c r="G87" s="71"/>
      <c r="H87" s="71">
        <v>4</v>
      </c>
      <c r="I87" s="71">
        <v>4</v>
      </c>
      <c r="J87" s="133">
        <f>H87-I87</f>
        <v>0</v>
      </c>
      <c r="K87" s="111"/>
      <c r="L87" s="111"/>
      <c r="M87" s="111"/>
      <c r="N87" s="111"/>
      <c r="O87" s="111"/>
      <c r="P87" s="111"/>
      <c r="Q87" s="111"/>
      <c r="R87" s="319">
        <v>6.53</v>
      </c>
      <c r="S87" s="133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93"/>
      <c r="AE87" s="93"/>
      <c r="AF87" s="93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</row>
    <row r="88" spans="1:77" x14ac:dyDescent="0.3">
      <c r="A88" s="320" t="s">
        <v>225</v>
      </c>
      <c r="B88" s="313" t="s">
        <v>226</v>
      </c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7">
        <v>2.7776999999999998</v>
      </c>
      <c r="S88" s="313"/>
      <c r="T88" s="313"/>
      <c r="U88" s="313"/>
      <c r="V88" s="313"/>
      <c r="W88" s="313">
        <f>R88</f>
        <v>2.7776999999999998</v>
      </c>
      <c r="X88" s="313"/>
      <c r="Y88" s="313"/>
      <c r="Z88" s="313"/>
      <c r="AA88" s="313"/>
      <c r="AB88" s="313"/>
      <c r="AC88" s="313"/>
      <c r="AD88" s="313"/>
      <c r="AE88" s="313"/>
      <c r="AF88" s="313"/>
      <c r="AG88" s="313"/>
      <c r="AH88" s="313"/>
      <c r="AI88" s="313"/>
      <c r="AJ88" s="313"/>
      <c r="AK88" s="313"/>
      <c r="AL88" s="313"/>
      <c r="AM88" s="313"/>
      <c r="AN88" s="313"/>
      <c r="AO88" s="313"/>
      <c r="AP88" s="313"/>
      <c r="AQ88" s="313"/>
      <c r="AR88" s="313"/>
      <c r="AS88" s="313"/>
      <c r="AT88" s="313"/>
      <c r="AU88" s="313"/>
      <c r="AV88" s="313"/>
      <c r="AW88" s="313"/>
      <c r="AX88" s="313"/>
      <c r="AY88" s="313"/>
      <c r="AZ88" s="313"/>
      <c r="BA88" s="313"/>
      <c r="BB88" s="313"/>
      <c r="BC88" s="313"/>
      <c r="BD88" s="313"/>
      <c r="BE88" s="313"/>
      <c r="BF88" s="313"/>
      <c r="BG88" s="313"/>
      <c r="BH88" s="313"/>
      <c r="BI88" s="313"/>
      <c r="BJ88" s="313"/>
      <c r="BK88" s="313"/>
      <c r="BL88" s="313"/>
      <c r="BM88" s="313"/>
      <c r="BN88" s="313"/>
      <c r="BO88" s="313"/>
      <c r="BP88" s="313"/>
      <c r="BQ88" s="313"/>
      <c r="BR88" s="313"/>
      <c r="BS88" s="313"/>
      <c r="BT88" s="313"/>
      <c r="BU88" s="313"/>
      <c r="BV88" s="313"/>
      <c r="BW88" s="313"/>
      <c r="BX88" s="313"/>
      <c r="BY88" s="313"/>
    </row>
    <row r="89" spans="1:77" x14ac:dyDescent="0.3">
      <c r="A89" s="321" t="s">
        <v>211</v>
      </c>
      <c r="B89" s="313" t="s">
        <v>227</v>
      </c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7">
        <v>3.8</v>
      </c>
      <c r="S89" s="313"/>
      <c r="T89" s="313"/>
      <c r="U89" s="313"/>
      <c r="V89" s="313"/>
      <c r="W89" s="313">
        <f>R89</f>
        <v>3.8</v>
      </c>
      <c r="X89" s="313"/>
      <c r="Y89" s="313"/>
      <c r="Z89" s="313"/>
      <c r="AA89" s="313"/>
      <c r="AB89" s="313"/>
      <c r="AC89" s="313"/>
      <c r="AD89" s="313"/>
      <c r="AE89" s="313"/>
      <c r="AF89" s="313"/>
      <c r="AG89" s="313"/>
      <c r="AH89" s="313"/>
      <c r="AI89" s="313"/>
      <c r="AJ89" s="313"/>
      <c r="AK89" s="313"/>
      <c r="AL89" s="313"/>
      <c r="AM89" s="313"/>
      <c r="AN89" s="313"/>
      <c r="AO89" s="313"/>
      <c r="AP89" s="313"/>
      <c r="AQ89" s="313"/>
      <c r="AR89" s="313"/>
      <c r="AS89" s="313"/>
      <c r="AT89" s="313"/>
      <c r="AU89" s="313"/>
      <c r="AV89" s="313"/>
      <c r="AW89" s="313"/>
      <c r="AX89" s="313"/>
      <c r="AY89" s="313"/>
      <c r="AZ89" s="313"/>
      <c r="BA89" s="313"/>
      <c r="BB89" s="313"/>
      <c r="BC89" s="313"/>
      <c r="BD89" s="313"/>
      <c r="BE89" s="313"/>
      <c r="BF89" s="313"/>
      <c r="BG89" s="313"/>
      <c r="BH89" s="313"/>
      <c r="BI89" s="313"/>
      <c r="BJ89" s="313"/>
      <c r="BK89" s="313"/>
      <c r="BL89" s="313"/>
      <c r="BM89" s="313"/>
      <c r="BN89" s="313"/>
      <c r="BO89" s="313"/>
      <c r="BP89" s="313"/>
      <c r="BQ89" s="313"/>
      <c r="BR89" s="313"/>
      <c r="BS89" s="313"/>
      <c r="BT89" s="313"/>
      <c r="BU89" s="313"/>
      <c r="BV89" s="313"/>
      <c r="BW89" s="313"/>
      <c r="BX89" s="313"/>
      <c r="BY89" s="313"/>
    </row>
    <row r="90" spans="1:77" x14ac:dyDescent="0.3">
      <c r="A90" s="321" t="s">
        <v>211</v>
      </c>
      <c r="B90" s="313" t="s">
        <v>228</v>
      </c>
      <c r="C90" s="313"/>
      <c r="D90" s="322"/>
      <c r="E90" s="313"/>
      <c r="F90" s="311"/>
      <c r="G90" s="312"/>
      <c r="H90" s="313"/>
      <c r="I90" s="313"/>
      <c r="J90" s="314"/>
      <c r="K90" s="315"/>
      <c r="L90" s="315"/>
      <c r="M90" s="315"/>
      <c r="N90" s="315"/>
      <c r="O90" s="315"/>
      <c r="P90" s="315"/>
      <c r="Q90" s="315"/>
      <c r="R90" s="317">
        <v>2.84</v>
      </c>
      <c r="S90" s="314"/>
      <c r="T90" s="313"/>
      <c r="U90" s="313"/>
      <c r="V90" s="313"/>
      <c r="W90" s="318">
        <f>R90</f>
        <v>2.84</v>
      </c>
      <c r="X90" s="313"/>
      <c r="Y90" s="313"/>
      <c r="Z90" s="313"/>
      <c r="AA90" s="313"/>
      <c r="AB90" s="313"/>
      <c r="AC90" s="313"/>
      <c r="AD90" s="323"/>
      <c r="AE90" s="323"/>
      <c r="AF90" s="323"/>
      <c r="AG90" s="313"/>
      <c r="AH90" s="313"/>
      <c r="AI90" s="313"/>
      <c r="AJ90" s="313"/>
      <c r="AK90" s="313"/>
      <c r="AL90" s="313"/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3"/>
      <c r="AY90" s="313"/>
      <c r="AZ90" s="313"/>
      <c r="BA90" s="313"/>
      <c r="BB90" s="313"/>
      <c r="BC90" s="313"/>
      <c r="BD90" s="313"/>
      <c r="BE90" s="313"/>
      <c r="BF90" s="313"/>
      <c r="BG90" s="313"/>
      <c r="BH90" s="313"/>
      <c r="BI90" s="313"/>
      <c r="BJ90" s="313"/>
      <c r="BK90" s="313"/>
      <c r="BL90" s="313"/>
      <c r="BM90" s="313"/>
      <c r="BN90" s="313"/>
      <c r="BO90" s="313"/>
      <c r="BP90" s="313"/>
      <c r="BQ90" s="313"/>
      <c r="BR90" s="313"/>
      <c r="BS90" s="313"/>
      <c r="BT90" s="313"/>
      <c r="BU90" s="313"/>
      <c r="BV90" s="313"/>
      <c r="BW90" s="313"/>
      <c r="BX90" s="313"/>
      <c r="BY90" s="313"/>
    </row>
    <row r="91" spans="1:77" x14ac:dyDescent="0.3">
      <c r="A91" s="321" t="s">
        <v>229</v>
      </c>
      <c r="B91" s="313" t="s">
        <v>228</v>
      </c>
      <c r="C91" s="313"/>
      <c r="D91" s="322"/>
      <c r="E91" s="313"/>
      <c r="F91" s="311"/>
      <c r="G91" s="312"/>
      <c r="H91" s="313"/>
      <c r="I91" s="313"/>
      <c r="J91" s="314"/>
      <c r="K91" s="315"/>
      <c r="L91" s="315"/>
      <c r="M91" s="315"/>
      <c r="N91" s="315"/>
      <c r="O91" s="315"/>
      <c r="P91" s="315"/>
      <c r="Q91" s="315"/>
      <c r="R91" s="317">
        <v>3.956</v>
      </c>
      <c r="S91" s="314"/>
      <c r="T91" s="313"/>
      <c r="U91" s="313"/>
      <c r="V91" s="313"/>
      <c r="W91" s="318">
        <f>R91</f>
        <v>3.956</v>
      </c>
      <c r="X91" s="313"/>
      <c r="Y91" s="313"/>
      <c r="Z91" s="313"/>
      <c r="AA91" s="313"/>
      <c r="AB91" s="313"/>
      <c r="AC91" s="313"/>
      <c r="AD91" s="323"/>
      <c r="AE91" s="323"/>
      <c r="AF91" s="32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3"/>
      <c r="AY91" s="313"/>
      <c r="AZ91" s="313"/>
      <c r="BA91" s="313"/>
      <c r="BB91" s="313"/>
      <c r="BC91" s="313"/>
      <c r="BD91" s="313"/>
      <c r="BE91" s="313"/>
      <c r="BF91" s="313"/>
      <c r="BG91" s="313"/>
      <c r="BH91" s="313"/>
      <c r="BI91" s="313"/>
      <c r="BJ91" s="313"/>
      <c r="BK91" s="313"/>
      <c r="BL91" s="313"/>
      <c r="BM91" s="313"/>
      <c r="BN91" s="313"/>
      <c r="BO91" s="313"/>
      <c r="BP91" s="313"/>
      <c r="BQ91" s="313"/>
      <c r="BR91" s="313"/>
      <c r="BS91" s="313"/>
      <c r="BT91" s="313"/>
      <c r="BU91" s="313"/>
      <c r="BV91" s="313"/>
      <c r="BW91" s="313"/>
      <c r="BX91" s="313"/>
      <c r="BY91" s="313"/>
    </row>
  </sheetData>
  <mergeCells count="11">
    <mergeCell ref="AM21:AT21"/>
    <mergeCell ref="AU21:AX21"/>
    <mergeCell ref="H2:I2"/>
    <mergeCell ref="Q5:R5"/>
    <mergeCell ref="O6:R6"/>
    <mergeCell ref="N7:R7"/>
    <mergeCell ref="C21:D21"/>
    <mergeCell ref="E21:M21"/>
    <mergeCell ref="O21:Y21"/>
    <mergeCell ref="Z21:AD21"/>
    <mergeCell ref="AE21:AL21"/>
  </mergeCells>
  <conditionalFormatting sqref="Y23:Y74">
    <cfRule type="cellIs" dxfId="54" priority="9" operator="lessThanOrEqual">
      <formula>0</formula>
    </cfRule>
    <cfRule type="cellIs" dxfId="53" priority="10" operator="lessThanOrEqual">
      <formula>0</formula>
    </cfRule>
  </conditionalFormatting>
  <conditionalFormatting sqref="Y76">
    <cfRule type="cellIs" dxfId="52" priority="3" operator="lessThanOrEqual">
      <formula>0</formula>
    </cfRule>
    <cfRule type="cellIs" dxfId="51" priority="2" operator="lessThanOrEqual">
      <formula>0</formula>
    </cfRule>
  </conditionalFormatting>
  <conditionalFormatting sqref="BC23:BF43">
    <cfRule type="cellIs" dxfId="50" priority="4" operator="lessThan">
      <formula>#REF!</formula>
    </cfRule>
    <cfRule type="cellIs" dxfId="49" priority="5" operator="between">
      <formula>#REF!</formula>
      <formula>$J$6</formula>
    </cfRule>
    <cfRule type="cellIs" dxfId="48" priority="6" operator="between">
      <formula>$J$6</formula>
      <formula>$J$5</formula>
    </cfRule>
    <cfRule type="cellIs" dxfId="47" priority="7" operator="greaterThan">
      <formula>$J$4</formula>
    </cfRule>
    <cfRule type="cellIs" dxfId="46" priority="8" operator="between">
      <formula>$J$5</formula>
      <formula>$J$4</formula>
    </cfRule>
  </conditionalFormatting>
  <conditionalFormatting sqref="BC44:BF48">
    <cfRule type="cellIs" dxfId="45" priority="56" operator="between">
      <formula>$J$5</formula>
      <formula>$J$4</formula>
    </cfRule>
    <cfRule type="cellIs" dxfId="44" priority="55" operator="greaterThan">
      <formula>$J$4</formula>
    </cfRule>
  </conditionalFormatting>
  <conditionalFormatting sqref="BC44:BF63">
    <cfRule type="cellIs" dxfId="43" priority="35" operator="lessThan">
      <formula>#REF!</formula>
    </cfRule>
    <cfRule type="cellIs" dxfId="42" priority="36" operator="between">
      <formula>#REF!</formula>
      <formula>$J$6</formula>
    </cfRule>
    <cfRule type="cellIs" dxfId="41" priority="37" operator="between">
      <formula>$J$6</formula>
      <formula>$J$5</formula>
    </cfRule>
  </conditionalFormatting>
  <conditionalFormatting sqref="BC49:BF49">
    <cfRule type="cellIs" dxfId="40" priority="33" operator="greaterThan">
      <formula>$J$4</formula>
    </cfRule>
    <cfRule type="cellIs" dxfId="39" priority="34" operator="between">
      <formula>$J$5</formula>
      <formula>$J$4</formula>
    </cfRule>
  </conditionalFormatting>
  <conditionalFormatting sqref="BC50:BF68">
    <cfRule type="cellIs" dxfId="38" priority="40" operator="between">
      <formula>$J$5</formula>
      <formula>$J$4</formula>
    </cfRule>
    <cfRule type="cellIs" dxfId="37" priority="39" operator="greaterThan">
      <formula>$J$4</formula>
    </cfRule>
  </conditionalFormatting>
  <conditionalFormatting sqref="BC64:BF65">
    <cfRule type="cellIs" dxfId="36" priority="43" operator="between">
      <formula>$J$6</formula>
      <formula>$J$5</formula>
    </cfRule>
    <cfRule type="cellIs" dxfId="35" priority="41" operator="lessThan">
      <formula>#REF!</formula>
    </cfRule>
    <cfRule type="cellIs" dxfId="34" priority="42" operator="between">
      <formula>#REF!</formula>
      <formula>$J$6</formula>
    </cfRule>
  </conditionalFormatting>
  <conditionalFormatting sqref="BC66:BF70">
    <cfRule type="cellIs" dxfId="33" priority="31" operator="between">
      <formula>$J$6</formula>
      <formula>$J$5</formula>
    </cfRule>
    <cfRule type="cellIs" dxfId="32" priority="30" operator="between">
      <formula>#REF!</formula>
      <formula>$J$6</formula>
    </cfRule>
    <cfRule type="cellIs" dxfId="31" priority="29" operator="lessThan">
      <formula>#REF!</formula>
    </cfRule>
  </conditionalFormatting>
  <conditionalFormatting sqref="BC69:BF69">
    <cfRule type="cellIs" dxfId="30" priority="28" operator="between">
      <formula>$J$5</formula>
      <formula>$J$4</formula>
    </cfRule>
    <cfRule type="cellIs" dxfId="29" priority="27" operator="greaterThan">
      <formula>$J$4</formula>
    </cfRule>
  </conditionalFormatting>
  <conditionalFormatting sqref="BC70:BF72">
    <cfRule type="cellIs" dxfId="28" priority="46" operator="between">
      <formula>$J$5</formula>
      <formula>$J$4</formula>
    </cfRule>
    <cfRule type="cellIs" dxfId="27" priority="45" operator="greaterThan">
      <formula>$J$4</formula>
    </cfRule>
  </conditionalFormatting>
  <conditionalFormatting sqref="BC71:BF72">
    <cfRule type="cellIs" dxfId="26" priority="49" operator="between">
      <formula>$J$6</formula>
      <formula>$J$5</formula>
    </cfRule>
    <cfRule type="cellIs" dxfId="25" priority="48" operator="between">
      <formula>#REF!</formula>
      <formula>$J$6</formula>
    </cfRule>
    <cfRule type="cellIs" dxfId="24" priority="47" operator="lessThan">
      <formula>#REF!</formula>
    </cfRule>
  </conditionalFormatting>
  <conditionalFormatting sqref="BC73:BF73">
    <cfRule type="cellIs" dxfId="23" priority="21" operator="greaterThan">
      <formula>$J$4</formula>
    </cfRule>
    <cfRule type="cellIs" dxfId="22" priority="22" operator="between">
      <formula>$J$5</formula>
      <formula>$J$4</formula>
    </cfRule>
  </conditionalFormatting>
  <conditionalFormatting sqref="BC73:BF74">
    <cfRule type="cellIs" dxfId="21" priority="23" operator="lessThan">
      <formula>#REF!</formula>
    </cfRule>
    <cfRule type="cellIs" dxfId="20" priority="24" operator="between">
      <formula>#REF!</formula>
      <formula>$J$6</formula>
    </cfRule>
    <cfRule type="cellIs" dxfId="19" priority="25" operator="between">
      <formula>$J$6</formula>
      <formula>$J$5</formula>
    </cfRule>
  </conditionalFormatting>
  <conditionalFormatting sqref="BC74:BF74">
    <cfRule type="cellIs" dxfId="18" priority="59" operator="greaterThan">
      <formula>$J$4</formula>
    </cfRule>
    <cfRule type="cellIs" dxfId="17" priority="60" operator="between">
      <formula>$J$5</formula>
      <formula>$J$4</formula>
    </cfRule>
  </conditionalFormatting>
  <conditionalFormatting sqref="BW26:BY2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9:BY29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1:BY31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3:BY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4:BY3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6:BY3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9:BY40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3:BY4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8:BY48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9:BY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1:BY51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2:BY5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1:BY6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4:BY6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6:BY66 BW41:BY42 BW50:BY50 BW30:BY30 BW32:BY32 BW23:BY25 BW44:BY47 BW27:BY28 BW35:BY35 BW53:BY60 BW37:BY38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7:BY67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8:BY6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9:BY6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0:BY70 BW74:BY74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1:BY71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2:BY72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3:BY7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9">
    <dataValidation type="list" allowBlank="1" showInputMessage="1" showErrorMessage="1" sqref="C23:C74 D73 C76:C82" xr:uid="{00000000-0002-0000-0000-000000000000}">
      <formula1>"Rated,Subscribed"</formula1>
      <formula2>0</formula2>
    </dataValidation>
    <dataValidation type="list" allowBlank="1" showInputMessage="1" showErrorMessage="1" sqref="AE23:AE74 AD75 AE76" xr:uid="{00000000-0002-0000-0000-000001000000}">
      <formula1>"No of Seats,Space"</formula1>
      <formula2>0</formula2>
    </dataValidation>
    <dataValidation type="list" allowBlank="1" showInputMessage="1" showErrorMessage="1" sqref="AT76 AT23:AT74" xr:uid="{00000000-0002-0000-0000-000002000000}">
      <formula1>"Qtrly Adv,Qtry Ars,Monthly Adv,Monthly Ars"</formula1>
      <formula2>0</formula2>
    </dataValidation>
    <dataValidation type="list" allowBlank="1" showInputMessage="1" showErrorMessage="1" sqref="AB76 AB23:AB74" xr:uid="{00000000-0002-0000-0000-000004000000}">
      <formula1>"Fixed,Variable"</formula1>
      <formula2>0</formula2>
    </dataValidation>
    <dataValidation type="list" allowBlank="1" showInputMessage="1" showErrorMessage="1" sqref="P76:P77 P23:P74" xr:uid="{00000000-0002-0000-0000-000005000000}">
      <formula1>"KW,KVA"</formula1>
      <formula2>0</formula2>
    </dataValidation>
    <dataValidation type="list" allowBlank="1" showInputMessage="1" showErrorMessage="1" promptTitle="Rack, U Space, Cage" sqref="F76:F85 F23:F74" xr:uid="{00000000-0002-0000-0000-000006000000}">
      <formula1>"Caged,Uncaged"</formula1>
      <formula2>0</formula2>
    </dataValidation>
    <dataValidation type="list" allowBlank="1" showInputMessage="1" showErrorMessage="1" promptTitle="Rack, U Space, Cage" sqref="E76:E81 E23:E74" xr:uid="{00000000-0002-0000-0000-000007000000}">
      <formula1>"Space,Rack,U space"</formula1>
      <formula2>0</formula2>
    </dataValidation>
    <dataValidation type="list" allowBlank="1" showInputMessage="1" showErrorMessage="1" sqref="D76:D85 D23:D72 D74" xr:uid="{00000000-0002-0000-0000-000008000000}">
      <formula1>"Bundled,Metered"</formula1>
      <formula2>0</formula2>
    </dataValidation>
    <dataValidation type="list" allowBlank="1" showInputMessage="1" showErrorMessage="1" promptTitle="Rack, U Space, Cage" sqref="F90:F91 F86" xr:uid="{E54673FD-2267-4A3F-AC94-9C82558418B7}">
      <formula1>"Caged,Uncaged"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0"/>
  <sheetViews>
    <sheetView topLeftCell="H21" zoomScaleNormal="100" workbookViewId="0">
      <selection activeCell="R32" sqref="R32"/>
    </sheetView>
  </sheetViews>
  <sheetFormatPr defaultColWidth="9.109375" defaultRowHeight="12" x14ac:dyDescent="0.3"/>
  <cols>
    <col min="1" max="1" width="37" style="2" customWidth="1"/>
    <col min="2" max="2" width="18.88671875" style="3" customWidth="1"/>
    <col min="3" max="4" width="17.109375" style="2" customWidth="1"/>
    <col min="5" max="5" width="10.6640625" style="2" customWidth="1"/>
    <col min="6" max="6" width="12.88671875" style="2" customWidth="1"/>
    <col min="7" max="8" width="11" style="2" customWidth="1"/>
    <col min="9" max="9" width="9.109375" style="2" customWidth="1"/>
    <col min="10" max="10" width="10.6640625" style="4" customWidth="1"/>
    <col min="11" max="11" width="10.6640625" style="5" customWidth="1"/>
    <col min="12" max="12" width="13.88671875" style="5" customWidth="1"/>
    <col min="13" max="13" width="13.44140625" style="5" customWidth="1"/>
    <col min="14" max="14" width="12" style="5" customWidth="1"/>
    <col min="15" max="15" width="11" style="5" customWidth="1"/>
    <col min="16" max="16" width="6.88671875" style="5" customWidth="1"/>
    <col min="17" max="17" width="10.109375" style="6" customWidth="1"/>
    <col min="18" max="18" width="7.6640625" style="2" customWidth="1"/>
    <col min="19" max="19" width="9" style="4" customWidth="1"/>
    <col min="20" max="20" width="16.44140625" style="2" customWidth="1"/>
    <col min="21" max="21" width="14.44140625" style="2" customWidth="1"/>
    <col min="22" max="22" width="12.109375" style="2" customWidth="1"/>
    <col min="23" max="23" width="6.5546875" style="2" customWidth="1"/>
    <col min="24" max="24" width="9" style="2" customWidth="1"/>
    <col min="25" max="25" width="14.5546875" style="2" customWidth="1"/>
    <col min="26" max="26" width="11.109375" style="2" customWidth="1"/>
    <col min="27" max="27" width="7.6640625" style="2" customWidth="1"/>
    <col min="28" max="28" width="13.44140625" style="2" customWidth="1"/>
    <col min="29" max="29" width="10.33203125" style="2" customWidth="1"/>
    <col min="30" max="30" width="20.44140625" style="7" bestFit="1" customWidth="1"/>
    <col min="31" max="31" width="10.5546875" style="7" customWidth="1"/>
    <col min="32" max="32" width="9.33203125" style="7" customWidth="1"/>
    <col min="33" max="33" width="7.33203125" style="2" customWidth="1"/>
    <col min="34" max="34" width="7.109375" style="2" customWidth="1"/>
    <col min="35" max="35" width="7.6640625" style="2" customWidth="1"/>
    <col min="36" max="36" width="6.6640625" style="2" customWidth="1"/>
    <col min="37" max="37" width="9.33203125" style="2" customWidth="1"/>
    <col min="38" max="38" width="10.44140625" style="2" customWidth="1"/>
    <col min="39" max="39" width="15" style="2" customWidth="1"/>
    <col min="40" max="40" width="10.109375" style="2" customWidth="1"/>
    <col min="41" max="41" width="11.44140625" style="2" customWidth="1"/>
    <col min="42" max="42" width="9.44140625" style="2" customWidth="1"/>
    <col min="43" max="43" width="11.109375" style="2" customWidth="1"/>
    <col min="44" max="44" width="11.88671875" style="2" customWidth="1"/>
    <col min="45" max="45" width="13.5546875" style="2" customWidth="1"/>
    <col min="46" max="46" width="10.5546875" style="2" customWidth="1"/>
    <col min="47" max="47" width="18.33203125" style="8" customWidth="1"/>
    <col min="48" max="48" width="8.6640625" style="8" customWidth="1"/>
    <col min="49" max="49" width="10.5546875" style="8" customWidth="1"/>
    <col min="50" max="50" width="9.5546875" style="8" customWidth="1"/>
    <col min="51" max="51" width="23" style="2" customWidth="1"/>
    <col min="52" max="52" width="6.5546875" style="2" customWidth="1"/>
    <col min="53" max="53" width="10.44140625" style="2" customWidth="1"/>
    <col min="54" max="54" width="9.5546875" style="2" customWidth="1"/>
    <col min="55" max="58" width="9.109375" style="2"/>
    <col min="59" max="61" width="12.5546875" style="2" customWidth="1"/>
    <col min="62" max="67" width="10.6640625" style="2" customWidth="1"/>
    <col min="68" max="68" width="9.88671875" style="2" customWidth="1"/>
    <col min="69" max="69" width="10.6640625" style="2" customWidth="1"/>
    <col min="70" max="71" width="9.109375" style="2"/>
    <col min="72" max="72" width="9.88671875" style="2" customWidth="1"/>
    <col min="73" max="73" width="10.6640625" style="2" customWidth="1"/>
    <col min="74" max="74" width="11.33203125" style="2" customWidth="1"/>
    <col min="75" max="16384" width="9.109375" style="2"/>
  </cols>
  <sheetData>
    <row r="1" spans="1:50" ht="48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H1" s="4"/>
      <c r="J1" s="11" t="s">
        <v>6</v>
      </c>
      <c r="K1" s="12" t="s">
        <v>7</v>
      </c>
      <c r="L1" s="12" t="s">
        <v>8</v>
      </c>
      <c r="M1" s="13"/>
      <c r="N1" s="13"/>
      <c r="O1" s="2"/>
      <c r="P1" s="13"/>
      <c r="Q1" s="2"/>
      <c r="T1" s="14"/>
      <c r="U1" s="14"/>
      <c r="V1" s="14"/>
      <c r="W1" s="14"/>
      <c r="X1" s="14"/>
      <c r="Y1" s="14"/>
      <c r="Z1" s="14"/>
      <c r="AA1" s="14"/>
      <c r="AB1" s="14"/>
      <c r="AC1" s="134"/>
      <c r="AD1" s="15"/>
      <c r="AE1" s="15"/>
      <c r="AF1" s="15"/>
      <c r="AG1" s="14"/>
      <c r="AH1" s="14"/>
      <c r="AI1" s="14"/>
      <c r="AJ1" s="14"/>
      <c r="AK1" s="14"/>
      <c r="AL1" s="14"/>
      <c r="AU1" s="2"/>
      <c r="AV1" s="2"/>
      <c r="AW1" s="2"/>
      <c r="AX1" s="2"/>
    </row>
    <row r="2" spans="1:50" x14ac:dyDescent="0.3">
      <c r="A2" s="16" t="s">
        <v>9</v>
      </c>
      <c r="B2" s="17">
        <f>SUM(B3:B9)</f>
        <v>10335</v>
      </c>
      <c r="C2" s="17">
        <f>SUM(C3:C9)</f>
        <v>8144.2428749255778</v>
      </c>
      <c r="D2" s="18">
        <f>(D3+D4+D5+D6+D7+D8+D9)*1.7</f>
        <v>17569.5</v>
      </c>
      <c r="E2" s="18">
        <f>SUM(C2:D2)</f>
        <v>25713.742874925578</v>
      </c>
      <c r="F2" s="18">
        <f>B2-E2</f>
        <v>-15378.742874925578</v>
      </c>
      <c r="H2" s="335" t="s">
        <v>10</v>
      </c>
      <c r="I2" s="335"/>
      <c r="J2" s="19">
        <v>6000</v>
      </c>
      <c r="K2" s="20">
        <v>0</v>
      </c>
      <c r="L2" s="21">
        <v>0.05</v>
      </c>
      <c r="M2" s="22"/>
      <c r="N2" s="22"/>
      <c r="O2" s="2"/>
      <c r="P2" s="13"/>
      <c r="Q2" s="2"/>
      <c r="T2" s="13"/>
      <c r="U2" s="13"/>
      <c r="V2" s="13"/>
      <c r="W2" s="13"/>
      <c r="X2" s="13"/>
      <c r="Y2" s="13"/>
      <c r="Z2" s="13"/>
      <c r="AA2" s="13"/>
      <c r="AB2" s="13"/>
      <c r="AC2" s="134"/>
      <c r="AG2" s="13"/>
      <c r="AH2" s="13"/>
      <c r="AI2" s="13"/>
      <c r="AJ2" s="13"/>
      <c r="AK2" s="13"/>
      <c r="AL2" s="13"/>
      <c r="AU2" s="2"/>
      <c r="AV2" s="2"/>
      <c r="AW2" s="2"/>
      <c r="AX2" s="2"/>
    </row>
    <row r="3" spans="1:50" x14ac:dyDescent="0.3">
      <c r="A3" s="23" t="s">
        <v>230</v>
      </c>
      <c r="B3" s="17">
        <v>1600</v>
      </c>
      <c r="C3" s="96">
        <v>1247.65212500095</v>
      </c>
      <c r="D3" s="18">
        <f t="shared" ref="D3:E9" si="0">B3</f>
        <v>1600</v>
      </c>
      <c r="E3" s="18">
        <f t="shared" si="0"/>
        <v>1247.65212500095</v>
      </c>
      <c r="F3" s="18">
        <f t="shared" ref="F3:F16" si="1">B3-C3</f>
        <v>352.34787499904996</v>
      </c>
      <c r="H3" s="4"/>
      <c r="J3" s="4" t="s">
        <v>12</v>
      </c>
      <c r="K3" s="5" t="s">
        <v>13</v>
      </c>
      <c r="L3" s="13"/>
      <c r="M3" s="13"/>
      <c r="N3" s="13"/>
      <c r="O3" s="2"/>
      <c r="P3" s="13"/>
      <c r="Q3" s="2"/>
      <c r="T3" s="13"/>
      <c r="U3" s="13"/>
      <c r="V3" s="13"/>
      <c r="W3" s="13"/>
      <c r="X3" s="13"/>
      <c r="Y3" s="13"/>
      <c r="Z3" s="13"/>
      <c r="AA3" s="13"/>
      <c r="AB3" s="13"/>
      <c r="AC3" s="344"/>
      <c r="AG3" s="13"/>
      <c r="AH3" s="13"/>
      <c r="AI3" s="13"/>
      <c r="AJ3" s="13"/>
      <c r="AK3" s="13"/>
      <c r="AL3" s="13"/>
      <c r="AU3" s="2"/>
      <c r="AV3" s="2"/>
      <c r="AW3" s="2"/>
      <c r="AX3" s="2"/>
    </row>
    <row r="4" spans="1:50" x14ac:dyDescent="0.3">
      <c r="A4" s="23" t="s">
        <v>231</v>
      </c>
      <c r="B4" s="17">
        <v>1600</v>
      </c>
      <c r="C4" s="96">
        <v>842.02786254882801</v>
      </c>
      <c r="D4" s="18">
        <f t="shared" si="0"/>
        <v>1600</v>
      </c>
      <c r="E4" s="18">
        <f t="shared" si="0"/>
        <v>842.02786254882801</v>
      </c>
      <c r="F4" s="18">
        <f t="shared" si="1"/>
        <v>757.97213745117199</v>
      </c>
      <c r="H4" s="4"/>
      <c r="I4" s="2" t="s">
        <v>15</v>
      </c>
      <c r="J4" s="24">
        <f>+J2*1.5</f>
        <v>9000</v>
      </c>
      <c r="K4" s="25" t="s">
        <v>16</v>
      </c>
      <c r="L4" s="26"/>
      <c r="M4" s="13"/>
      <c r="N4" s="2"/>
      <c r="O4" s="4"/>
      <c r="P4" s="13"/>
      <c r="Q4" s="13"/>
      <c r="R4" s="13"/>
      <c r="S4" s="13"/>
      <c r="T4" s="13"/>
      <c r="Y4" s="13"/>
      <c r="Z4" s="13"/>
      <c r="AA4" s="13"/>
      <c r="AB4" s="13"/>
      <c r="AC4" s="345"/>
      <c r="AG4" s="13"/>
      <c r="AH4" s="13"/>
      <c r="AI4" s="13"/>
      <c r="AJ4" s="13"/>
      <c r="AK4" s="13"/>
      <c r="AL4" s="13"/>
      <c r="AU4" s="2"/>
      <c r="AV4" s="2"/>
      <c r="AW4" s="2"/>
      <c r="AX4" s="2"/>
    </row>
    <row r="5" spans="1:50" ht="13.8" x14ac:dyDescent="0.3">
      <c r="A5" s="23" t="s">
        <v>19</v>
      </c>
      <c r="B5" s="17">
        <v>596</v>
      </c>
      <c r="C5" s="96">
        <v>876</v>
      </c>
      <c r="D5" s="18">
        <f t="shared" si="0"/>
        <v>596</v>
      </c>
      <c r="E5" s="18">
        <f t="shared" si="0"/>
        <v>876</v>
      </c>
      <c r="F5" s="18">
        <f t="shared" si="1"/>
        <v>-280</v>
      </c>
      <c r="H5" s="4"/>
      <c r="I5" s="2" t="s">
        <v>16</v>
      </c>
      <c r="J5" s="27">
        <f>+J2*1.2</f>
        <v>7200</v>
      </c>
      <c r="K5" s="27">
        <f>+J4</f>
        <v>9000</v>
      </c>
      <c r="L5" s="26"/>
      <c r="M5" s="13"/>
      <c r="N5" s="2"/>
      <c r="O5" s="28"/>
      <c r="P5" s="28"/>
      <c r="Q5" s="336"/>
      <c r="R5" s="336"/>
      <c r="S5" s="26"/>
      <c r="T5" s="13"/>
      <c r="Y5" s="13"/>
      <c r="Z5" s="13"/>
      <c r="AA5" s="13"/>
      <c r="AB5" s="13"/>
      <c r="AC5" s="345"/>
      <c r="AG5" s="13"/>
      <c r="AH5" s="13"/>
      <c r="AI5" s="13"/>
      <c r="AJ5" s="13"/>
      <c r="AK5" s="13"/>
      <c r="AL5" s="13"/>
      <c r="AU5" s="2"/>
      <c r="AV5" s="2"/>
      <c r="AW5" s="2"/>
      <c r="AX5" s="2"/>
    </row>
    <row r="6" spans="1:50" ht="13.8" x14ac:dyDescent="0.3">
      <c r="A6" s="23" t="s">
        <v>14</v>
      </c>
      <c r="B6" s="17">
        <v>1720</v>
      </c>
      <c r="C6" s="135">
        <v>1388.4170000009201</v>
      </c>
      <c r="D6" s="18">
        <f t="shared" si="0"/>
        <v>1720</v>
      </c>
      <c r="E6" s="18">
        <f t="shared" si="0"/>
        <v>1388.4170000009201</v>
      </c>
      <c r="F6" s="18">
        <f t="shared" si="1"/>
        <v>331.5829999990799</v>
      </c>
      <c r="H6" s="4"/>
      <c r="I6" s="2" t="s">
        <v>20</v>
      </c>
      <c r="J6" s="29">
        <f>+J2</f>
        <v>6000</v>
      </c>
      <c r="K6" s="29">
        <f>+J5</f>
        <v>7200</v>
      </c>
      <c r="L6" s="26"/>
      <c r="M6" s="13"/>
      <c r="N6" s="2"/>
      <c r="O6" s="336"/>
      <c r="P6" s="336"/>
      <c r="Q6" s="336"/>
      <c r="R6" s="336"/>
      <c r="S6" s="30"/>
      <c r="T6" s="13"/>
      <c r="Y6" s="13"/>
      <c r="Z6" s="13"/>
      <c r="AA6" s="13"/>
      <c r="AB6" s="13"/>
      <c r="AC6" s="346"/>
      <c r="AG6" s="13"/>
      <c r="AH6" s="13"/>
      <c r="AI6" s="13"/>
      <c r="AJ6" s="13"/>
      <c r="AK6" s="13"/>
      <c r="AL6" s="13"/>
      <c r="AU6" s="2"/>
      <c r="AV6" s="2"/>
      <c r="AW6" s="2"/>
      <c r="AX6" s="2"/>
    </row>
    <row r="7" spans="1:50" ht="13.8" x14ac:dyDescent="0.3">
      <c r="A7" s="23" t="s">
        <v>17</v>
      </c>
      <c r="B7" s="17">
        <v>1680</v>
      </c>
      <c r="C7" s="96">
        <v>1344.3157787323</v>
      </c>
      <c r="D7" s="18">
        <f t="shared" si="0"/>
        <v>1680</v>
      </c>
      <c r="E7" s="18">
        <f t="shared" si="0"/>
        <v>1344.3157787323</v>
      </c>
      <c r="F7" s="18">
        <f t="shared" si="1"/>
        <v>335.68422126769997</v>
      </c>
      <c r="H7" s="4"/>
      <c r="I7" s="2" t="s">
        <v>23</v>
      </c>
      <c r="J7" s="31">
        <v>0</v>
      </c>
      <c r="K7" s="31" t="e">
        <f>+#REF!</f>
        <v>#REF!</v>
      </c>
      <c r="L7" s="13"/>
      <c r="M7" s="13"/>
      <c r="N7" s="336"/>
      <c r="O7" s="336"/>
      <c r="P7" s="336"/>
      <c r="Q7" s="336"/>
      <c r="R7" s="336"/>
      <c r="S7" s="30"/>
      <c r="T7" s="13"/>
      <c r="Y7" s="13"/>
      <c r="Z7" s="13"/>
      <c r="AA7" s="13"/>
      <c r="AB7" s="13"/>
      <c r="AC7" s="134"/>
      <c r="AG7" s="13"/>
      <c r="AH7" s="13"/>
      <c r="AI7" s="13"/>
      <c r="AJ7" s="13"/>
      <c r="AK7" s="13"/>
      <c r="AL7" s="13"/>
      <c r="AU7" s="2"/>
      <c r="AV7" s="2"/>
      <c r="AW7" s="2"/>
      <c r="AX7" s="2"/>
    </row>
    <row r="8" spans="1:50" x14ac:dyDescent="0.2">
      <c r="A8" s="23" t="s">
        <v>232</v>
      </c>
      <c r="B8" s="17">
        <v>1800</v>
      </c>
      <c r="C8" s="136">
        <v>1517.8301086425799</v>
      </c>
      <c r="D8" s="18">
        <f t="shared" si="0"/>
        <v>1800</v>
      </c>
      <c r="E8" s="18">
        <f t="shared" si="0"/>
        <v>1517.8301086425799</v>
      </c>
      <c r="F8" s="18">
        <f t="shared" si="1"/>
        <v>282.16989135742006</v>
      </c>
      <c r="H8" s="4"/>
      <c r="J8" s="2"/>
      <c r="K8" s="2"/>
      <c r="L8" s="13"/>
      <c r="M8" s="13"/>
      <c r="N8" s="2"/>
      <c r="O8" s="33"/>
      <c r="P8" s="33"/>
      <c r="Q8" s="33"/>
      <c r="R8" s="33"/>
      <c r="S8" s="34"/>
      <c r="T8" s="13"/>
      <c r="Y8" s="13"/>
      <c r="Z8" s="13"/>
      <c r="AA8" s="13"/>
      <c r="AB8" s="13"/>
      <c r="AC8" s="134"/>
      <c r="AG8" s="13"/>
      <c r="AH8" s="13"/>
      <c r="AI8" s="13"/>
      <c r="AJ8" s="13"/>
      <c r="AK8" s="13"/>
      <c r="AL8" s="13"/>
      <c r="AU8" s="2"/>
      <c r="AV8" s="2"/>
      <c r="AW8" s="2"/>
      <c r="AX8" s="2"/>
    </row>
    <row r="9" spans="1:50" x14ac:dyDescent="0.3">
      <c r="A9" s="23" t="s">
        <v>233</v>
      </c>
      <c r="B9" s="18">
        <v>1339</v>
      </c>
      <c r="C9" s="96">
        <v>928</v>
      </c>
      <c r="D9" s="18">
        <f t="shared" si="0"/>
        <v>1339</v>
      </c>
      <c r="E9" s="18">
        <f t="shared" si="0"/>
        <v>928</v>
      </c>
      <c r="F9" s="18">
        <f t="shared" si="1"/>
        <v>411</v>
      </c>
      <c r="H9" s="4"/>
      <c r="L9" s="13"/>
      <c r="M9" s="13"/>
      <c r="N9" s="2"/>
      <c r="O9" s="2"/>
      <c r="P9" s="2"/>
      <c r="Q9" s="2"/>
      <c r="S9" s="2"/>
      <c r="T9" s="13"/>
      <c r="Y9" s="13"/>
      <c r="Z9" s="13"/>
      <c r="AA9" s="13"/>
      <c r="AB9" s="13"/>
      <c r="AC9" s="134"/>
      <c r="AG9" s="13"/>
      <c r="AH9" s="13"/>
      <c r="AI9" s="13"/>
      <c r="AJ9" s="13"/>
      <c r="AK9" s="13"/>
      <c r="AL9" s="13"/>
      <c r="AU9" s="2"/>
      <c r="AV9" s="2"/>
      <c r="AW9" s="2"/>
      <c r="AX9" s="2"/>
    </row>
    <row r="10" spans="1:50" ht="12" customHeight="1" x14ac:dyDescent="0.3">
      <c r="A10" s="23" t="s">
        <v>28</v>
      </c>
      <c r="B10" s="17"/>
      <c r="C10" s="17">
        <v>7713</v>
      </c>
      <c r="D10" s="18">
        <f t="shared" ref="D10:D16" si="2">B10</f>
        <v>0</v>
      </c>
      <c r="E10" s="18">
        <f t="shared" ref="E10:E17" si="3">SUM(C10:D10)</f>
        <v>7713</v>
      </c>
      <c r="F10" s="18">
        <f t="shared" si="1"/>
        <v>-7713</v>
      </c>
      <c r="G10" s="35"/>
      <c r="H10" s="4"/>
      <c r="L10" s="13"/>
      <c r="M10" s="13"/>
      <c r="N10" s="2"/>
      <c r="O10" s="4"/>
      <c r="P10" s="13"/>
      <c r="Q10" s="13"/>
      <c r="R10" s="13"/>
      <c r="S10" s="13"/>
      <c r="T10" s="13"/>
      <c r="Y10" s="13"/>
      <c r="Z10" s="13"/>
      <c r="AA10" s="13"/>
      <c r="AB10" s="13"/>
      <c r="AC10" s="344">
        <v>1339</v>
      </c>
      <c r="AG10" s="13"/>
      <c r="AH10" s="13"/>
      <c r="AI10" s="13"/>
      <c r="AJ10" s="13"/>
      <c r="AK10" s="13"/>
      <c r="AL10" s="13"/>
      <c r="AU10" s="2"/>
      <c r="AV10" s="2"/>
      <c r="AW10" s="2"/>
      <c r="AX10" s="2"/>
    </row>
    <row r="11" spans="1:50" ht="12" customHeight="1" x14ac:dyDescent="0.3">
      <c r="A11" s="23" t="s">
        <v>234</v>
      </c>
      <c r="B11" s="17"/>
      <c r="C11" s="17">
        <v>9400</v>
      </c>
      <c r="D11" s="18">
        <f t="shared" si="2"/>
        <v>0</v>
      </c>
      <c r="E11" s="18">
        <f t="shared" si="3"/>
        <v>9400</v>
      </c>
      <c r="F11" s="18">
        <f t="shared" si="1"/>
        <v>-9400</v>
      </c>
      <c r="H11" s="4"/>
      <c r="K11" s="5" t="s">
        <v>30</v>
      </c>
      <c r="L11" s="13"/>
      <c r="M11" s="13"/>
      <c r="N11" s="13"/>
      <c r="O11" s="2"/>
      <c r="P11" s="13"/>
      <c r="Q11" s="2"/>
      <c r="T11" s="13"/>
      <c r="U11" s="13"/>
      <c r="V11" s="13"/>
      <c r="W11" s="13"/>
      <c r="X11" s="13"/>
      <c r="Y11" s="13"/>
      <c r="Z11" s="13"/>
      <c r="AA11" s="13"/>
      <c r="AB11" s="13"/>
      <c r="AC11" s="345"/>
      <c r="AG11" s="13"/>
      <c r="AH11" s="13"/>
      <c r="AI11" s="13"/>
      <c r="AJ11" s="13"/>
      <c r="AK11" s="13"/>
      <c r="AL11" s="13"/>
      <c r="AU11" s="2"/>
      <c r="AV11" s="2"/>
      <c r="AW11" s="2"/>
      <c r="AX11" s="2"/>
    </row>
    <row r="12" spans="1:50" ht="12" customHeight="1" x14ac:dyDescent="0.3">
      <c r="A12" s="23" t="s">
        <v>33</v>
      </c>
      <c r="B12" s="17"/>
      <c r="C12" s="17">
        <v>10500</v>
      </c>
      <c r="D12" s="18">
        <f t="shared" si="2"/>
        <v>0</v>
      </c>
      <c r="E12" s="18">
        <f t="shared" si="3"/>
        <v>10500</v>
      </c>
      <c r="F12" s="18">
        <f t="shared" si="1"/>
        <v>-10500</v>
      </c>
      <c r="H12" s="4"/>
      <c r="L12" s="13"/>
      <c r="M12" s="13"/>
      <c r="N12" s="13"/>
      <c r="O12" s="2"/>
      <c r="P12" s="13"/>
      <c r="Q12" s="2"/>
      <c r="T12" s="13"/>
      <c r="U12" s="13"/>
      <c r="V12" s="13"/>
      <c r="W12" s="13"/>
      <c r="X12" s="13"/>
      <c r="Y12" s="13"/>
      <c r="Z12" s="13"/>
      <c r="AA12" s="13"/>
      <c r="AB12" s="13"/>
      <c r="AC12" s="346"/>
      <c r="AG12" s="13"/>
      <c r="AH12" s="13"/>
      <c r="AI12" s="13"/>
      <c r="AJ12" s="13"/>
      <c r="AK12" s="13"/>
      <c r="AL12" s="13"/>
      <c r="AU12" s="2"/>
      <c r="AV12" s="2"/>
      <c r="AW12" s="2"/>
      <c r="AX12" s="2"/>
    </row>
    <row r="13" spans="1:50" x14ac:dyDescent="0.3">
      <c r="A13" s="23" t="s">
        <v>31</v>
      </c>
      <c r="B13" s="17"/>
      <c r="C13" s="17">
        <v>10500</v>
      </c>
      <c r="D13" s="18">
        <f t="shared" si="2"/>
        <v>0</v>
      </c>
      <c r="E13" s="36">
        <f t="shared" si="3"/>
        <v>10500</v>
      </c>
      <c r="F13" s="18">
        <f t="shared" si="1"/>
        <v>-10500</v>
      </c>
      <c r="H13" s="4"/>
      <c r="L13" s="13"/>
      <c r="M13" s="13"/>
      <c r="N13" s="13"/>
      <c r="O13" s="2"/>
      <c r="P13" s="13"/>
      <c r="Q13" s="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G13" s="13"/>
      <c r="AH13" s="13"/>
      <c r="AI13" s="13"/>
      <c r="AJ13" s="13"/>
      <c r="AK13" s="13"/>
      <c r="AL13" s="13"/>
      <c r="AU13" s="2"/>
      <c r="AV13" s="2"/>
      <c r="AW13" s="2"/>
      <c r="AX13" s="2"/>
    </row>
    <row r="14" spans="1:50" x14ac:dyDescent="0.3">
      <c r="A14" s="23" t="s">
        <v>32</v>
      </c>
      <c r="B14" s="17"/>
      <c r="C14" s="37">
        <v>7000</v>
      </c>
      <c r="D14" s="18">
        <f t="shared" si="2"/>
        <v>0</v>
      </c>
      <c r="E14" s="18">
        <f t="shared" si="3"/>
        <v>7000</v>
      </c>
      <c r="F14" s="18">
        <f t="shared" si="1"/>
        <v>-7000</v>
      </c>
      <c r="H14" s="4">
        <v>629</v>
      </c>
      <c r="I14" s="4">
        <f>H14-D3</f>
        <v>-971</v>
      </c>
      <c r="L14" s="13"/>
      <c r="M14" s="13"/>
      <c r="N14" s="13"/>
      <c r="O14" s="2"/>
      <c r="P14" s="13"/>
      <c r="Q14" s="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G14" s="13"/>
      <c r="AH14" s="13"/>
      <c r="AI14" s="13"/>
      <c r="AJ14" s="13"/>
      <c r="AK14" s="13"/>
      <c r="AL14" s="13"/>
      <c r="AU14" s="2"/>
      <c r="AV14" s="2"/>
      <c r="AW14" s="2"/>
      <c r="AX14" s="2"/>
    </row>
    <row r="15" spans="1:50" x14ac:dyDescent="0.3">
      <c r="A15" s="23" t="s">
        <v>29</v>
      </c>
      <c r="B15" s="17"/>
      <c r="C15" s="17">
        <v>49</v>
      </c>
      <c r="D15" s="18">
        <f t="shared" si="2"/>
        <v>0</v>
      </c>
      <c r="E15" s="18">
        <f t="shared" si="3"/>
        <v>49</v>
      </c>
      <c r="F15" s="18">
        <f t="shared" si="1"/>
        <v>-49</v>
      </c>
      <c r="H15" s="4">
        <v>-1577.1</v>
      </c>
      <c r="L15" s="13"/>
      <c r="M15" s="13"/>
      <c r="N15" s="13"/>
      <c r="O15" s="2"/>
      <c r="P15" s="13"/>
      <c r="Q15" s="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G15" s="13"/>
      <c r="AH15" s="13"/>
      <c r="AI15" s="13"/>
      <c r="AJ15" s="13"/>
      <c r="AK15" s="13"/>
      <c r="AL15" s="13"/>
      <c r="AU15" s="2"/>
      <c r="AV15" s="2"/>
      <c r="AW15" s="2"/>
      <c r="AX15" s="2"/>
    </row>
    <row r="16" spans="1:50" x14ac:dyDescent="0.3">
      <c r="A16" s="23" t="s">
        <v>235</v>
      </c>
      <c r="B16" s="17"/>
      <c r="C16" s="17">
        <v>0</v>
      </c>
      <c r="D16" s="18">
        <f t="shared" si="2"/>
        <v>0</v>
      </c>
      <c r="E16" s="32">
        <f t="shared" si="3"/>
        <v>0</v>
      </c>
      <c r="F16" s="18">
        <f t="shared" si="1"/>
        <v>0</v>
      </c>
      <c r="H16" s="4">
        <f>H15+H14</f>
        <v>-948.09999999999991</v>
      </c>
      <c r="L16" s="13"/>
      <c r="M16" s="13"/>
      <c r="N16" s="13"/>
      <c r="O16" s="2"/>
      <c r="P16" s="13"/>
      <c r="Q16" s="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G16" s="13"/>
      <c r="AH16" s="13"/>
      <c r="AI16" s="13"/>
      <c r="AJ16" s="13"/>
      <c r="AK16" s="13"/>
      <c r="AL16" s="13"/>
      <c r="AU16" s="2"/>
      <c r="AV16" s="2"/>
      <c r="AW16" s="2"/>
      <c r="AX16" s="2"/>
    </row>
    <row r="17" spans="1:77" x14ac:dyDescent="0.3">
      <c r="A17" s="23" t="s">
        <v>36</v>
      </c>
      <c r="B17" s="17"/>
      <c r="C17" s="17"/>
      <c r="D17" s="17">
        <v>0</v>
      </c>
      <c r="E17" s="18">
        <f t="shared" si="3"/>
        <v>0</v>
      </c>
      <c r="F17" s="17">
        <f>B17-E17</f>
        <v>0</v>
      </c>
      <c r="H17" s="4"/>
      <c r="L17" s="13"/>
      <c r="M17" s="13"/>
      <c r="N17" s="13"/>
      <c r="O17" s="2"/>
      <c r="P17" s="13"/>
      <c r="Q17" s="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G17" s="13"/>
      <c r="AH17" s="13"/>
      <c r="AI17" s="13"/>
      <c r="AJ17" s="13"/>
      <c r="AK17" s="13"/>
      <c r="AL17" s="13"/>
      <c r="AU17" s="2"/>
      <c r="AV17" s="2"/>
      <c r="AW17" s="2"/>
      <c r="AX17" s="2"/>
    </row>
    <row r="18" spans="1:77" x14ac:dyDescent="0.3">
      <c r="A18" s="23" t="s">
        <v>236</v>
      </c>
      <c r="B18" s="17"/>
      <c r="C18" s="17"/>
      <c r="D18" s="17"/>
      <c r="E18" s="18"/>
      <c r="F18" s="17"/>
      <c r="H18" s="4"/>
      <c r="L18" s="13"/>
      <c r="M18" s="13"/>
      <c r="N18" s="13"/>
      <c r="O18" s="2"/>
      <c r="P18" s="13"/>
      <c r="Q18" s="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G18" s="13"/>
      <c r="AH18" s="13"/>
      <c r="AI18" s="13"/>
      <c r="AJ18" s="13"/>
      <c r="AK18" s="13"/>
      <c r="AL18" s="13"/>
      <c r="AU18" s="2"/>
      <c r="AV18" s="2"/>
      <c r="AW18" s="2"/>
      <c r="AX18" s="2"/>
    </row>
    <row r="19" spans="1:77" x14ac:dyDescent="0.3">
      <c r="A19" s="23" t="s">
        <v>237</v>
      </c>
      <c r="B19" s="17">
        <v>210</v>
      </c>
      <c r="C19" s="17"/>
      <c r="D19" s="17"/>
      <c r="E19" s="18"/>
      <c r="F19" s="17"/>
      <c r="H19" s="4"/>
      <c r="L19" s="13"/>
      <c r="M19" s="13"/>
      <c r="N19" s="13"/>
      <c r="O19" s="2"/>
      <c r="P19" s="13"/>
      <c r="Q19" s="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G19" s="13"/>
      <c r="AH19" s="13"/>
      <c r="AI19" s="13"/>
      <c r="AJ19" s="13"/>
      <c r="AK19" s="13"/>
      <c r="AL19" s="13"/>
      <c r="AU19" s="2"/>
      <c r="AV19" s="2"/>
      <c r="AW19" s="2"/>
      <c r="AX19" s="2"/>
    </row>
    <row r="20" spans="1:77" x14ac:dyDescent="0.3">
      <c r="A20" s="23" t="s">
        <v>238</v>
      </c>
      <c r="B20" s="17"/>
      <c r="C20" s="17"/>
      <c r="D20" s="17"/>
      <c r="E20" s="18"/>
      <c r="F20" s="17"/>
      <c r="H20" s="4"/>
      <c r="L20" s="13"/>
      <c r="M20" s="13"/>
      <c r="N20" s="13"/>
      <c r="O20" s="2"/>
      <c r="P20" s="13"/>
      <c r="Q20" s="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G20" s="13"/>
      <c r="AH20" s="13"/>
      <c r="AI20" s="13"/>
      <c r="AJ20" s="13"/>
      <c r="AK20" s="13"/>
      <c r="AL20" s="13"/>
      <c r="AU20" s="2"/>
      <c r="AV20" s="2"/>
      <c r="AW20" s="2"/>
      <c r="AX20" s="2"/>
    </row>
    <row r="21" spans="1:77" x14ac:dyDescent="0.3">
      <c r="A21" s="23" t="s">
        <v>239</v>
      </c>
      <c r="B21" s="17"/>
      <c r="C21" s="17"/>
      <c r="D21" s="17"/>
      <c r="E21" s="18"/>
      <c r="F21" s="17"/>
      <c r="H21" s="4"/>
      <c r="L21" s="13"/>
      <c r="M21" s="13"/>
      <c r="N21" s="13"/>
      <c r="O21" s="2"/>
      <c r="P21" s="13"/>
      <c r="Q21" s="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G21" s="13"/>
      <c r="AH21" s="13"/>
      <c r="AI21" s="13"/>
      <c r="AJ21" s="13"/>
      <c r="AK21" s="13"/>
      <c r="AL21" s="13"/>
      <c r="AU21" s="2"/>
      <c r="AV21" s="2"/>
      <c r="AW21" s="2"/>
      <c r="AX21" s="2"/>
    </row>
    <row r="22" spans="1:77" x14ac:dyDescent="0.3">
      <c r="A22" s="23" t="s">
        <v>37</v>
      </c>
      <c r="B22" s="17"/>
      <c r="C22" s="17"/>
      <c r="D22" s="17"/>
      <c r="E22" s="18"/>
      <c r="F22" s="17"/>
      <c r="H22" s="4"/>
      <c r="L22" s="13"/>
      <c r="M22" s="13"/>
      <c r="N22" s="13"/>
      <c r="O22" s="2"/>
      <c r="P22" s="13"/>
      <c r="Q22" s="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G22" s="13"/>
      <c r="AH22" s="13"/>
      <c r="AI22" s="13"/>
      <c r="AJ22" s="13"/>
      <c r="AK22" s="13"/>
      <c r="AL22" s="13"/>
      <c r="AU22" s="2"/>
      <c r="AV22" s="2"/>
      <c r="AW22" s="2"/>
      <c r="AX22" s="2"/>
    </row>
    <row r="23" spans="1:77" x14ac:dyDescent="0.3">
      <c r="A23" s="23" t="s">
        <v>240</v>
      </c>
      <c r="B23" s="17"/>
      <c r="C23" s="17"/>
      <c r="D23" s="17"/>
      <c r="E23" s="18"/>
      <c r="F23" s="17"/>
      <c r="H23" s="4"/>
      <c r="L23" s="13"/>
      <c r="M23" s="13"/>
      <c r="N23" s="13"/>
      <c r="O23" s="2"/>
      <c r="P23" s="13"/>
      <c r="Q23" s="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G23" s="13"/>
      <c r="AH23" s="13"/>
      <c r="AI23" s="13"/>
      <c r="AJ23" s="13"/>
      <c r="AK23" s="13"/>
      <c r="AL23" s="13"/>
      <c r="AU23" s="2"/>
      <c r="AV23" s="2"/>
      <c r="AW23" s="2"/>
      <c r="AX23" s="2"/>
    </row>
    <row r="24" spans="1:77" x14ac:dyDescent="0.3">
      <c r="A24" s="23"/>
      <c r="B24" s="17"/>
      <c r="C24" s="17"/>
      <c r="D24" s="17"/>
      <c r="E24" s="18"/>
      <c r="F24" s="17"/>
      <c r="H24" s="4"/>
      <c r="L24" s="13"/>
      <c r="M24" s="13"/>
      <c r="N24" s="13"/>
      <c r="O24" s="2"/>
      <c r="P24" s="13"/>
      <c r="Q24" s="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G24" s="13"/>
      <c r="AH24" s="13"/>
      <c r="AI24" s="13"/>
      <c r="AJ24" s="13"/>
      <c r="AK24" s="13"/>
      <c r="AL24" s="13"/>
      <c r="AU24" s="2"/>
      <c r="AV24" s="2"/>
      <c r="AW24" s="2"/>
      <c r="AX24" s="2"/>
    </row>
    <row r="25" spans="1:77" x14ac:dyDescent="0.3">
      <c r="A25" s="38"/>
      <c r="B25" s="17"/>
      <c r="C25" s="39"/>
      <c r="D25" s="39"/>
      <c r="E25" s="137"/>
      <c r="F25" s="39"/>
      <c r="H25" s="4"/>
      <c r="L25" s="13"/>
      <c r="M25" s="13"/>
      <c r="N25" s="13"/>
      <c r="O25" s="2"/>
      <c r="P25" s="13"/>
      <c r="Q25" s="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G25" s="13"/>
      <c r="AH25" s="13"/>
      <c r="AI25" s="13"/>
      <c r="AJ25" s="13"/>
      <c r="AK25" s="13"/>
      <c r="AL25" s="13"/>
      <c r="AU25" s="2"/>
      <c r="AV25" s="2"/>
      <c r="AW25" s="2"/>
      <c r="AX25" s="2"/>
    </row>
    <row r="26" spans="1:77" x14ac:dyDescent="0.3">
      <c r="A26" s="38"/>
      <c r="B26" s="17"/>
      <c r="C26" s="38"/>
      <c r="D26" s="38"/>
      <c r="E26" s="38"/>
      <c r="F26" s="38"/>
      <c r="G26" s="38"/>
      <c r="H26" s="38"/>
      <c r="I26" s="38"/>
      <c r="J26" s="40"/>
      <c r="K26" s="38"/>
      <c r="L26" s="38"/>
      <c r="M26" s="38"/>
      <c r="N26" s="38"/>
      <c r="O26" s="38"/>
      <c r="P26" s="38"/>
      <c r="Q26" s="38"/>
      <c r="R26" s="38"/>
      <c r="S26" s="40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G26" s="13"/>
      <c r="AH26" s="13"/>
      <c r="AI26" s="13"/>
      <c r="AJ26" s="13"/>
      <c r="AK26" s="13"/>
      <c r="AL26" s="13"/>
    </row>
    <row r="27" spans="1:77" x14ac:dyDescent="0.3">
      <c r="A27" s="14"/>
      <c r="B27" s="41"/>
      <c r="C27" s="14"/>
      <c r="D27" s="14"/>
      <c r="E27" s="42"/>
      <c r="F27" s="42"/>
      <c r="G27" s="42"/>
      <c r="H27" s="42"/>
      <c r="I27" s="13"/>
      <c r="J27" s="43"/>
      <c r="K27" s="22"/>
      <c r="L27" s="22"/>
      <c r="M27" s="22"/>
      <c r="N27" s="22"/>
      <c r="O27" s="44"/>
      <c r="P27" s="44"/>
      <c r="Q27" s="22"/>
      <c r="R27" s="13"/>
      <c r="S27" s="45" t="s">
        <v>38</v>
      </c>
      <c r="T27" s="46"/>
      <c r="U27" s="46">
        <v>0.5</v>
      </c>
      <c r="V27" s="47" t="s">
        <v>39</v>
      </c>
      <c r="W27" s="46"/>
      <c r="X27" s="48">
        <f>S8</f>
        <v>0</v>
      </c>
      <c r="Y27" s="46"/>
      <c r="Z27" s="46" t="s">
        <v>40</v>
      </c>
      <c r="AA27" s="49">
        <v>1.78</v>
      </c>
      <c r="AB27" s="46" t="s">
        <v>41</v>
      </c>
      <c r="AC27" s="50">
        <v>7.9</v>
      </c>
      <c r="AD27" s="51">
        <f>+AA27*(AC27*(30.5*24-AF27)+AF27*20)</f>
        <v>10422.612000000001</v>
      </c>
      <c r="AE27" s="51" t="s">
        <v>42</v>
      </c>
      <c r="AF27" s="52">
        <v>6</v>
      </c>
      <c r="AG27" s="46"/>
      <c r="AH27" s="46"/>
      <c r="AI27" s="46"/>
      <c r="AJ27" s="46"/>
      <c r="AK27" s="46"/>
      <c r="AL27" s="46"/>
    </row>
    <row r="28" spans="1:77" ht="13.5" customHeight="1" x14ac:dyDescent="0.3">
      <c r="A28" s="14"/>
      <c r="B28" s="53"/>
      <c r="C28" s="337" t="s">
        <v>43</v>
      </c>
      <c r="D28" s="337"/>
      <c r="E28" s="338" t="s">
        <v>44</v>
      </c>
      <c r="F28" s="338"/>
      <c r="G28" s="338"/>
      <c r="H28" s="338"/>
      <c r="I28" s="338"/>
      <c r="J28" s="338"/>
      <c r="K28" s="338"/>
      <c r="L28" s="338"/>
      <c r="M28" s="338"/>
      <c r="N28" s="1"/>
      <c r="O28" s="339" t="s">
        <v>45</v>
      </c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40" t="s">
        <v>46</v>
      </c>
      <c r="AA28" s="340"/>
      <c r="AB28" s="340"/>
      <c r="AC28" s="340"/>
      <c r="AD28" s="340"/>
      <c r="AE28" s="341" t="s">
        <v>47</v>
      </c>
      <c r="AF28" s="341"/>
      <c r="AG28" s="341"/>
      <c r="AH28" s="341"/>
      <c r="AI28" s="341"/>
      <c r="AJ28" s="341"/>
      <c r="AK28" s="341"/>
      <c r="AL28" s="341"/>
      <c r="AM28" s="342" t="s">
        <v>48</v>
      </c>
      <c r="AN28" s="342"/>
      <c r="AO28" s="342"/>
      <c r="AP28" s="342"/>
      <c r="AQ28" s="342"/>
      <c r="AR28" s="342"/>
      <c r="AS28" s="342"/>
      <c r="AT28" s="342"/>
      <c r="AU28" s="343" t="s">
        <v>49</v>
      </c>
      <c r="AV28" s="343"/>
      <c r="AW28" s="343"/>
      <c r="AX28" s="343"/>
    </row>
    <row r="29" spans="1:77" ht="42.75" customHeight="1" x14ac:dyDescent="0.3">
      <c r="A29" s="9" t="s">
        <v>50</v>
      </c>
      <c r="B29" s="9" t="s">
        <v>51</v>
      </c>
      <c r="C29" s="54" t="s">
        <v>52</v>
      </c>
      <c r="D29" s="54" t="s">
        <v>53</v>
      </c>
      <c r="E29" s="54" t="s">
        <v>54</v>
      </c>
      <c r="F29" s="54" t="s">
        <v>55</v>
      </c>
      <c r="G29" s="55" t="s">
        <v>56</v>
      </c>
      <c r="H29" s="56" t="s">
        <v>57</v>
      </c>
      <c r="I29" s="9" t="s">
        <v>58</v>
      </c>
      <c r="J29" s="57" t="s">
        <v>59</v>
      </c>
      <c r="K29" s="56" t="s">
        <v>60</v>
      </c>
      <c r="L29" s="54" t="s">
        <v>61</v>
      </c>
      <c r="M29" s="56" t="s">
        <v>62</v>
      </c>
      <c r="N29" s="58" t="s">
        <v>63</v>
      </c>
      <c r="O29" s="59" t="s">
        <v>64</v>
      </c>
      <c r="P29" s="55" t="s">
        <v>56</v>
      </c>
      <c r="Q29" s="60" t="s">
        <v>65</v>
      </c>
      <c r="R29" s="55" t="s">
        <v>66</v>
      </c>
      <c r="S29" s="61" t="s">
        <v>67</v>
      </c>
      <c r="T29" s="56" t="s">
        <v>68</v>
      </c>
      <c r="U29" s="55" t="s">
        <v>69</v>
      </c>
      <c r="V29" s="60" t="s">
        <v>70</v>
      </c>
      <c r="W29" s="55" t="s">
        <v>71</v>
      </c>
      <c r="X29" s="55" t="s">
        <v>72</v>
      </c>
      <c r="Y29" s="55" t="s">
        <v>73</v>
      </c>
      <c r="Z29" s="60" t="s">
        <v>74</v>
      </c>
      <c r="AA29" s="62" t="s">
        <v>75</v>
      </c>
      <c r="AB29" s="63" t="s">
        <v>76</v>
      </c>
      <c r="AC29" s="64" t="s">
        <v>77</v>
      </c>
      <c r="AD29" s="65" t="s">
        <v>78</v>
      </c>
      <c r="AE29" s="66" t="s">
        <v>64</v>
      </c>
      <c r="AF29" s="65" t="s">
        <v>56</v>
      </c>
      <c r="AG29" s="56" t="s">
        <v>57</v>
      </c>
      <c r="AH29" s="9" t="s">
        <v>58</v>
      </c>
      <c r="AI29" s="56" t="s">
        <v>79</v>
      </c>
      <c r="AJ29" s="56" t="s">
        <v>60</v>
      </c>
      <c r="AK29" s="56" t="s">
        <v>68</v>
      </c>
      <c r="AL29" s="56" t="s">
        <v>80</v>
      </c>
      <c r="AM29" s="64" t="s">
        <v>81</v>
      </c>
      <c r="AN29" s="64" t="s">
        <v>82</v>
      </c>
      <c r="AO29" s="63" t="s">
        <v>83</v>
      </c>
      <c r="AP29" s="64" t="s">
        <v>47</v>
      </c>
      <c r="AQ29" s="64" t="s">
        <v>84</v>
      </c>
      <c r="AR29" s="64" t="s">
        <v>85</v>
      </c>
      <c r="AS29" s="67" t="s">
        <v>63</v>
      </c>
      <c r="AT29" s="64" t="s">
        <v>86</v>
      </c>
      <c r="AU29" s="68" t="s">
        <v>87</v>
      </c>
      <c r="AV29" s="69" t="s">
        <v>88</v>
      </c>
      <c r="AW29" s="69" t="s">
        <v>89</v>
      </c>
      <c r="AX29" s="69" t="s">
        <v>90</v>
      </c>
      <c r="AY29" s="62" t="s">
        <v>91</v>
      </c>
      <c r="BA29" s="70" t="s">
        <v>92</v>
      </c>
      <c r="BB29" s="70" t="s">
        <v>93</v>
      </c>
      <c r="BC29" s="70" t="s">
        <v>94</v>
      </c>
      <c r="BD29" s="70" t="s">
        <v>95</v>
      </c>
      <c r="BE29" s="70" t="s">
        <v>96</v>
      </c>
      <c r="BF29" s="71"/>
      <c r="BG29" s="70" t="s">
        <v>97</v>
      </c>
      <c r="BH29" s="70" t="s">
        <v>98</v>
      </c>
      <c r="BI29" s="70" t="s">
        <v>99</v>
      </c>
      <c r="BJ29" s="70" t="s">
        <v>100</v>
      </c>
      <c r="BK29" s="70" t="s">
        <v>101</v>
      </c>
      <c r="BL29" s="70" t="s">
        <v>102</v>
      </c>
      <c r="BM29" s="70" t="s">
        <v>103</v>
      </c>
      <c r="BN29" s="70" t="s">
        <v>104</v>
      </c>
      <c r="BO29" s="70" t="s">
        <v>105</v>
      </c>
      <c r="BP29" s="70" t="s">
        <v>106</v>
      </c>
      <c r="BQ29" s="70" t="s">
        <v>107</v>
      </c>
      <c r="BR29" s="71" t="s">
        <v>108</v>
      </c>
      <c r="BS29" s="71"/>
      <c r="BT29" s="70" t="s">
        <v>106</v>
      </c>
      <c r="BU29" s="70" t="s">
        <v>105</v>
      </c>
      <c r="BV29" s="70" t="s">
        <v>109</v>
      </c>
      <c r="BW29" s="70" t="s">
        <v>110</v>
      </c>
      <c r="BX29" s="70" t="s">
        <v>111</v>
      </c>
      <c r="BY29" s="70" t="s">
        <v>112</v>
      </c>
    </row>
    <row r="30" spans="1:77" ht="14.4" x14ac:dyDescent="0.3">
      <c r="A30" s="72" t="s">
        <v>241</v>
      </c>
      <c r="B30" s="151" t="s">
        <v>242</v>
      </c>
      <c r="C30" s="73" t="s">
        <v>124</v>
      </c>
      <c r="D30" s="74" t="s">
        <v>116</v>
      </c>
      <c r="E30" s="73" t="s">
        <v>117</v>
      </c>
      <c r="F30" s="73" t="s">
        <v>131</v>
      </c>
      <c r="G30" s="17" t="str">
        <f t="shared" ref="G30:G36" si="4">IF(E30="Rack","No of Racks",(IF(E30="Space","Sq Ft","U Space")))</f>
        <v>No of Racks</v>
      </c>
      <c r="H30" s="144">
        <v>228</v>
      </c>
      <c r="I30" s="144">
        <v>185</v>
      </c>
      <c r="J30" s="145">
        <f>H30-I30</f>
        <v>43</v>
      </c>
      <c r="K30" s="73"/>
      <c r="L30" s="73">
        <v>0</v>
      </c>
      <c r="M30" s="75"/>
      <c r="N30" s="82"/>
      <c r="O30" s="76"/>
      <c r="P30" s="73" t="s">
        <v>108</v>
      </c>
      <c r="Q30" s="73">
        <v>1600</v>
      </c>
      <c r="R30" s="77">
        <v>1244.42</v>
      </c>
      <c r="S30" s="78">
        <f t="shared" ref="S30:S39" si="5">Q30-R30</f>
        <v>355.57999999999993</v>
      </c>
      <c r="T30" s="79"/>
      <c r="U30" s="79"/>
      <c r="V30" s="79"/>
      <c r="W30" s="81"/>
      <c r="X30" s="79"/>
      <c r="Y30" s="82"/>
      <c r="Z30" s="83"/>
      <c r="AA30" s="79"/>
      <c r="AB30" s="79"/>
      <c r="AC30" s="84"/>
      <c r="AD30" s="138">
        <v>928559.5</v>
      </c>
      <c r="AE30" s="94"/>
      <c r="AF30" s="23"/>
      <c r="AG30" s="79"/>
      <c r="AH30" s="79"/>
      <c r="AI30" s="79"/>
      <c r="AJ30" s="79"/>
      <c r="AK30" s="79"/>
      <c r="AL30" s="75"/>
      <c r="AM30" s="85"/>
      <c r="AN30" s="85"/>
      <c r="AO30" s="85"/>
      <c r="AP30" s="85"/>
      <c r="AQ30" s="86"/>
      <c r="AR30" s="87"/>
      <c r="AS30" s="87"/>
      <c r="AT30" s="87"/>
      <c r="AU30" s="89"/>
      <c r="AV30" s="90"/>
      <c r="AW30" s="91"/>
      <c r="AX30" s="90"/>
      <c r="AY30" s="71"/>
      <c r="BA30" s="86"/>
      <c r="BB30" s="86"/>
      <c r="BC30" s="86"/>
      <c r="BD30" s="86"/>
      <c r="BE30" s="86"/>
      <c r="BF30" s="86"/>
      <c r="BG30" s="95"/>
      <c r="BH30" s="95"/>
      <c r="BI30" s="95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</row>
    <row r="31" spans="1:77" ht="14.4" x14ac:dyDescent="0.3">
      <c r="A31" s="72" t="s">
        <v>243</v>
      </c>
      <c r="B31" s="151" t="s">
        <v>242</v>
      </c>
      <c r="C31" s="73" t="s">
        <v>124</v>
      </c>
      <c r="D31" s="74" t="s">
        <v>116</v>
      </c>
      <c r="E31" s="73" t="s">
        <v>117</v>
      </c>
      <c r="F31" s="73" t="s">
        <v>131</v>
      </c>
      <c r="G31" s="17" t="str">
        <f t="shared" si="4"/>
        <v>No of Racks</v>
      </c>
      <c r="H31" s="144">
        <v>228</v>
      </c>
      <c r="I31" s="144">
        <v>157</v>
      </c>
      <c r="J31" s="145">
        <f t="shared" ref="J31:J39" si="6">H31-I31</f>
        <v>71</v>
      </c>
      <c r="K31" s="73"/>
      <c r="L31" s="73">
        <v>0</v>
      </c>
      <c r="M31" s="75"/>
      <c r="N31" s="82"/>
      <c r="O31" s="76"/>
      <c r="P31" s="73" t="s">
        <v>108</v>
      </c>
      <c r="Q31" s="73">
        <v>1600</v>
      </c>
      <c r="R31" s="77">
        <v>717.25</v>
      </c>
      <c r="S31" s="78">
        <f t="shared" si="5"/>
        <v>882.75</v>
      </c>
      <c r="T31" s="79"/>
      <c r="U31" s="79"/>
      <c r="V31" s="79"/>
      <c r="W31" s="81"/>
      <c r="X31" s="79"/>
      <c r="Y31" s="82"/>
      <c r="Z31" s="83"/>
      <c r="AA31" s="79"/>
      <c r="AB31" s="79"/>
      <c r="AC31" s="84"/>
      <c r="AD31" s="138">
        <v>530386.68999999994</v>
      </c>
      <c r="AE31" s="94"/>
      <c r="AF31" s="23"/>
      <c r="AG31" s="79"/>
      <c r="AH31" s="79"/>
      <c r="AI31" s="79"/>
      <c r="AJ31" s="79"/>
      <c r="AK31" s="79"/>
      <c r="AL31" s="75"/>
      <c r="AM31" s="85"/>
      <c r="AN31" s="85"/>
      <c r="AO31" s="85"/>
      <c r="AP31" s="85"/>
      <c r="AQ31" s="86"/>
      <c r="AR31" s="87"/>
      <c r="AS31" s="87"/>
      <c r="AT31" s="87"/>
      <c r="AU31" s="89"/>
      <c r="AV31" s="90"/>
      <c r="AW31" s="91"/>
      <c r="AX31" s="90"/>
      <c r="AY31" s="71"/>
      <c r="BA31" s="86"/>
      <c r="BB31" s="86"/>
      <c r="BC31" s="86"/>
      <c r="BD31" s="86"/>
      <c r="BE31" s="86"/>
      <c r="BF31" s="86"/>
      <c r="BG31" s="95"/>
      <c r="BH31" s="95"/>
      <c r="BI31" s="95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</row>
    <row r="32" spans="1:77" ht="14.4" x14ac:dyDescent="0.3">
      <c r="A32" s="72" t="s">
        <v>244</v>
      </c>
      <c r="B32" s="151" t="s">
        <v>245</v>
      </c>
      <c r="C32" s="73" t="s">
        <v>124</v>
      </c>
      <c r="D32" s="74" t="s">
        <v>116</v>
      </c>
      <c r="E32" s="73" t="s">
        <v>117</v>
      </c>
      <c r="F32" s="73" t="s">
        <v>131</v>
      </c>
      <c r="G32" s="17" t="str">
        <f t="shared" si="4"/>
        <v>No of Racks</v>
      </c>
      <c r="H32" s="146">
        <v>50</v>
      </c>
      <c r="I32" s="144">
        <v>49</v>
      </c>
      <c r="J32" s="145">
        <f t="shared" si="6"/>
        <v>1</v>
      </c>
      <c r="K32" s="73"/>
      <c r="L32" s="73">
        <v>0</v>
      </c>
      <c r="M32" s="75"/>
      <c r="N32" s="147"/>
      <c r="O32" s="76"/>
      <c r="P32" s="73" t="s">
        <v>125</v>
      </c>
      <c r="Q32" s="73">
        <v>450</v>
      </c>
      <c r="R32" s="77">
        <v>500.81</v>
      </c>
      <c r="S32" s="78">
        <f t="shared" si="5"/>
        <v>-50.81</v>
      </c>
      <c r="T32" s="79"/>
      <c r="U32" s="79"/>
      <c r="V32" s="79"/>
      <c r="W32" s="81"/>
      <c r="X32" s="79"/>
      <c r="Y32" s="82"/>
      <c r="Z32" s="83"/>
      <c r="AA32" s="79"/>
      <c r="AB32" s="79"/>
      <c r="AC32" s="84"/>
      <c r="AD32" s="138">
        <v>171130</v>
      </c>
      <c r="AE32" s="94"/>
      <c r="AF32" s="23"/>
      <c r="AG32" s="79"/>
      <c r="AH32" s="79"/>
      <c r="AI32" s="79"/>
      <c r="AJ32" s="79"/>
      <c r="AK32" s="79"/>
      <c r="AL32" s="75"/>
      <c r="AM32" s="85"/>
      <c r="AN32" s="85"/>
      <c r="AO32" s="85"/>
      <c r="AP32" s="85"/>
      <c r="AQ32" s="86"/>
      <c r="AR32" s="87"/>
      <c r="AS32" s="87"/>
      <c r="AT32" s="87"/>
      <c r="AU32" s="89"/>
      <c r="AV32" s="90"/>
      <c r="AW32" s="91"/>
      <c r="AX32" s="90"/>
      <c r="AY32" s="71"/>
      <c r="BA32" s="86"/>
      <c r="BB32" s="86"/>
      <c r="BC32" s="86"/>
      <c r="BD32" s="86"/>
      <c r="BE32" s="86"/>
      <c r="BF32" s="86"/>
      <c r="BG32" s="95"/>
      <c r="BH32" s="95"/>
      <c r="BI32" s="95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</row>
    <row r="33" spans="1:77" ht="14.4" x14ac:dyDescent="0.3">
      <c r="A33" s="72" t="s">
        <v>244</v>
      </c>
      <c r="B33" s="151" t="s">
        <v>246</v>
      </c>
      <c r="C33" s="73" t="s">
        <v>124</v>
      </c>
      <c r="D33" s="74" t="s">
        <v>116</v>
      </c>
      <c r="E33" s="73" t="s">
        <v>117</v>
      </c>
      <c r="F33" s="73" t="s">
        <v>131</v>
      </c>
      <c r="G33" s="17" t="str">
        <f t="shared" si="4"/>
        <v>No of Racks</v>
      </c>
      <c r="H33" s="146">
        <v>160</v>
      </c>
      <c r="I33" s="144">
        <v>149</v>
      </c>
      <c r="J33" s="145">
        <f t="shared" si="6"/>
        <v>11</v>
      </c>
      <c r="K33" s="73"/>
      <c r="L33" s="73">
        <v>0</v>
      </c>
      <c r="M33" s="75"/>
      <c r="N33" s="147"/>
      <c r="O33" s="76"/>
      <c r="P33" s="73" t="s">
        <v>125</v>
      </c>
      <c r="Q33" s="73">
        <v>607</v>
      </c>
      <c r="R33" s="77">
        <f t="shared" ref="R33:R36" si="7">AD33/(24*30)</f>
        <v>555.37083333333328</v>
      </c>
      <c r="S33" s="78">
        <f t="shared" si="5"/>
        <v>51.62916666666672</v>
      </c>
      <c r="T33" s="79"/>
      <c r="U33" s="79"/>
      <c r="V33" s="79"/>
      <c r="W33" s="81"/>
      <c r="X33" s="79"/>
      <c r="Y33" s="82"/>
      <c r="Z33" s="83"/>
      <c r="AA33" s="79"/>
      <c r="AB33" s="79"/>
      <c r="AC33" s="84"/>
      <c r="AD33" s="138">
        <v>399867</v>
      </c>
      <c r="AE33" s="94"/>
      <c r="AF33" s="23"/>
      <c r="AG33" s="79"/>
      <c r="AH33" s="79"/>
      <c r="AI33" s="79"/>
      <c r="AJ33" s="79"/>
      <c r="AK33" s="79"/>
      <c r="AL33" s="75"/>
      <c r="AM33" s="85"/>
      <c r="AN33" s="85"/>
      <c r="AO33" s="85"/>
      <c r="AP33" s="85"/>
      <c r="AQ33" s="86"/>
      <c r="AR33" s="87"/>
      <c r="AS33" s="88"/>
      <c r="AT33" s="87"/>
      <c r="AU33" s="89"/>
      <c r="AV33" s="90"/>
      <c r="AW33" s="91"/>
      <c r="AX33" s="90"/>
      <c r="AY33" s="71"/>
      <c r="BA33" s="86"/>
      <c r="BB33" s="86"/>
      <c r="BC33" s="86"/>
      <c r="BD33" s="86"/>
      <c r="BE33" s="86"/>
      <c r="BF33" s="86"/>
      <c r="BG33" s="95"/>
      <c r="BH33" s="95"/>
      <c r="BI33" s="95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</row>
    <row r="34" spans="1:77" ht="14.4" x14ac:dyDescent="0.3">
      <c r="A34" s="72" t="s">
        <v>247</v>
      </c>
      <c r="B34" s="151" t="s">
        <v>248</v>
      </c>
      <c r="C34" s="73" t="s">
        <v>124</v>
      </c>
      <c r="D34" s="74" t="s">
        <v>116</v>
      </c>
      <c r="E34" s="73" t="s">
        <v>117</v>
      </c>
      <c r="F34" s="73" t="s">
        <v>131</v>
      </c>
      <c r="G34" s="17" t="str">
        <f t="shared" si="4"/>
        <v>No of Racks</v>
      </c>
      <c r="H34" s="146">
        <v>234</v>
      </c>
      <c r="I34" s="144">
        <v>185</v>
      </c>
      <c r="J34" s="145">
        <f t="shared" si="6"/>
        <v>49</v>
      </c>
      <c r="K34" s="73"/>
      <c r="L34" s="73">
        <v>0</v>
      </c>
      <c r="M34" s="75"/>
      <c r="N34" s="147"/>
      <c r="O34" s="76"/>
      <c r="P34" s="73" t="s">
        <v>108</v>
      </c>
      <c r="Q34" s="73">
        <v>1720</v>
      </c>
      <c r="R34" s="77">
        <f t="shared" si="7"/>
        <v>1298.4565138888888</v>
      </c>
      <c r="S34" s="78">
        <f t="shared" si="5"/>
        <v>421.54348611111118</v>
      </c>
      <c r="T34" s="79"/>
      <c r="U34" s="79"/>
      <c r="V34" s="79"/>
      <c r="W34" s="81"/>
      <c r="X34" s="79"/>
      <c r="Y34" s="82"/>
      <c r="Z34" s="83"/>
      <c r="AA34" s="79"/>
      <c r="AB34" s="79"/>
      <c r="AC34" s="84"/>
      <c r="AD34" s="138">
        <v>934888.69</v>
      </c>
      <c r="AE34" s="94"/>
      <c r="AF34" s="23"/>
      <c r="AG34" s="79"/>
      <c r="AH34" s="79"/>
      <c r="AI34" s="79"/>
      <c r="AJ34" s="79"/>
      <c r="AK34" s="79"/>
      <c r="AL34" s="75"/>
      <c r="AM34" s="85"/>
      <c r="AN34" s="85"/>
      <c r="AO34" s="85"/>
      <c r="AP34" s="85"/>
      <c r="AQ34" s="86"/>
      <c r="AR34" s="87"/>
      <c r="AS34" s="87"/>
      <c r="AT34" s="87"/>
      <c r="AU34" s="89"/>
      <c r="AV34" s="90"/>
      <c r="AW34" s="91"/>
      <c r="AX34" s="90"/>
      <c r="AY34" s="71"/>
      <c r="BA34" s="86"/>
      <c r="BB34" s="86"/>
      <c r="BC34" s="86"/>
      <c r="BD34" s="86"/>
      <c r="BE34" s="86"/>
      <c r="BF34" s="86"/>
      <c r="BG34" s="95"/>
      <c r="BH34" s="95"/>
      <c r="BI34" s="95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</row>
    <row r="35" spans="1:77" ht="14.4" x14ac:dyDescent="0.3">
      <c r="A35" s="72" t="s">
        <v>249</v>
      </c>
      <c r="B35" s="151" t="s">
        <v>248</v>
      </c>
      <c r="C35" s="73" t="s">
        <v>124</v>
      </c>
      <c r="D35" s="74" t="s">
        <v>116</v>
      </c>
      <c r="E35" s="73" t="s">
        <v>117</v>
      </c>
      <c r="F35" s="73" t="s">
        <v>131</v>
      </c>
      <c r="G35" s="17" t="str">
        <f t="shared" si="4"/>
        <v>No of Racks</v>
      </c>
      <c r="H35" s="146">
        <v>234</v>
      </c>
      <c r="I35" s="144">
        <v>178</v>
      </c>
      <c r="J35" s="145">
        <f t="shared" si="6"/>
        <v>56</v>
      </c>
      <c r="K35" s="73"/>
      <c r="L35" s="73">
        <v>0</v>
      </c>
      <c r="M35" s="75"/>
      <c r="N35" s="147"/>
      <c r="O35" s="76"/>
      <c r="P35" s="73" t="s">
        <v>108</v>
      </c>
      <c r="Q35" s="73">
        <v>1680</v>
      </c>
      <c r="R35" s="77">
        <f t="shared" si="7"/>
        <v>1148.390625</v>
      </c>
      <c r="S35" s="78">
        <f t="shared" si="5"/>
        <v>531.609375</v>
      </c>
      <c r="T35" s="79"/>
      <c r="U35" s="79"/>
      <c r="V35" s="79"/>
      <c r="W35" s="81"/>
      <c r="X35" s="79"/>
      <c r="Y35" s="82"/>
      <c r="Z35" s="83"/>
      <c r="AA35" s="79"/>
      <c r="AB35" s="79"/>
      <c r="AC35" s="84"/>
      <c r="AD35" s="138">
        <v>826841.25</v>
      </c>
      <c r="AE35" s="94"/>
      <c r="AF35" s="23"/>
      <c r="AG35" s="79"/>
      <c r="AH35" s="79"/>
      <c r="AI35" s="79"/>
      <c r="AJ35" s="79"/>
      <c r="AK35" s="79"/>
      <c r="AL35" s="75"/>
      <c r="AM35" s="85"/>
      <c r="AN35" s="85"/>
      <c r="AO35" s="85"/>
      <c r="AP35" s="85"/>
      <c r="AQ35" s="86"/>
      <c r="AR35" s="87"/>
      <c r="AS35" s="87"/>
      <c r="AT35" s="87"/>
      <c r="AU35" s="89"/>
      <c r="AV35" s="90"/>
      <c r="AW35" s="91"/>
      <c r="AX35" s="90"/>
      <c r="AY35" s="71"/>
      <c r="BA35" s="86"/>
      <c r="BB35" s="86"/>
      <c r="BC35" s="86"/>
      <c r="BD35" s="86"/>
      <c r="BE35" s="86"/>
      <c r="BF35" s="86"/>
      <c r="BG35" s="95"/>
      <c r="BH35" s="95"/>
      <c r="BI35" s="95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</row>
    <row r="36" spans="1:77" ht="14.4" x14ac:dyDescent="0.3">
      <c r="A36" s="72" t="s">
        <v>250</v>
      </c>
      <c r="B36" s="151" t="s">
        <v>248</v>
      </c>
      <c r="C36" s="73" t="s">
        <v>124</v>
      </c>
      <c r="D36" s="74" t="s">
        <v>116</v>
      </c>
      <c r="E36" s="73" t="s">
        <v>117</v>
      </c>
      <c r="F36" s="73" t="s">
        <v>131</v>
      </c>
      <c r="G36" s="17" t="str">
        <f t="shared" si="4"/>
        <v>No of Racks</v>
      </c>
      <c r="H36" s="146">
        <v>234</v>
      </c>
      <c r="I36" s="144">
        <v>197</v>
      </c>
      <c r="J36" s="145">
        <f t="shared" si="6"/>
        <v>37</v>
      </c>
      <c r="K36" s="73"/>
      <c r="L36" s="73">
        <v>0</v>
      </c>
      <c r="M36" s="75"/>
      <c r="N36" s="147"/>
      <c r="O36" s="76"/>
      <c r="P36" s="73" t="s">
        <v>108</v>
      </c>
      <c r="Q36" s="73">
        <v>1800</v>
      </c>
      <c r="R36" s="77">
        <f t="shared" si="7"/>
        <v>1166.2381944444444</v>
      </c>
      <c r="S36" s="78">
        <f t="shared" si="5"/>
        <v>633.76180555555561</v>
      </c>
      <c r="T36" s="79"/>
      <c r="U36" s="79"/>
      <c r="V36" s="79"/>
      <c r="W36" s="81"/>
      <c r="X36" s="79"/>
      <c r="Y36" s="82"/>
      <c r="Z36" s="83"/>
      <c r="AA36" s="79"/>
      <c r="AB36" s="79"/>
      <c r="AC36" s="84"/>
      <c r="AD36" s="138">
        <v>839691.5</v>
      </c>
      <c r="AE36" s="94"/>
      <c r="AF36" s="23"/>
      <c r="AG36" s="79"/>
      <c r="AH36" s="79"/>
      <c r="AI36" s="79"/>
      <c r="AJ36" s="79"/>
      <c r="AK36" s="79"/>
      <c r="AL36" s="75"/>
      <c r="AM36" s="85"/>
      <c r="AN36" s="85"/>
      <c r="AO36" s="85"/>
      <c r="AP36" s="85"/>
      <c r="AQ36" s="86"/>
      <c r="AR36" s="87"/>
      <c r="AS36" s="87"/>
      <c r="AT36" s="87"/>
      <c r="AU36" s="89"/>
      <c r="AV36" s="90"/>
      <c r="AW36" s="91"/>
      <c r="AX36" s="90"/>
      <c r="AY36" s="71"/>
      <c r="BA36" s="86"/>
      <c r="BB36" s="86"/>
      <c r="BC36" s="86"/>
      <c r="BD36" s="86"/>
      <c r="BE36" s="86"/>
      <c r="BF36" s="86"/>
      <c r="BG36" s="95"/>
      <c r="BH36" s="95"/>
      <c r="BI36" s="95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</row>
    <row r="37" spans="1:77" ht="14.4" x14ac:dyDescent="0.3">
      <c r="A37" s="72" t="s">
        <v>251</v>
      </c>
      <c r="B37" s="151" t="s">
        <v>252</v>
      </c>
      <c r="C37" s="73" t="s">
        <v>124</v>
      </c>
      <c r="D37" s="74" t="s">
        <v>116</v>
      </c>
      <c r="E37" s="73" t="s">
        <v>117</v>
      </c>
      <c r="F37" s="73" t="s">
        <v>131</v>
      </c>
      <c r="G37" s="17" t="str">
        <f>IF(E37="Rack","No of Racks",(IF(E37="Space","Sq Ft","U Space")))</f>
        <v>No of Racks</v>
      </c>
      <c r="H37" s="146">
        <v>32</v>
      </c>
      <c r="I37" s="146">
        <v>32</v>
      </c>
      <c r="J37" s="145">
        <f t="shared" si="6"/>
        <v>0</v>
      </c>
      <c r="K37" s="73"/>
      <c r="L37" s="73">
        <v>0</v>
      </c>
      <c r="M37" s="75"/>
      <c r="N37" s="147"/>
      <c r="O37" s="76"/>
      <c r="P37" s="73" t="s">
        <v>125</v>
      </c>
      <c r="Q37" s="73">
        <v>384</v>
      </c>
      <c r="R37" s="77">
        <v>124.2</v>
      </c>
      <c r="S37" s="78">
        <f t="shared" ref="S37" si="8">Q37-R37</f>
        <v>259.8</v>
      </c>
      <c r="T37" s="79"/>
      <c r="U37" s="79">
        <f>IF(S37&lt;=0,0,(IF(O37="Rated",(S37+T37)*$U$27,(S37+T37))))</f>
        <v>259.8</v>
      </c>
      <c r="V37" s="80">
        <f>IF(O37="Rated",Q37*$U$27,Q37)</f>
        <v>384</v>
      </c>
      <c r="W37" s="81"/>
      <c r="X37" s="79"/>
      <c r="Y37" s="82"/>
      <c r="Z37" s="83" t="str">
        <f>D37</f>
        <v>Bundled</v>
      </c>
      <c r="AA37" s="79"/>
      <c r="AB37" s="79"/>
      <c r="AC37" s="84"/>
      <c r="AD37" s="150">
        <v>90070</v>
      </c>
      <c r="AE37" s="94"/>
      <c r="AF37" s="23" t="str">
        <f>IF(AE37="No of Seats","No of Seats",(IF(AE37="Space","Sq Ft","")))</f>
        <v/>
      </c>
      <c r="AG37" s="79"/>
      <c r="AH37" s="79"/>
      <c r="AI37" s="79"/>
      <c r="AJ37" s="79"/>
      <c r="AK37" s="79"/>
      <c r="AL37" s="75"/>
      <c r="AM37" s="85">
        <f>M37*K37</f>
        <v>0</v>
      </c>
      <c r="AN37" s="85">
        <f>Y37*X37</f>
        <v>0</v>
      </c>
      <c r="AO37" s="85" t="e">
        <f>#REF!*AC37*AA37</f>
        <v>#REF!</v>
      </c>
      <c r="AP37" s="85">
        <f>AL37*AJ37</f>
        <v>0</v>
      </c>
      <c r="AQ37" s="86"/>
      <c r="AR37" s="87"/>
      <c r="AS37" s="88"/>
      <c r="AT37" s="87"/>
      <c r="AU37" s="89"/>
      <c r="AV37" s="90"/>
      <c r="AW37" s="91"/>
      <c r="AX37" s="90"/>
      <c r="AY37" s="71"/>
      <c r="BA37" s="86"/>
      <c r="BB37" s="86"/>
      <c r="BC37" s="86"/>
      <c r="BD37" s="86"/>
      <c r="BE37" s="86"/>
      <c r="BF37" s="86"/>
      <c r="BG37" s="92"/>
      <c r="BH37" s="92"/>
      <c r="BI37" s="92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</row>
    <row r="38" spans="1:77" ht="14.4" x14ac:dyDescent="0.3">
      <c r="A38" s="72" t="s">
        <v>251</v>
      </c>
      <c r="B38" s="151" t="s">
        <v>253</v>
      </c>
      <c r="C38" s="73" t="s">
        <v>124</v>
      </c>
      <c r="D38" s="74" t="s">
        <v>116</v>
      </c>
      <c r="E38" s="73" t="s">
        <v>117</v>
      </c>
      <c r="F38" s="73" t="s">
        <v>131</v>
      </c>
      <c r="G38" s="17" t="str">
        <f t="shared" ref="G38:G39" si="9">IF(E38="Rack","No of Racks",(IF(E38="Space","Sq Ft","U Space")))</f>
        <v>No of Racks</v>
      </c>
      <c r="H38" s="146">
        <v>64</v>
      </c>
      <c r="I38" s="146">
        <v>62</v>
      </c>
      <c r="J38" s="145">
        <f t="shared" si="6"/>
        <v>2</v>
      </c>
      <c r="K38" s="73"/>
      <c r="L38" s="73">
        <v>0</v>
      </c>
      <c r="M38" s="75"/>
      <c r="N38" s="147"/>
      <c r="O38" s="76"/>
      <c r="P38" s="73" t="s">
        <v>125</v>
      </c>
      <c r="Q38" s="73">
        <v>440</v>
      </c>
      <c r="R38" s="77">
        <v>20.88</v>
      </c>
      <c r="S38" s="78">
        <f t="shared" si="5"/>
        <v>419.12</v>
      </c>
      <c r="T38" s="79"/>
      <c r="U38" s="79"/>
      <c r="V38" s="79"/>
      <c r="W38" s="81"/>
      <c r="X38" s="79"/>
      <c r="Y38" s="82"/>
      <c r="Z38" s="83"/>
      <c r="AA38" s="79"/>
      <c r="AB38" s="79"/>
      <c r="AC38" s="84"/>
      <c r="AD38" s="150">
        <v>15540</v>
      </c>
      <c r="AE38" s="94"/>
      <c r="AF38" s="23"/>
      <c r="AG38" s="79"/>
      <c r="AH38" s="79"/>
      <c r="AI38" s="79"/>
      <c r="AJ38" s="79"/>
      <c r="AK38" s="79"/>
      <c r="AL38" s="75"/>
      <c r="AM38" s="85"/>
      <c r="AN38" s="85"/>
      <c r="AO38" s="85"/>
      <c r="AP38" s="85"/>
      <c r="AR38" s="87"/>
      <c r="AS38" s="88"/>
      <c r="AT38" s="87"/>
      <c r="AU38" s="89"/>
      <c r="AV38" s="90"/>
      <c r="AW38" s="91"/>
      <c r="AX38" s="90"/>
      <c r="AY38" s="71"/>
      <c r="BA38" s="86"/>
      <c r="BB38" s="86"/>
      <c r="BC38" s="86"/>
      <c r="BD38" s="86"/>
      <c r="BE38" s="86"/>
      <c r="BF38" s="86"/>
      <c r="BG38" s="95"/>
      <c r="BH38" s="95"/>
      <c r="BI38" s="95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</row>
    <row r="39" spans="1:77" ht="14.4" x14ac:dyDescent="0.3">
      <c r="A39" s="72" t="s">
        <v>251</v>
      </c>
      <c r="B39" s="151" t="s">
        <v>254</v>
      </c>
      <c r="C39" s="73" t="s">
        <v>124</v>
      </c>
      <c r="D39" s="74" t="s">
        <v>116</v>
      </c>
      <c r="E39" s="73" t="s">
        <v>117</v>
      </c>
      <c r="F39" s="73" t="s">
        <v>131</v>
      </c>
      <c r="G39" s="17" t="str">
        <f t="shared" si="9"/>
        <v>No of Racks</v>
      </c>
      <c r="H39" s="146">
        <v>100</v>
      </c>
      <c r="I39" s="146">
        <v>97</v>
      </c>
      <c r="J39" s="145">
        <f t="shared" si="6"/>
        <v>3</v>
      </c>
      <c r="K39" s="73"/>
      <c r="L39" s="73">
        <v>0</v>
      </c>
      <c r="M39" s="75"/>
      <c r="N39" s="147"/>
      <c r="O39" s="76"/>
      <c r="P39" s="73" t="s">
        <v>125</v>
      </c>
      <c r="Q39" s="73">
        <v>515</v>
      </c>
      <c r="R39" s="77">
        <v>999.6</v>
      </c>
      <c r="S39" s="78">
        <f t="shared" si="5"/>
        <v>-484.6</v>
      </c>
      <c r="T39" s="79"/>
      <c r="U39" s="79"/>
      <c r="V39" s="79"/>
      <c r="W39" s="81"/>
      <c r="X39" s="79"/>
      <c r="Y39" s="82"/>
      <c r="Z39" s="83"/>
      <c r="AA39" s="79"/>
      <c r="AB39" s="79"/>
      <c r="AC39" s="84"/>
      <c r="AD39" s="138">
        <v>335395.40000000002</v>
      </c>
      <c r="AE39" s="94"/>
      <c r="AF39" s="23"/>
      <c r="AG39" s="79"/>
      <c r="AH39" s="79"/>
      <c r="AI39" s="79"/>
      <c r="AJ39" s="79"/>
      <c r="AK39" s="79"/>
      <c r="AL39" s="75"/>
      <c r="AM39" s="85"/>
      <c r="AN39" s="85"/>
      <c r="AO39" s="85"/>
      <c r="AP39" s="85"/>
      <c r="AQ39" s="86"/>
      <c r="AR39" s="87"/>
      <c r="AS39" s="88"/>
      <c r="AT39" s="87"/>
      <c r="AU39" s="89"/>
      <c r="AV39" s="90"/>
      <c r="AW39" s="91"/>
      <c r="AX39" s="90"/>
      <c r="AY39" s="71"/>
      <c r="BA39" s="86"/>
      <c r="BB39" s="86"/>
      <c r="BC39" s="86"/>
      <c r="BD39" s="86"/>
      <c r="BE39" s="86"/>
      <c r="BF39" s="86"/>
      <c r="BG39" s="95"/>
      <c r="BH39" s="95"/>
      <c r="BI39" s="95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</row>
    <row r="40" spans="1:77" x14ac:dyDescent="0.3">
      <c r="D40" s="35"/>
      <c r="AU40" s="2"/>
      <c r="AV40" s="2"/>
      <c r="AW40" s="2"/>
      <c r="AX40" s="2"/>
    </row>
  </sheetData>
  <mergeCells count="13">
    <mergeCell ref="Z28:AD28"/>
    <mergeCell ref="AE28:AL28"/>
    <mergeCell ref="AM28:AT28"/>
    <mergeCell ref="AU28:AX28"/>
    <mergeCell ref="AC3:AC6"/>
    <mergeCell ref="AC10:AC12"/>
    <mergeCell ref="H2:I2"/>
    <mergeCell ref="Q5:R5"/>
    <mergeCell ref="O6:R6"/>
    <mergeCell ref="N7:R7"/>
    <mergeCell ref="C28:D28"/>
    <mergeCell ref="E28:M28"/>
    <mergeCell ref="O28:Y28"/>
  </mergeCells>
  <conditionalFormatting sqref="Y30:Y39">
    <cfRule type="cellIs" dxfId="16" priority="19" operator="lessThanOrEqual">
      <formula>0</formula>
    </cfRule>
    <cfRule type="cellIs" dxfId="15" priority="20" operator="lessThanOrEqual">
      <formula>0</formula>
    </cfRule>
  </conditionalFormatting>
  <conditionalFormatting sqref="BC30:BF39">
    <cfRule type="cellIs" dxfId="14" priority="2" operator="lessThan">
      <formula>#REF!</formula>
    </cfRule>
    <cfRule type="cellIs" dxfId="13" priority="3" operator="between">
      <formula>#REF!</formula>
      <formula>$J$6</formula>
    </cfRule>
    <cfRule type="cellIs" dxfId="12" priority="4" operator="between">
      <formula>$J$6</formula>
      <formula>$J$5</formula>
    </cfRule>
    <cfRule type="cellIs" dxfId="11" priority="5" operator="greaterThan">
      <formula>$J$4</formula>
    </cfRule>
    <cfRule type="cellIs" dxfId="10" priority="6" operator="between">
      <formula>$J$5</formula>
      <formula>$J$4</formula>
    </cfRule>
  </conditionalFormatting>
  <conditionalFormatting sqref="BC32:BF33">
    <cfRule type="cellIs" dxfId="9" priority="8" operator="lessThan">
      <formula>#REF!</formula>
    </cfRule>
    <cfRule type="cellIs" dxfId="8" priority="9" operator="between">
      <formula>#REF!</formula>
      <formula>$J$6</formula>
    </cfRule>
    <cfRule type="cellIs" dxfId="7" priority="10" operator="between">
      <formula>$J$6</formula>
      <formula>$J$5</formula>
    </cfRule>
    <cfRule type="cellIs" dxfId="6" priority="11" operator="greaterThan">
      <formula>$J$4</formula>
    </cfRule>
    <cfRule type="cellIs" dxfId="5" priority="12" operator="between">
      <formula>$J$5</formula>
      <formula>$J$4</formula>
    </cfRule>
  </conditionalFormatting>
  <conditionalFormatting sqref="BC33:BF33 BC37:BF39">
    <cfRule type="cellIs" dxfId="4" priority="14" operator="lessThan">
      <formula>#REF!</formula>
    </cfRule>
    <cfRule type="cellIs" dxfId="3" priority="15" operator="between">
      <formula>#REF!</formula>
      <formula>$J$6</formula>
    </cfRule>
    <cfRule type="cellIs" dxfId="2" priority="16" operator="between">
      <formula>$J$6</formula>
      <formula>$J$5</formula>
    </cfRule>
    <cfRule type="cellIs" dxfId="1" priority="17" operator="greaterThan">
      <formula>$J$4</formula>
    </cfRule>
    <cfRule type="cellIs" dxfId="0" priority="18" operator="between">
      <formula>$J$5</formula>
      <formula>$J$4</formula>
    </cfRule>
  </conditionalFormatting>
  <conditionalFormatting sqref="BW30:BY31 BW34:BY3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2:BY3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7:BY39 BW33:BY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8">
    <dataValidation type="list" allowBlank="1" showInputMessage="1" showErrorMessage="1" sqref="AB32:AB33 AB37:AB39" xr:uid="{00000000-0002-0000-0100-000000000000}">
      <formula1>"Fixed,Variable"</formula1>
      <formula2>0</formula2>
    </dataValidation>
    <dataValidation type="list" allowBlank="1" showInputMessage="1" showErrorMessage="1" promptTitle="Rack, U Space, Cage" sqref="F30:F39" xr:uid="{A7F34293-E9C9-41E3-AE17-BD41A01D809A}">
      <formula1>"Caged,Uncaged"</formula1>
      <formula2>0</formula2>
    </dataValidation>
    <dataValidation type="list" allowBlank="1" showInputMessage="1" showErrorMessage="1" promptTitle="Rack, U Space, Cage" sqref="E30:E39" xr:uid="{345411F7-AFA0-4FD8-A153-D0FFA31DE0E9}">
      <formula1>"Space,Rack,U space"</formula1>
      <formula2>0</formula2>
    </dataValidation>
    <dataValidation type="list" allowBlank="1" showInputMessage="1" showErrorMessage="1" sqref="D30:D39" xr:uid="{14F63E48-19CE-46C4-A28D-E1958CEA88C7}">
      <formula1>"Bundled,Metered"</formula1>
      <formula2>0</formula2>
    </dataValidation>
    <dataValidation type="list" allowBlank="1" showInputMessage="1" showErrorMessage="1" sqref="P32:P33 P37:P39" xr:uid="{00000000-0002-0000-0100-000004000000}">
      <formula1>"KW,KVA"</formula1>
      <formula2>0</formula2>
    </dataValidation>
    <dataValidation type="list" allowBlank="1" showInputMessage="1" showErrorMessage="1" sqref="AT32:AT33 AT37:AT39" xr:uid="{00000000-0002-0000-0100-000005000000}">
      <formula1>"Qtrly Adv,Qtry Ars,Monthly Adv,Monthly Ars"</formula1>
      <formula2>0</formula2>
    </dataValidation>
    <dataValidation type="list" allowBlank="1" showInputMessage="1" showErrorMessage="1" sqref="AE32:AE33 AE37:AE39" xr:uid="{00000000-0002-0000-0100-000006000000}">
      <formula1>"No of Seats,Space"</formula1>
      <formula2>0</formula2>
    </dataValidation>
    <dataValidation type="list" allowBlank="1" showInputMessage="1" showErrorMessage="1" sqref="C30:C39" xr:uid="{5F0F0D5E-F778-4356-9073-04C23DFC2323}">
      <formula1>"Rated,Subscribed"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bf001-7c56-4287-9c67-21e757b4767a" xsi:nil="true"/>
    <Creater xmlns="b2caf5b7-b467-4f56-ac31-11dce6c60ef6">
      <UserInfo>
        <DisplayName/>
        <AccountId xsi:nil="true"/>
        <AccountType/>
      </UserInfo>
    </Creater>
    <CreatDate xmlns="b2caf5b7-b467-4f56-ac31-11dce6c60ef6" xsi:nil="true"/>
    <lcf76f155ced4ddcb4097134ff3c332f xmlns="b2caf5b7-b467-4f56-ac31-11dce6c60e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1B16A5CEAE24CAB6946AAE4845301" ma:contentTypeVersion="21" ma:contentTypeDescription="Create a new document." ma:contentTypeScope="" ma:versionID="92f774b959c7991b899ff7a9c053fe48">
  <xsd:schema xmlns:xsd="http://www.w3.org/2001/XMLSchema" xmlns:xs="http://www.w3.org/2001/XMLSchema" xmlns:p="http://schemas.microsoft.com/office/2006/metadata/properties" xmlns:ns2="b2caf5b7-b467-4f56-ac31-11dce6c60ef6" xmlns:ns3="e47b8fd4-d2ce-414a-8c42-4a609c91ffb9" xmlns:ns4="19fbf001-7c56-4287-9c67-21e757b4767a" targetNamespace="http://schemas.microsoft.com/office/2006/metadata/properties" ma:root="true" ma:fieldsID="8946e1b8f4f4ca452358e1c116c865af" ns2:_="" ns3:_="" ns4:_="">
    <xsd:import namespace="b2caf5b7-b467-4f56-ac31-11dce6c60ef6"/>
    <xsd:import namespace="e47b8fd4-d2ce-414a-8c42-4a609c91ffb9"/>
    <xsd:import namespace="19fbf001-7c56-4287-9c67-21e757b47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CreatDate" minOccurs="0"/>
                <xsd:element ref="ns2:Crea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af5b7-b467-4f56-ac31-11dce6c60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225ff6-d8db-4da8-8d9c-1f925f835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Date" ma:index="26" nillable="true" ma:displayName="Creat Date" ma:format="DateOnly" ma:internalName="CreatDate">
      <xsd:simpleType>
        <xsd:restriction base="dms:DateTime"/>
      </xsd:simpleType>
    </xsd:element>
    <xsd:element name="Creater" ma:index="27" nillable="true" ma:displayName="Creater" ma:format="Dropdown" ma:list="UserInfo" ma:SharePointGroup="0" ma:internalName="Crea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8fd4-d2ce-414a-8c42-4a609c91ffb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bf001-7c56-4287-9c67-21e757b4767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56054c7-7f75-4b92-bef0-390b602a991d}" ma:internalName="TaxCatchAll" ma:showField="CatchAllData" ma:web="e47b8fd4-d2ce-414a-8c42-4a609c91f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63940B-FA21-4BF2-8E61-1B4D7ADCE2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B3053-5224-45EF-BE4E-F5ED23605C9B}">
  <ds:schemaRefs>
    <ds:schemaRef ds:uri="http://schemas.microsoft.com/office/2006/metadata/properties"/>
    <ds:schemaRef ds:uri="http://schemas.microsoft.com/office/infopath/2007/PartnerControls"/>
    <ds:schemaRef ds:uri="19fbf001-7c56-4287-9c67-21e757b4767a"/>
    <ds:schemaRef ds:uri="b2caf5b7-b467-4f56-ac31-11dce6c60ef6"/>
  </ds:schemaRefs>
</ds:datastoreItem>
</file>

<file path=customXml/itemProps3.xml><?xml version="1.0" encoding="utf-8"?>
<ds:datastoreItem xmlns:ds="http://schemas.openxmlformats.org/officeDocument/2006/customXml" ds:itemID="{AFBD3AE3-2E71-4C78-8BFB-CEC5A5691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af5b7-b467-4f56-ac31-11dce6c60ef6"/>
    <ds:schemaRef ds:uri="e47b8fd4-d2ce-414a-8c42-4a609c91ffb9"/>
    <ds:schemaRef ds:uri="19fbf001-7c56-4287-9c67-21e757b47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Rabale-T1</vt:lpstr>
      <vt:lpstr>Rabale-T2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Mrigendra Devendra Korale</dc:creator>
  <cp:keywords/>
  <dc:description/>
  <cp:lastModifiedBy>Sameer Chaudhary</cp:lastModifiedBy>
  <cp:revision>4</cp:revision>
  <dcterms:created xsi:type="dcterms:W3CDTF">2008-09-01T12:11:01Z</dcterms:created>
  <dcterms:modified xsi:type="dcterms:W3CDTF">2026-03-16T06:04:34Z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0x0101002A41B16A5CEAE24CAB6946AAE4845301</vt:lpwstr>
  </property>
  <property fmtid="{D5CDD505-2E9C-101B-9397-08002B2CF9AE}" pid="3" name="MediaServiceImageTags">
    <vt:lpwstr/>
  </property>
</Properties>
</file>