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updateLinks="never"/>
  <mc:AlternateContent xmlns:mc="http://schemas.openxmlformats.org/markup-compatibility/2006">
    <mc:Choice Requires="x15">
      <x15ac:absPath xmlns:x15ac="http://schemas.microsoft.com/office/spreadsheetml/2010/11/ac" url="/Volumes/RK-D/DC Operations/Customer Data/"/>
    </mc:Choice>
  </mc:AlternateContent>
  <xr:revisionPtr revIDLastSave="0" documentId="8_{8EDACE6D-4739-A341-B5CB-C0871DE1A5F4}" xr6:coauthVersionLast="47" xr6:coauthVersionMax="47" xr10:uidLastSave="{00000000-0000-0000-0000-000000000000}"/>
  <bookViews>
    <workbookView xWindow="0" yWindow="660" windowWidth="30240" windowHeight="17760" tabRatio="778" activeTab="2" xr2:uid="{00000000-000D-0000-FFFF-FFFF00000000}"/>
  </bookViews>
  <sheets>
    <sheet name="Summary" sheetId="21" r:id="rId1"/>
    <sheet name="Terminated" sheetId="22" r:id="rId2"/>
    <sheet name="Noida-02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13" i="23" l="1"/>
  <c r="Y20" i="23" l="1"/>
  <c r="Y21" i="23"/>
  <c r="T21" i="23" s="1"/>
  <c r="Y22" i="23"/>
  <c r="O49" i="22" l="1"/>
  <c r="V49" i="22" s="1"/>
  <c r="W49" i="22"/>
  <c r="R49" i="22" s="1"/>
  <c r="S49" i="22" s="1"/>
  <c r="Y6" i="23"/>
  <c r="Y5" i="23"/>
  <c r="Y4" i="23"/>
  <c r="Y3" i="23"/>
  <c r="Y7" i="23"/>
  <c r="U49" i="22" l="1"/>
  <c r="X49" i="22"/>
  <c r="Z48" i="22"/>
  <c r="S48" i="22"/>
  <c r="X48" i="22" s="1"/>
  <c r="O48" i="22"/>
  <c r="K48" i="22"/>
  <c r="H48" i="22"/>
  <c r="M13" i="21" l="1"/>
  <c r="M12" i="21"/>
  <c r="X22" i="23"/>
  <c r="AB22" i="23"/>
  <c r="T22" i="23"/>
  <c r="U22" i="23" s="1"/>
  <c r="Z22" i="23" l="1"/>
  <c r="W22" i="23"/>
  <c r="S47" i="22" l="1"/>
  <c r="X47" i="22" s="1"/>
  <c r="H47" i="22"/>
  <c r="U47" i="22" l="1"/>
  <c r="U21" i="23" l="1"/>
  <c r="H28" i="23"/>
  <c r="K27" i="23"/>
  <c r="H27" i="23"/>
  <c r="K26" i="23"/>
  <c r="H26" i="23"/>
  <c r="S19" i="23"/>
  <c r="AH21" i="23"/>
  <c r="AB21" i="23"/>
  <c r="Q21" i="23"/>
  <c r="X21" i="23" s="1"/>
  <c r="AH20" i="23"/>
  <c r="AB20" i="23"/>
  <c r="Q20" i="23"/>
  <c r="X20" i="23" s="1"/>
  <c r="J20" i="23"/>
  <c r="T20" i="23" l="1"/>
  <c r="U20" i="23" s="1"/>
  <c r="W20" i="23" s="1"/>
  <c r="W21" i="23"/>
  <c r="Y19" i="23"/>
  <c r="K29" i="23"/>
  <c r="X19" i="23"/>
  <c r="Z21" i="23"/>
  <c r="AB3" i="23"/>
  <c r="T19" i="23" l="1"/>
  <c r="Z20" i="23"/>
  <c r="W19" i="23"/>
  <c r="BI46" i="22" l="1"/>
  <c r="AP46" i="22"/>
  <c r="AO46" i="22"/>
  <c r="BH46" i="22" s="1"/>
  <c r="AI46" i="22"/>
  <c r="AF46" i="22"/>
  <c r="Z46" i="22"/>
  <c r="W46" i="22"/>
  <c r="R46" i="22" s="1"/>
  <c r="S46" i="22" s="1"/>
  <c r="O46" i="22"/>
  <c r="V46" i="22" s="1"/>
  <c r="K46" i="22"/>
  <c r="H46" i="22"/>
  <c r="Z45" i="22"/>
  <c r="W45" i="22"/>
  <c r="S45" i="22"/>
  <c r="O45" i="22"/>
  <c r="V45" i="22" s="1"/>
  <c r="BQ45" i="22" s="1"/>
  <c r="H45" i="22"/>
  <c r="AQ44" i="22"/>
  <c r="AP44" i="22"/>
  <c r="AO44" i="22"/>
  <c r="AI44" i="22"/>
  <c r="AF44" i="22"/>
  <c r="Z44" i="22"/>
  <c r="Y44" i="22"/>
  <c r="S44" i="22"/>
  <c r="X44" i="22" s="1"/>
  <c r="O44" i="22"/>
  <c r="V44" i="22" s="1"/>
  <c r="BM44" i="22" s="1"/>
  <c r="N44" i="22"/>
  <c r="AM44" i="22" s="1"/>
  <c r="K44" i="22"/>
  <c r="H44" i="22"/>
  <c r="BI43" i="22"/>
  <c r="AQ43" i="22"/>
  <c r="AP43" i="22"/>
  <c r="AO43" i="22"/>
  <c r="AI43" i="22"/>
  <c r="AF43" i="22"/>
  <c r="Z43" i="22"/>
  <c r="Y43" i="22"/>
  <c r="S43" i="22"/>
  <c r="X43" i="22" s="1"/>
  <c r="O43" i="22"/>
  <c r="N43" i="22"/>
  <c r="AM43" i="22" s="1"/>
  <c r="H43" i="22"/>
  <c r="BO46" i="22" l="1"/>
  <c r="X46" i="22"/>
  <c r="AN46" i="22" s="1"/>
  <c r="U46" i="22"/>
  <c r="BM46" i="22"/>
  <c r="BQ46" i="22"/>
  <c r="BS46" i="22"/>
  <c r="U45" i="22"/>
  <c r="AN44" i="22"/>
  <c r="U44" i="22"/>
  <c r="AR44" i="22"/>
  <c r="BF44" i="22"/>
  <c r="BQ44" i="22"/>
  <c r="AN43" i="22"/>
  <c r="BF43" i="22" s="1"/>
  <c r="AR43" i="22"/>
  <c r="U43" i="22"/>
  <c r="BJ43" i="22" s="1"/>
  <c r="BV46" i="22" l="1"/>
  <c r="BF46" i="22"/>
  <c r="BG46" i="22" s="1"/>
  <c r="BN46" i="22" s="1"/>
  <c r="BP46" i="22" s="1"/>
  <c r="BB46" i="22"/>
  <c r="BT46" i="22"/>
  <c r="BW46" i="22" s="1"/>
  <c r="AR46" i="22"/>
  <c r="BA44" i="22"/>
  <c r="AZ44" i="22"/>
  <c r="AZ43" i="22"/>
  <c r="BA46" i="22" l="1"/>
  <c r="AZ46" i="22"/>
  <c r="BR46" i="22"/>
  <c r="BL46" i="22"/>
  <c r="BU46" i="22"/>
  <c r="BX46" i="22" s="1"/>
  <c r="BJ42" i="22" l="1"/>
  <c r="BI42" i="22"/>
  <c r="AO42" i="22"/>
  <c r="BH42" i="22" s="1"/>
  <c r="AL42" i="22"/>
  <c r="AP42" i="22" s="1"/>
  <c r="AI42" i="22"/>
  <c r="AF42" i="22"/>
  <c r="Z42" i="22"/>
  <c r="W42" i="22"/>
  <c r="S42" i="22"/>
  <c r="O42" i="22"/>
  <c r="V42" i="22" s="1"/>
  <c r="N42" i="22"/>
  <c r="AM42" i="22" s="1"/>
  <c r="K42" i="22"/>
  <c r="H42" i="22"/>
  <c r="H40" i="22"/>
  <c r="K40" i="22"/>
  <c r="N40" i="22"/>
  <c r="AM40" i="22" s="1"/>
  <c r="O40" i="22"/>
  <c r="S40" i="22"/>
  <c r="X40" i="22" s="1"/>
  <c r="AN40" i="22" s="1"/>
  <c r="W40" i="22"/>
  <c r="Z40" i="22"/>
  <c r="AF40" i="22"/>
  <c r="AI40" i="22"/>
  <c r="AL40" i="22"/>
  <c r="AP40" i="22" s="1"/>
  <c r="AO40" i="22"/>
  <c r="BI40" i="22"/>
  <c r="BJ40" i="22"/>
  <c r="H41" i="22"/>
  <c r="K41" i="22"/>
  <c r="N41" i="22"/>
  <c r="AM41" i="22" s="1"/>
  <c r="O41" i="22"/>
  <c r="V41" i="22" s="1"/>
  <c r="S41" i="22"/>
  <c r="U41" i="22" s="1"/>
  <c r="W41" i="22"/>
  <c r="Z41" i="22"/>
  <c r="AF41" i="22"/>
  <c r="AI41" i="22"/>
  <c r="AO41" i="22"/>
  <c r="BH41" i="22" s="1"/>
  <c r="AP41" i="22"/>
  <c r="BI41" i="22"/>
  <c r="BJ41" i="22"/>
  <c r="BS42" i="22" l="1"/>
  <c r="U42" i="22"/>
  <c r="BS40" i="22"/>
  <c r="BO42" i="22"/>
  <c r="BO41" i="22"/>
  <c r="BH40" i="22"/>
  <c r="BO40" i="22" s="1"/>
  <c r="BM42" i="22"/>
  <c r="BQ42" i="22"/>
  <c r="U40" i="22"/>
  <c r="X41" i="22"/>
  <c r="AN41" i="22" s="1"/>
  <c r="BT41" i="22" s="1"/>
  <c r="BS41" i="22"/>
  <c r="X42" i="22"/>
  <c r="AN42" i="22" s="1"/>
  <c r="AR42" i="22" s="1"/>
  <c r="BQ41" i="22"/>
  <c r="BM41" i="22"/>
  <c r="BF40" i="22"/>
  <c r="AR40" i="22"/>
  <c r="V40" i="22"/>
  <c r="BT40" i="22" s="1"/>
  <c r="BG40" i="22" l="1"/>
  <c r="BV42" i="22"/>
  <c r="BW41" i="22"/>
  <c r="BV41" i="22"/>
  <c r="BU40" i="22"/>
  <c r="BC40" i="22"/>
  <c r="BC41" i="22"/>
  <c r="BB41" i="22"/>
  <c r="BR41" i="22" s="1"/>
  <c r="AZ42" i="22"/>
  <c r="BA42" i="22"/>
  <c r="BF42" i="22"/>
  <c r="BG42" i="22" s="1"/>
  <c r="BN42" i="22" s="1"/>
  <c r="BP42" i="22" s="1"/>
  <c r="BU41" i="22"/>
  <c r="BX41" i="22" s="1"/>
  <c r="AR41" i="22"/>
  <c r="AZ41" i="22" s="1"/>
  <c r="BC42" i="22"/>
  <c r="BT42" i="22"/>
  <c r="BB42" i="22"/>
  <c r="BF41" i="22"/>
  <c r="BG41" i="22" s="1"/>
  <c r="BN41" i="22" s="1"/>
  <c r="BP41" i="22" s="1"/>
  <c r="BA40" i="22"/>
  <c r="AZ40" i="22"/>
  <c r="BM40" i="22"/>
  <c r="BQ40" i="22"/>
  <c r="BV40" i="22" s="1"/>
  <c r="BB40" i="22"/>
  <c r="K16" i="23"/>
  <c r="H15" i="23"/>
  <c r="H17" i="23"/>
  <c r="H16" i="23"/>
  <c r="S14" i="23"/>
  <c r="T13" i="23"/>
  <c r="U13" i="23" s="1"/>
  <c r="K10" i="23"/>
  <c r="H11" i="23"/>
  <c r="H10" i="23"/>
  <c r="H9" i="23"/>
  <c r="S8" i="23"/>
  <c r="BN40" i="22" l="1"/>
  <c r="BP40" i="22" s="1"/>
  <c r="BA41" i="22"/>
  <c r="BL41" i="22"/>
  <c r="BW42" i="22"/>
  <c r="BU42" i="22"/>
  <c r="BX42" i="22" s="1"/>
  <c r="BL42" i="22"/>
  <c r="BR42" i="22"/>
  <c r="BR40" i="22"/>
  <c r="BL40" i="22"/>
  <c r="BX40" i="22"/>
  <c r="BW40" i="22"/>
  <c r="Z13" i="23"/>
  <c r="Q13" i="23"/>
  <c r="X13" i="23" s="1"/>
  <c r="X14" i="23" s="1"/>
  <c r="W13" i="23" l="1"/>
  <c r="W14" i="23" s="1"/>
  <c r="K15" i="23" l="1"/>
  <c r="K18" i="23" s="1"/>
  <c r="Y14" i="23"/>
  <c r="T14" i="23" l="1"/>
  <c r="Q5" i="23" l="1"/>
  <c r="BI39" i="22" l="1"/>
  <c r="AQ39" i="22"/>
  <c r="AP39" i="22"/>
  <c r="AO39" i="22"/>
  <c r="AI39" i="22"/>
  <c r="AF39" i="22"/>
  <c r="Z39" i="22"/>
  <c r="Y39" i="22"/>
  <c r="S39" i="22"/>
  <c r="O39" i="22"/>
  <c r="V39" i="22" s="1"/>
  <c r="N39" i="22"/>
  <c r="AM39" i="22" s="1"/>
  <c r="K39" i="22"/>
  <c r="H39" i="22"/>
  <c r="U39" i="22" l="1"/>
  <c r="BJ39" i="22" s="1"/>
  <c r="BM39" i="22"/>
  <c r="BH39" i="22"/>
  <c r="BO39" i="22" s="1"/>
  <c r="BQ39" i="22"/>
  <c r="BK39" i="22"/>
  <c r="BD39" i="22" s="1"/>
  <c r="BT39" i="22" s="1"/>
  <c r="BW39" i="22" s="1"/>
  <c r="X39" i="22"/>
  <c r="AN39" i="22" s="1"/>
  <c r="AR39" i="22" l="1"/>
  <c r="BF39" i="22"/>
  <c r="BG39" i="22" s="1"/>
  <c r="BN39" i="22" s="1"/>
  <c r="BP39" i="22" s="1"/>
  <c r="BS39" i="22"/>
  <c r="BV39" i="22" s="1"/>
  <c r="BU39" i="22" l="1"/>
  <c r="BX39" i="22" s="1"/>
  <c r="AZ39" i="22"/>
  <c r="BA39" i="22"/>
  <c r="BC39" i="22"/>
  <c r="BB39" i="22"/>
  <c r="Y8" i="23"/>
  <c r="V11" i="21"/>
  <c r="BL39" i="22" l="1"/>
  <c r="BR39" i="22"/>
  <c r="BI38" i="22" l="1"/>
  <c r="AP38" i="22"/>
  <c r="AO38" i="22"/>
  <c r="AI38" i="22"/>
  <c r="AF38" i="22"/>
  <c r="Z38" i="22"/>
  <c r="W38" i="22"/>
  <c r="R38" i="22" s="1"/>
  <c r="S38" i="22" s="1"/>
  <c r="O38" i="22"/>
  <c r="V38" i="22" s="1"/>
  <c r="BM38" i="22" s="1"/>
  <c r="N38" i="22"/>
  <c r="K38" i="22"/>
  <c r="H38" i="22"/>
  <c r="H37" i="22"/>
  <c r="K37" i="22"/>
  <c r="N37" i="22"/>
  <c r="AM37" i="22" s="1"/>
  <c r="O37" i="22"/>
  <c r="V37" i="22" s="1"/>
  <c r="S37" i="22"/>
  <c r="U37" i="22" s="1"/>
  <c r="Z37" i="22"/>
  <c r="AF37" i="22"/>
  <c r="AI37" i="22"/>
  <c r="AO37" i="22"/>
  <c r="AP37" i="22"/>
  <c r="AQ37" i="22"/>
  <c r="BS38" i="22" l="1"/>
  <c r="BH38" i="22"/>
  <c r="BO38" i="22" s="1"/>
  <c r="X38" i="22"/>
  <c r="AN38" i="22" s="1"/>
  <c r="U38" i="22"/>
  <c r="BQ38" i="22"/>
  <c r="BM37" i="22"/>
  <c r="BQ37" i="22"/>
  <c r="X37" i="22"/>
  <c r="AN37" i="22" s="1"/>
  <c r="AR37" i="22"/>
  <c r="BF37" i="22"/>
  <c r="BV38" i="22" l="1"/>
  <c r="BB38" i="22"/>
  <c r="AR38" i="22"/>
  <c r="BF38" i="22"/>
  <c r="BG38" i="22" s="1"/>
  <c r="BN38" i="22" s="1"/>
  <c r="BP38" i="22" s="1"/>
  <c r="BT38" i="22"/>
  <c r="AZ37" i="22"/>
  <c r="BA37" i="22"/>
  <c r="BW38" i="22" l="1"/>
  <c r="BU38" i="22"/>
  <c r="BX38" i="22" s="1"/>
  <c r="BA38" i="22"/>
  <c r="AZ38" i="22"/>
  <c r="BL38" i="22"/>
  <c r="BR38" i="22"/>
  <c r="T7" i="23"/>
  <c r="U7" i="23" s="1"/>
  <c r="T4" i="23"/>
  <c r="T5" i="23"/>
  <c r="U5" i="23" s="1"/>
  <c r="T6" i="23"/>
  <c r="U6" i="23" s="1"/>
  <c r="T3" i="23"/>
  <c r="K9" i="23"/>
  <c r="T8" i="23" l="1"/>
  <c r="AQ36" i="22" l="1"/>
  <c r="AO36" i="22"/>
  <c r="AL36" i="22"/>
  <c r="AP36" i="22" s="1"/>
  <c r="AI36" i="22"/>
  <c r="Z36" i="22"/>
  <c r="Y36" i="22"/>
  <c r="W36" i="22"/>
  <c r="R36" i="22" s="1"/>
  <c r="S36" i="22" s="1"/>
  <c r="O36" i="22"/>
  <c r="V36" i="22" s="1"/>
  <c r="N36" i="22"/>
  <c r="AM36" i="22" s="1"/>
  <c r="K36" i="22"/>
  <c r="H36" i="22"/>
  <c r="BI35" i="22"/>
  <c r="AQ35" i="22"/>
  <c r="AO35" i="22"/>
  <c r="AL35" i="22"/>
  <c r="AP35" i="22" s="1"/>
  <c r="AI35" i="22"/>
  <c r="Z35" i="22"/>
  <c r="Y35" i="22"/>
  <c r="S35" i="22"/>
  <c r="X35" i="22" s="1"/>
  <c r="O35" i="22"/>
  <c r="V35" i="22" s="1"/>
  <c r="BK35" i="22" s="1"/>
  <c r="BS35" i="22" s="1"/>
  <c r="N35" i="22"/>
  <c r="AM35" i="22" s="1"/>
  <c r="K35" i="22"/>
  <c r="H35" i="22"/>
  <c r="AN35" i="22" l="1"/>
  <c r="BF35" i="22" s="1"/>
  <c r="BI36" i="22"/>
  <c r="U35" i="22"/>
  <c r="BJ35" i="22" s="1"/>
  <c r="BC35" i="22" s="1"/>
  <c r="BB35" i="22"/>
  <c r="BL35" i="22" s="1"/>
  <c r="BV35" i="22"/>
  <c r="X36" i="22"/>
  <c r="AN36" i="22" s="1"/>
  <c r="BF36" i="22" s="1"/>
  <c r="U36" i="22"/>
  <c r="BJ36" i="22" s="1"/>
  <c r="BC36" i="22" s="1"/>
  <c r="AR35" i="22"/>
  <c r="BH36" i="22"/>
  <c r="BO36" i="22" s="1"/>
  <c r="BM36" i="22"/>
  <c r="BK36" i="22"/>
  <c r="BS36" i="22" s="1"/>
  <c r="BQ36" i="22"/>
  <c r="BH35" i="22"/>
  <c r="BO35" i="22" s="1"/>
  <c r="BM35" i="22"/>
  <c r="BD35" i="22"/>
  <c r="BT35" i="22" s="1"/>
  <c r="BW35" i="22" s="1"/>
  <c r="BQ35" i="22"/>
  <c r="BR35" i="22" l="1"/>
  <c r="AR36" i="22"/>
  <c r="AZ36" i="22" s="1"/>
  <c r="BU35" i="22"/>
  <c r="BX35" i="22" s="1"/>
  <c r="BB36" i="22"/>
  <c r="BR36" i="22" s="1"/>
  <c r="BA35" i="22"/>
  <c r="AZ35" i="22"/>
  <c r="BV36" i="22"/>
  <c r="BL36" i="22"/>
  <c r="BG35" i="22"/>
  <c r="BN35" i="22" s="1"/>
  <c r="BP35" i="22" s="1"/>
  <c r="BD36" i="22"/>
  <c r="BT36" i="22" s="1"/>
  <c r="BW36" i="22" s="1"/>
  <c r="BG36" i="22"/>
  <c r="BN36" i="22" s="1"/>
  <c r="BP36" i="22" s="1"/>
  <c r="BA36" i="22" l="1"/>
  <c r="BU36" i="22"/>
  <c r="BX36" i="22" s="1"/>
  <c r="W5" i="23" l="1"/>
  <c r="X5" i="23"/>
  <c r="Z5" i="23"/>
  <c r="Z7" i="23"/>
  <c r="BI34" i="22" l="1"/>
  <c r="AP34" i="22"/>
  <c r="AO34" i="22"/>
  <c r="AI34" i="22"/>
  <c r="AF34" i="22"/>
  <c r="Z34" i="22"/>
  <c r="S34" i="22"/>
  <c r="O34" i="22"/>
  <c r="V34" i="22" s="1"/>
  <c r="N34" i="22"/>
  <c r="AM34" i="22" s="1"/>
  <c r="K34" i="22"/>
  <c r="H34" i="22"/>
  <c r="U34" i="22" l="1"/>
  <c r="BJ34" i="22" s="1"/>
  <c r="X34" i="22"/>
  <c r="AN34" i="22" s="1"/>
  <c r="BB34" i="22" s="1"/>
  <c r="BM34" i="22"/>
  <c r="BK34" i="22"/>
  <c r="BS34" i="22" s="1"/>
  <c r="BH34" i="22"/>
  <c r="BO34" i="22" s="1"/>
  <c r="BQ34" i="22"/>
  <c r="BF34" i="22"/>
  <c r="AR34" i="22"/>
  <c r="BC34" i="22" l="1"/>
  <c r="BD34" i="22"/>
  <c r="BT34" i="22" s="1"/>
  <c r="BW34" i="22" s="1"/>
  <c r="BL34" i="22"/>
  <c r="BR34" i="22"/>
  <c r="BA34" i="22"/>
  <c r="AZ34" i="22"/>
  <c r="BG34" i="22"/>
  <c r="BN34" i="22" s="1"/>
  <c r="BP34" i="22" s="1"/>
  <c r="BV34" i="22"/>
  <c r="BU34" i="22" l="1"/>
  <c r="BX34" i="22" s="1"/>
  <c r="Q7" i="23"/>
  <c r="X7" i="23" l="1"/>
  <c r="W7" i="23"/>
  <c r="BI31" i="22" l="1"/>
  <c r="AQ31" i="22"/>
  <c r="AO31" i="22"/>
  <c r="AL31" i="22"/>
  <c r="AP31" i="22" s="1"/>
  <c r="AI31" i="22"/>
  <c r="Z31" i="22"/>
  <c r="Y31" i="22"/>
  <c r="S31" i="22"/>
  <c r="X31" i="22" s="1"/>
  <c r="O31" i="22"/>
  <c r="V31" i="22" s="1"/>
  <c r="BM31" i="22" s="1"/>
  <c r="N31" i="22"/>
  <c r="AM31" i="22" s="1"/>
  <c r="K31" i="22"/>
  <c r="H31" i="22"/>
  <c r="AQ33" i="22"/>
  <c r="AO33" i="22"/>
  <c r="AL33" i="22"/>
  <c r="AP33" i="22" s="1"/>
  <c r="AI33" i="22"/>
  <c r="Z33" i="22"/>
  <c r="W33" i="22"/>
  <c r="R33" i="22" s="1"/>
  <c r="S33" i="22" s="1"/>
  <c r="O33" i="22"/>
  <c r="V33" i="22" s="1"/>
  <c r="N33" i="22"/>
  <c r="AM33" i="22" s="1"/>
  <c r="K33" i="22"/>
  <c r="H33" i="22"/>
  <c r="AN31" i="22" l="1"/>
  <c r="BF31" i="22" s="1"/>
  <c r="BH31" i="22"/>
  <c r="BO31" i="22" s="1"/>
  <c r="BQ31" i="22"/>
  <c r="BK31" i="22"/>
  <c r="BS31" i="22" s="1"/>
  <c r="U31" i="22"/>
  <c r="BJ31" i="22" s="1"/>
  <c r="BM33" i="22"/>
  <c r="BQ33" i="22"/>
  <c r="X33" i="22"/>
  <c r="AN33" i="22" s="1"/>
  <c r="AR33" i="22" s="1"/>
  <c r="U33" i="22"/>
  <c r="AR31" i="22" l="1"/>
  <c r="BA31" i="22" s="1"/>
  <c r="BC31" i="22"/>
  <c r="BB31" i="22"/>
  <c r="BL31" i="22" s="1"/>
  <c r="BV31" i="22"/>
  <c r="BR31" i="22"/>
  <c r="BD31" i="22"/>
  <c r="BT31" i="22" s="1"/>
  <c r="BW31" i="22" s="1"/>
  <c r="BG31" i="22"/>
  <c r="BN31" i="22" s="1"/>
  <c r="BP31" i="22" s="1"/>
  <c r="BA33" i="22"/>
  <c r="AZ33" i="22"/>
  <c r="BF33" i="22"/>
  <c r="J5" i="23"/>
  <c r="AH6" i="23"/>
  <c r="AB6" i="23"/>
  <c r="Q6" i="23"/>
  <c r="X6" i="23" s="1"/>
  <c r="M6" i="23"/>
  <c r="J6" i="23"/>
  <c r="AH4" i="23"/>
  <c r="AB4" i="23"/>
  <c r="U4" i="23"/>
  <c r="Q4" i="23"/>
  <c r="X4" i="23" s="1"/>
  <c r="J4" i="23"/>
  <c r="AH3" i="23"/>
  <c r="U3" i="23"/>
  <c r="Q3" i="23"/>
  <c r="X3" i="23" s="1"/>
  <c r="J3" i="23"/>
  <c r="X8" i="23" l="1"/>
  <c r="AZ31" i="22"/>
  <c r="W6" i="23"/>
  <c r="Z6" i="23"/>
  <c r="Z4" i="23"/>
  <c r="W4" i="23"/>
  <c r="BU31" i="22"/>
  <c r="BX31" i="22" s="1"/>
  <c r="K12" i="23"/>
  <c r="Z3" i="23"/>
  <c r="W3" i="23"/>
  <c r="W8" i="23" l="1"/>
  <c r="BI32" i="22"/>
  <c r="AQ32" i="22"/>
  <c r="AO32" i="22"/>
  <c r="AL32" i="22"/>
  <c r="AP32" i="22" s="1"/>
  <c r="AI32" i="22"/>
  <c r="Z32" i="22"/>
  <c r="S32" i="22"/>
  <c r="X32" i="22" s="1"/>
  <c r="AN32" i="22" s="1"/>
  <c r="O32" i="22"/>
  <c r="V32" i="22" s="1"/>
  <c r="N32" i="22"/>
  <c r="K32" i="22"/>
  <c r="H32" i="22"/>
  <c r="AR32" i="22" l="1"/>
  <c r="BF32" i="22"/>
  <c r="BB32" i="22"/>
  <c r="BH32" i="22"/>
  <c r="BO32" i="22" s="1"/>
  <c r="BM32" i="22"/>
  <c r="BK32" i="22"/>
  <c r="BS32" i="22" s="1"/>
  <c r="BQ32" i="22"/>
  <c r="U32" i="22"/>
  <c r="BJ32" i="22" s="1"/>
  <c r="BC32" i="22" s="1"/>
  <c r="BL32" i="22" l="1"/>
  <c r="BR32" i="22"/>
  <c r="BV32" i="22"/>
  <c r="BD32" i="22"/>
  <c r="BT32" i="22" s="1"/>
  <c r="BW32" i="22" s="1"/>
  <c r="BG32" i="22"/>
  <c r="BN32" i="22" s="1"/>
  <c r="BP32" i="22" s="1"/>
  <c r="BA32" i="22"/>
  <c r="AZ32" i="22"/>
  <c r="BU32" i="22" l="1"/>
  <c r="BX32" i="22" s="1"/>
  <c r="V13" i="21" l="1"/>
  <c r="BI30" i="22" l="1"/>
  <c r="AQ30" i="22"/>
  <c r="AP30" i="22"/>
  <c r="AO30" i="22"/>
  <c r="AI30" i="22"/>
  <c r="AF30" i="22"/>
  <c r="Z30" i="22"/>
  <c r="Y30" i="22"/>
  <c r="S30" i="22"/>
  <c r="X30" i="22" s="1"/>
  <c r="O30" i="22"/>
  <c r="V30" i="22" s="1"/>
  <c r="BH30" i="22" s="1"/>
  <c r="N30" i="22"/>
  <c r="AM30" i="22" s="1"/>
  <c r="K30" i="22"/>
  <c r="H30" i="22"/>
  <c r="BI29" i="22"/>
  <c r="AQ29" i="22"/>
  <c r="AP29" i="22"/>
  <c r="AO29" i="22"/>
  <c r="AI29" i="22"/>
  <c r="AF29" i="22"/>
  <c r="Z29" i="22"/>
  <c r="Y29" i="22"/>
  <c r="S29" i="22"/>
  <c r="X29" i="22" s="1"/>
  <c r="O29" i="22"/>
  <c r="V29" i="22" s="1"/>
  <c r="BK29" i="22" s="1"/>
  <c r="N29" i="22"/>
  <c r="AM29" i="22" s="1"/>
  <c r="K29" i="22"/>
  <c r="H29" i="22"/>
  <c r="BO30" i="22" l="1"/>
  <c r="AN30" i="22"/>
  <c r="BS29" i="22"/>
  <c r="U29" i="22"/>
  <c r="BJ29" i="22" s="1"/>
  <c r="U30" i="22"/>
  <c r="BJ30" i="22" s="1"/>
  <c r="BC30" i="22" s="1"/>
  <c r="AR30" i="22"/>
  <c r="BF30" i="22"/>
  <c r="BG30" i="22" s="1"/>
  <c r="BB30" i="22"/>
  <c r="BQ30" i="22"/>
  <c r="BK30" i="22"/>
  <c r="BS30" i="22" s="1"/>
  <c r="BM30" i="22"/>
  <c r="AN29" i="22"/>
  <c r="BB29" i="22" s="1"/>
  <c r="BQ29" i="22"/>
  <c r="BV29" i="22" s="1"/>
  <c r="BM29" i="22"/>
  <c r="BH29" i="22"/>
  <c r="BO29" i="22" s="1"/>
  <c r="Z28" i="22"/>
  <c r="W28" i="22"/>
  <c r="S28" i="22"/>
  <c r="X28" i="22" s="1"/>
  <c r="O28" i="22"/>
  <c r="V28" i="22" s="1"/>
  <c r="K28" i="22"/>
  <c r="H28" i="22"/>
  <c r="V15" i="21"/>
  <c r="AQ27" i="22"/>
  <c r="AO27" i="22"/>
  <c r="AL27" i="22"/>
  <c r="AP27" i="22" s="1"/>
  <c r="AI27" i="22"/>
  <c r="Z27" i="22"/>
  <c r="Y27" i="22"/>
  <c r="S27" i="22"/>
  <c r="X27" i="22" s="1"/>
  <c r="O27" i="22"/>
  <c r="V27" i="22" s="1"/>
  <c r="N27" i="22"/>
  <c r="AM27" i="22" s="1"/>
  <c r="K27" i="22"/>
  <c r="H27" i="22"/>
  <c r="T15" i="21"/>
  <c r="T17" i="21" s="1"/>
  <c r="AR29" i="22" l="1"/>
  <c r="BA29" i="22" s="1"/>
  <c r="BF29" i="22"/>
  <c r="BG29" i="22" s="1"/>
  <c r="BN29" i="22" s="1"/>
  <c r="BP29" i="22" s="1"/>
  <c r="BD29" i="22"/>
  <c r="BT29" i="22" s="1"/>
  <c r="BU29" i="22" s="1"/>
  <c r="BX29" i="22" s="1"/>
  <c r="AN27" i="22"/>
  <c r="AR27" i="22" s="1"/>
  <c r="BC29" i="22"/>
  <c r="BV30" i="22"/>
  <c r="BD30" i="22"/>
  <c r="BT30" i="22" s="1"/>
  <c r="BW30" i="22" s="1"/>
  <c r="BL30" i="22"/>
  <c r="BR30" i="22"/>
  <c r="BN30" i="22"/>
  <c r="BP30" i="22" s="1"/>
  <c r="AZ30" i="22"/>
  <c r="BA30" i="22"/>
  <c r="BR29" i="22"/>
  <c r="BL29" i="22"/>
  <c r="U28" i="22"/>
  <c r="BM27" i="22"/>
  <c r="BQ27" i="22"/>
  <c r="BF27" i="22"/>
  <c r="U27" i="22"/>
  <c r="BJ26" i="22"/>
  <c r="BI26" i="22"/>
  <c r="AQ26" i="22"/>
  <c r="AO26" i="22"/>
  <c r="BH26" i="22" s="1"/>
  <c r="AL26" i="22"/>
  <c r="AP26" i="22" s="1"/>
  <c r="AI26" i="22"/>
  <c r="Z26" i="22"/>
  <c r="Y26" i="22"/>
  <c r="W26" i="22"/>
  <c r="R26" i="22" s="1"/>
  <c r="S26" i="22" s="1"/>
  <c r="O26" i="22"/>
  <c r="V26" i="22" s="1"/>
  <c r="N26" i="22"/>
  <c r="AM26" i="22" s="1"/>
  <c r="K26" i="22"/>
  <c r="H26" i="22"/>
  <c r="AQ25" i="22"/>
  <c r="AP25" i="22"/>
  <c r="AO25" i="22"/>
  <c r="BH25" i="22" s="1"/>
  <c r="AI25" i="22"/>
  <c r="AF25" i="22"/>
  <c r="Z25" i="22"/>
  <c r="Y25" i="22"/>
  <c r="W25" i="22"/>
  <c r="S25" i="22"/>
  <c r="U25" i="22" s="1"/>
  <c r="O25" i="22"/>
  <c r="V25" i="22" s="1"/>
  <c r="N25" i="22"/>
  <c r="AM25" i="22" s="1"/>
  <c r="H25" i="22"/>
  <c r="AQ24" i="22"/>
  <c r="AP24" i="22"/>
  <c r="AO24" i="22"/>
  <c r="BH24" i="22" s="1"/>
  <c r="AI24" i="22"/>
  <c r="AF24" i="22"/>
  <c r="Z24" i="22"/>
  <c r="W24" i="22"/>
  <c r="S24" i="22"/>
  <c r="X24" i="22" s="1"/>
  <c r="AN24" i="22" s="1"/>
  <c r="O24" i="22"/>
  <c r="V24" i="22" s="1"/>
  <c r="N24" i="22"/>
  <c r="AM24" i="22" s="1"/>
  <c r="K24" i="22"/>
  <c r="H24" i="22"/>
  <c r="AP23" i="22"/>
  <c r="AO23" i="22"/>
  <c r="AM23" i="22"/>
  <c r="AI23" i="22"/>
  <c r="Z23" i="22"/>
  <c r="W23" i="22"/>
  <c r="R23" i="22" s="1"/>
  <c r="S23" i="22" s="1"/>
  <c r="O23" i="22"/>
  <c r="V23" i="22" s="1"/>
  <c r="K23" i="22"/>
  <c r="H23" i="22"/>
  <c r="AP22" i="22"/>
  <c r="AO22" i="22"/>
  <c r="AM22" i="22"/>
  <c r="AI22" i="22"/>
  <c r="Z22" i="22"/>
  <c r="W22" i="22"/>
  <c r="R22" i="22" s="1"/>
  <c r="S22" i="22" s="1"/>
  <c r="O22" i="22"/>
  <c r="V22" i="22" s="1"/>
  <c r="K22" i="22"/>
  <c r="H22" i="22"/>
  <c r="BI21" i="22"/>
  <c r="AP21" i="22"/>
  <c r="AO21" i="22"/>
  <c r="AI21" i="22"/>
  <c r="AF21" i="22"/>
  <c r="Z21" i="22"/>
  <c r="Y21" i="22"/>
  <c r="S21" i="22"/>
  <c r="X21" i="22" s="1"/>
  <c r="O21" i="22"/>
  <c r="N21" i="22"/>
  <c r="AM21" i="22" s="1"/>
  <c r="K21" i="22"/>
  <c r="H21" i="22"/>
  <c r="BW29" i="22" l="1"/>
  <c r="AZ29" i="22"/>
  <c r="BU30" i="22"/>
  <c r="BX30" i="22" s="1"/>
  <c r="BA27" i="22"/>
  <c r="AZ27" i="22"/>
  <c r="BO26" i="22"/>
  <c r="BS26" i="22"/>
  <c r="X26" i="22"/>
  <c r="AN26" i="22" s="1"/>
  <c r="BC26" i="22" s="1"/>
  <c r="U26" i="22"/>
  <c r="BQ26" i="22"/>
  <c r="BM26" i="22"/>
  <c r="U24" i="22"/>
  <c r="X25" i="22"/>
  <c r="AN25" i="22" s="1"/>
  <c r="BM25" i="22"/>
  <c r="BK25" i="22"/>
  <c r="BQ25" i="22"/>
  <c r="AR24" i="22"/>
  <c r="BT24" i="22"/>
  <c r="BF24" i="22"/>
  <c r="BG24" i="22" s="1"/>
  <c r="BQ24" i="22"/>
  <c r="BM24" i="22"/>
  <c r="BK24" i="22"/>
  <c r="BD24" i="22" s="1"/>
  <c r="BH23" i="22"/>
  <c r="BQ23" i="22"/>
  <c r="BM23" i="22"/>
  <c r="BK23" i="22"/>
  <c r="U23" i="22"/>
  <c r="BJ23" i="22" s="1"/>
  <c r="X23" i="22"/>
  <c r="AN23" i="22" s="1"/>
  <c r="BF23" i="22" s="1"/>
  <c r="BI23" i="22"/>
  <c r="BH22" i="22"/>
  <c r="BM22" i="22"/>
  <c r="BK22" i="22"/>
  <c r="BQ22" i="22"/>
  <c r="U22" i="22"/>
  <c r="BJ22" i="22" s="1"/>
  <c r="X22" i="22"/>
  <c r="AN22" i="22" s="1"/>
  <c r="BF22" i="22" s="1"/>
  <c r="BI22" i="22"/>
  <c r="AN21" i="22"/>
  <c r="AR21" i="22" s="1"/>
  <c r="BB21" i="22"/>
  <c r="BG23" i="22" l="1"/>
  <c r="BN23" i="22" s="1"/>
  <c r="BS22" i="22"/>
  <c r="AR26" i="22"/>
  <c r="AZ26" i="22" s="1"/>
  <c r="BF26" i="22"/>
  <c r="BG26" i="22" s="1"/>
  <c r="BN26" i="22" s="1"/>
  <c r="BP26" i="22" s="1"/>
  <c r="BB26" i="22"/>
  <c r="BR26" i="22" s="1"/>
  <c r="BV26" i="22"/>
  <c r="BT26" i="22"/>
  <c r="BO22" i="22"/>
  <c r="BA26" i="22"/>
  <c r="BF25" i="22"/>
  <c r="BG25" i="22" s="1"/>
  <c r="BN25" i="22" s="1"/>
  <c r="BT25" i="22"/>
  <c r="AR25" i="22"/>
  <c r="BA25" i="22" s="1"/>
  <c r="BD25" i="22"/>
  <c r="BN24" i="22"/>
  <c r="BW24" i="22"/>
  <c r="AZ24" i="22"/>
  <c r="BA24" i="22"/>
  <c r="BS23" i="22"/>
  <c r="AR23" i="22"/>
  <c r="BD23" i="22"/>
  <c r="BT23" i="22" s="1"/>
  <c r="BC23" i="22"/>
  <c r="BB23" i="22"/>
  <c r="BO23" i="22"/>
  <c r="AR22" i="22"/>
  <c r="BD22" i="22"/>
  <c r="BT22" i="22" s="1"/>
  <c r="BB22" i="22"/>
  <c r="BC22" i="22"/>
  <c r="BG22" i="22"/>
  <c r="BN22" i="22" s="1"/>
  <c r="BF21" i="22"/>
  <c r="BR21" i="22"/>
  <c r="AZ21" i="22"/>
  <c r="BP23" i="22" l="1"/>
  <c r="BP22" i="22"/>
  <c r="BL26" i="22"/>
  <c r="BW26" i="22"/>
  <c r="BU26" i="22"/>
  <c r="BX26" i="22" s="1"/>
  <c r="BW25" i="22"/>
  <c r="AZ25" i="22"/>
  <c r="BR23" i="22"/>
  <c r="BW23" i="22" s="1"/>
  <c r="BL23" i="22"/>
  <c r="BA23" i="22"/>
  <c r="AZ23" i="22"/>
  <c r="BU23" i="22"/>
  <c r="BA22" i="22"/>
  <c r="AZ22" i="22"/>
  <c r="BU22" i="22"/>
  <c r="BR22" i="22"/>
  <c r="BV22" i="22" s="1"/>
  <c r="BL22" i="22"/>
  <c r="BX23" i="22" l="1"/>
  <c r="BV23" i="22"/>
  <c r="BX22" i="22"/>
  <c r="BW22" i="22"/>
  <c r="BJ20" i="22" l="1"/>
  <c r="BI20" i="22"/>
  <c r="AQ20" i="22"/>
  <c r="AO20" i="22"/>
  <c r="BH20" i="22" s="1"/>
  <c r="AL20" i="22"/>
  <c r="AP20" i="22" s="1"/>
  <c r="AI20" i="22"/>
  <c r="Z20" i="22"/>
  <c r="Y20" i="22"/>
  <c r="W20" i="22"/>
  <c r="R20" i="22" s="1"/>
  <c r="S20" i="22" s="1"/>
  <c r="O20" i="22"/>
  <c r="V20" i="22" s="1"/>
  <c r="BM20" i="22" s="1"/>
  <c r="N20" i="22"/>
  <c r="AM20" i="22" s="1"/>
  <c r="K20" i="22"/>
  <c r="H20" i="22"/>
  <c r="BS20" i="22" l="1"/>
  <c r="U21" i="22"/>
  <c r="BJ21" i="22" s="1"/>
  <c r="BC21" i="22" s="1"/>
  <c r="V21" i="22"/>
  <c r="BO20" i="22"/>
  <c r="BQ20" i="22"/>
  <c r="X20" i="22"/>
  <c r="AN20" i="22" s="1"/>
  <c r="BB20" i="22" s="1"/>
  <c r="U20" i="22"/>
  <c r="AR20" i="22"/>
  <c r="BV20" i="22" l="1"/>
  <c r="BF20" i="22"/>
  <c r="BG20" i="22" s="1"/>
  <c r="BN20" i="22" s="1"/>
  <c r="BP20" i="22" s="1"/>
  <c r="BC20" i="22"/>
  <c r="BT20" i="22"/>
  <c r="BW20" i="22" s="1"/>
  <c r="BH21" i="22"/>
  <c r="BM21" i="22"/>
  <c r="BK21" i="22"/>
  <c r="BQ21" i="22"/>
  <c r="BL21" i="22"/>
  <c r="BA21" i="22"/>
  <c r="BA20" i="22"/>
  <c r="AZ20" i="22"/>
  <c r="BL20" i="22"/>
  <c r="BR20" i="22"/>
  <c r="BU20" i="22" l="1"/>
  <c r="BX20" i="22" s="1"/>
  <c r="BO21" i="22"/>
  <c r="BG21" i="22"/>
  <c r="BN21" i="22" s="1"/>
  <c r="BS21" i="22"/>
  <c r="BD21" i="22"/>
  <c r="BT21" i="22" s="1"/>
  <c r="BW21" i="22" l="1"/>
  <c r="BP21" i="22"/>
  <c r="BV21" i="22"/>
  <c r="BU21" i="22"/>
  <c r="BX21" i="22" s="1"/>
  <c r="BJ19" i="22" l="1"/>
  <c r="BI19" i="22"/>
  <c r="AQ19" i="22"/>
  <c r="AO19" i="22"/>
  <c r="BH19" i="22" s="1"/>
  <c r="AL19" i="22"/>
  <c r="AP19" i="22" s="1"/>
  <c r="AI19" i="22"/>
  <c r="Z19" i="22"/>
  <c r="Y19" i="22"/>
  <c r="W19" i="22"/>
  <c r="R19" i="22" s="1"/>
  <c r="S19" i="22" s="1"/>
  <c r="O19" i="22"/>
  <c r="V19" i="22" s="1"/>
  <c r="N19" i="22"/>
  <c r="AM19" i="22" s="1"/>
  <c r="K19" i="22"/>
  <c r="H19" i="22"/>
  <c r="AP18" i="22"/>
  <c r="AO18" i="22"/>
  <c r="AI18" i="22"/>
  <c r="AF18" i="22"/>
  <c r="Z18" i="22"/>
  <c r="Y18" i="22"/>
  <c r="S18" i="22"/>
  <c r="X18" i="22" s="1"/>
  <c r="O18" i="22"/>
  <c r="N18" i="22"/>
  <c r="AM18" i="22" s="1"/>
  <c r="K18" i="22"/>
  <c r="H18" i="22"/>
  <c r="H17" i="22"/>
  <c r="K17" i="22"/>
  <c r="N17" i="22"/>
  <c r="AM17" i="22" s="1"/>
  <c r="O17" i="22"/>
  <c r="V17" i="22" s="1"/>
  <c r="S17" i="22"/>
  <c r="U17" i="22" s="1"/>
  <c r="Y17" i="22"/>
  <c r="Z17" i="22"/>
  <c r="AF17" i="22"/>
  <c r="AI17" i="22"/>
  <c r="AO17" i="22"/>
  <c r="AP17" i="22"/>
  <c r="U18" i="22" l="1"/>
  <c r="BS19" i="22"/>
  <c r="BO19" i="22"/>
  <c r="BM19" i="22"/>
  <c r="BQ19" i="22"/>
  <c r="X19" i="22"/>
  <c r="AN19" i="22" s="1"/>
  <c r="U19" i="22"/>
  <c r="AN18" i="22"/>
  <c r="BF18" i="22" s="1"/>
  <c r="V18" i="22"/>
  <c r="X17" i="22"/>
  <c r="AN17" i="22" s="1"/>
  <c r="BQ17" i="22"/>
  <c r="BM17" i="22"/>
  <c r="AR19" i="22" l="1"/>
  <c r="BA19" i="22" s="1"/>
  <c r="BT19" i="22"/>
  <c r="BU19" i="22" s="1"/>
  <c r="BX19" i="22" s="1"/>
  <c r="BV19" i="22"/>
  <c r="BF19" i="22"/>
  <c r="BG19" i="22" s="1"/>
  <c r="BN19" i="22" s="1"/>
  <c r="BP19" i="22" s="1"/>
  <c r="BC19" i="22"/>
  <c r="BB19" i="22"/>
  <c r="AR18" i="22"/>
  <c r="AZ18" i="22" s="1"/>
  <c r="BF17" i="22"/>
  <c r="AR17" i="22"/>
  <c r="AZ17" i="22" s="1"/>
  <c r="BM18" i="22"/>
  <c r="BQ18" i="22"/>
  <c r="AQ16" i="22"/>
  <c r="AO16" i="22"/>
  <c r="AL16" i="22"/>
  <c r="AP16" i="22" s="1"/>
  <c r="AI16" i="22"/>
  <c r="Z16" i="22"/>
  <c r="W16" i="22"/>
  <c r="S16" i="22"/>
  <c r="X16" i="22" s="1"/>
  <c r="AN16" i="22" s="1"/>
  <c r="O16" i="22"/>
  <c r="V16" i="22" s="1"/>
  <c r="N16" i="22"/>
  <c r="AM16" i="22" s="1"/>
  <c r="K16" i="22"/>
  <c r="H16" i="22"/>
  <c r="BW19" i="22" l="1"/>
  <c r="AZ19" i="22"/>
  <c r="BL19" i="22"/>
  <c r="BR19" i="22"/>
  <c r="BA18" i="22"/>
  <c r="BA17" i="22"/>
  <c r="AR16" i="22"/>
  <c r="BF16" i="22"/>
  <c r="BQ16" i="22"/>
  <c r="BM16" i="22"/>
  <c r="U16" i="22"/>
  <c r="BA16" i="22" l="1"/>
  <c r="AZ16" i="22"/>
  <c r="O15" i="22" l="1"/>
  <c r="V15" i="22" s="1"/>
  <c r="BQ15" i="22" s="1"/>
  <c r="Z15" i="22"/>
  <c r="S15" i="22"/>
  <c r="N15" i="22"/>
  <c r="K15" i="22"/>
  <c r="H15" i="22"/>
  <c r="O14" i="22"/>
  <c r="V14" i="22" s="1"/>
  <c r="BK14" i="22" s="1"/>
  <c r="BI14" i="22"/>
  <c r="N14" i="22"/>
  <c r="AM14" i="22" s="1"/>
  <c r="Y14" i="22"/>
  <c r="S14" i="22"/>
  <c r="X14" i="22" s="1"/>
  <c r="AO14" i="22"/>
  <c r="AL14" i="22"/>
  <c r="AP14" i="22" s="1"/>
  <c r="AQ14" i="22"/>
  <c r="AI14" i="22"/>
  <c r="Z14" i="22"/>
  <c r="K14" i="22"/>
  <c r="H14" i="22"/>
  <c r="O13" i="22"/>
  <c r="V13" i="22" s="1"/>
  <c r="BK13" i="22" s="1"/>
  <c r="BI13" i="22"/>
  <c r="N13" i="22"/>
  <c r="AM13" i="22" s="1"/>
  <c r="S13" i="22"/>
  <c r="AO13" i="22"/>
  <c r="AP13" i="22"/>
  <c r="AI13" i="22"/>
  <c r="AF13" i="22"/>
  <c r="Z13" i="22"/>
  <c r="K13" i="22"/>
  <c r="H13" i="22"/>
  <c r="P13" i="21"/>
  <c r="Q13" i="21" s="1"/>
  <c r="N12" i="21"/>
  <c r="N13" i="21"/>
  <c r="R13" i="21" s="1"/>
  <c r="P9" i="21"/>
  <c r="Q9" i="21" s="1"/>
  <c r="O12" i="22"/>
  <c r="V12" i="22" s="1"/>
  <c r="BI12" i="22"/>
  <c r="N12" i="22"/>
  <c r="AM12" i="22" s="1"/>
  <c r="Y12" i="22"/>
  <c r="S12" i="22"/>
  <c r="U12" i="22" s="1"/>
  <c r="BJ12" i="22" s="1"/>
  <c r="AO12" i="22"/>
  <c r="AP12" i="22"/>
  <c r="AI12" i="22"/>
  <c r="AF12" i="22"/>
  <c r="Z12" i="22"/>
  <c r="K12" i="22"/>
  <c r="H12" i="22"/>
  <c r="O11" i="22"/>
  <c r="Q11" i="22"/>
  <c r="S11" i="22" s="1"/>
  <c r="BI11" i="22"/>
  <c r="N11" i="22"/>
  <c r="AM11" i="22" s="1"/>
  <c r="Y11" i="22"/>
  <c r="AO11" i="22"/>
  <c r="AL11" i="22"/>
  <c r="AP11" i="22" s="1"/>
  <c r="AQ11" i="22"/>
  <c r="AI11" i="22"/>
  <c r="Z11" i="22"/>
  <c r="K11" i="22"/>
  <c r="H11" i="22"/>
  <c r="O10" i="22"/>
  <c r="V10" i="22" s="1"/>
  <c r="BK10" i="22" s="1"/>
  <c r="BI10" i="22"/>
  <c r="N10" i="22"/>
  <c r="AM10" i="22" s="1"/>
  <c r="Y10" i="22"/>
  <c r="S10" i="22"/>
  <c r="AO10" i="22"/>
  <c r="AP10" i="22"/>
  <c r="AQ10" i="22"/>
  <c r="AI10" i="22"/>
  <c r="AF10" i="22"/>
  <c r="Z10" i="22"/>
  <c r="K10" i="22"/>
  <c r="H10" i="22"/>
  <c r="AQ9" i="22"/>
  <c r="AO9" i="22"/>
  <c r="AL9" i="22"/>
  <c r="AP9" i="22" s="1"/>
  <c r="AI9" i="22"/>
  <c r="Z9" i="22"/>
  <c r="Y9" i="22"/>
  <c r="S9" i="22"/>
  <c r="X9" i="22" s="1"/>
  <c r="O9" i="22"/>
  <c r="V9" i="22" s="1"/>
  <c r="N9" i="22"/>
  <c r="AM9" i="22" s="1"/>
  <c r="K9" i="22"/>
  <c r="H9" i="22"/>
  <c r="AP8" i="22"/>
  <c r="AO8" i="22"/>
  <c r="AI8" i="22"/>
  <c r="AF8" i="22"/>
  <c r="Z8" i="22"/>
  <c r="Y8" i="22"/>
  <c r="S8" i="22"/>
  <c r="X8" i="22" s="1"/>
  <c r="O8" i="22"/>
  <c r="V8" i="22" s="1"/>
  <c r="N8" i="22"/>
  <c r="AM8" i="22" s="1"/>
  <c r="K8" i="22"/>
  <c r="H8" i="22"/>
  <c r="AQ7" i="22"/>
  <c r="AO7" i="22"/>
  <c r="AL7" i="22"/>
  <c r="AP7" i="22" s="1"/>
  <c r="AI7" i="22"/>
  <c r="Z7" i="22"/>
  <c r="Y7" i="22"/>
  <c r="S7" i="22"/>
  <c r="U7" i="22" s="1"/>
  <c r="O7" i="22"/>
  <c r="V7" i="22" s="1"/>
  <c r="N7" i="22"/>
  <c r="AM7" i="22" s="1"/>
  <c r="K7" i="22"/>
  <c r="H7" i="22"/>
  <c r="AP6" i="22"/>
  <c r="AO6" i="22"/>
  <c r="AI6" i="22"/>
  <c r="AF6" i="22"/>
  <c r="Z6" i="22"/>
  <c r="Y6" i="22"/>
  <c r="S6" i="22"/>
  <c r="X6" i="22" s="1"/>
  <c r="O6" i="22"/>
  <c r="V6" i="22" s="1"/>
  <c r="N6" i="22"/>
  <c r="AM6" i="22" s="1"/>
  <c r="H6" i="22"/>
  <c r="AQ5" i="22"/>
  <c r="AO5" i="22"/>
  <c r="AL5" i="22"/>
  <c r="AP5" i="22" s="1"/>
  <c r="AI5" i="22"/>
  <c r="Z5" i="22"/>
  <c r="Y5" i="22"/>
  <c r="S5" i="22"/>
  <c r="O5" i="22"/>
  <c r="V5" i="22" s="1"/>
  <c r="BM5" i="22" s="1"/>
  <c r="N5" i="22"/>
  <c r="AM5" i="22" s="1"/>
  <c r="H5" i="22"/>
  <c r="AQ4" i="22"/>
  <c r="AP4" i="22"/>
  <c r="AO4" i="22"/>
  <c r="AI4" i="22"/>
  <c r="AF4" i="22"/>
  <c r="Z4" i="22"/>
  <c r="S4" i="22"/>
  <c r="X4" i="22" s="1"/>
  <c r="AN4" i="22" s="1"/>
  <c r="O4" i="22"/>
  <c r="V4" i="22" s="1"/>
  <c r="N4" i="22"/>
  <c r="AM4" i="22" s="1"/>
  <c r="K4" i="22"/>
  <c r="H4" i="22"/>
  <c r="AD1" i="22"/>
  <c r="X1" i="22"/>
  <c r="U12" i="21"/>
  <c r="W12" i="21" s="1"/>
  <c r="M11" i="21"/>
  <c r="M15" i="21" s="1"/>
  <c r="Z9" i="21"/>
  <c r="Z10" i="21"/>
  <c r="Z11" i="21"/>
  <c r="Z12" i="21"/>
  <c r="Z13" i="21"/>
  <c r="Z14" i="21"/>
  <c r="Z8" i="21"/>
  <c r="S9" i="21"/>
  <c r="S10" i="21"/>
  <c r="S8" i="21"/>
  <c r="D11" i="21"/>
  <c r="D8" i="21"/>
  <c r="G11" i="21"/>
  <c r="I11" i="21"/>
  <c r="I8" i="21"/>
  <c r="G14" i="21"/>
  <c r="G12" i="21"/>
  <c r="G9" i="21"/>
  <c r="G10" i="21"/>
  <c r="G8" i="21"/>
  <c r="B14" i="21"/>
  <c r="B12" i="21"/>
  <c r="B11" i="21"/>
  <c r="B9" i="21"/>
  <c r="B10" i="21"/>
  <c r="B8" i="21"/>
  <c r="R9" i="21"/>
  <c r="R10" i="21"/>
  <c r="R8" i="21"/>
  <c r="K15" i="21"/>
  <c r="V43" i="22" l="1"/>
  <c r="V48" i="22"/>
  <c r="U48" i="22"/>
  <c r="V47" i="22"/>
  <c r="BK45" i="22"/>
  <c r="BK44" i="22"/>
  <c r="BJ44" i="22"/>
  <c r="BC44" i="22" s="1"/>
  <c r="BI44" i="22"/>
  <c r="BB44" i="22" s="1"/>
  <c r="BH44" i="22"/>
  <c r="BM43" i="22"/>
  <c r="BK43" i="22"/>
  <c r="BQ43" i="22"/>
  <c r="BH43" i="22"/>
  <c r="BB43" i="22"/>
  <c r="BA43" i="22"/>
  <c r="BC43" i="22"/>
  <c r="BK42" i="22"/>
  <c r="BD42" i="22" s="1"/>
  <c r="U9" i="22"/>
  <c r="BJ9" i="22" s="1"/>
  <c r="BK41" i="22"/>
  <c r="BD41" i="22" s="1"/>
  <c r="BK40" i="22"/>
  <c r="BD40" i="22" s="1"/>
  <c r="BI37" i="22"/>
  <c r="BB37" i="22" s="1"/>
  <c r="BJ37" i="22"/>
  <c r="BC37" i="22" s="1"/>
  <c r="BK37" i="22"/>
  <c r="BH37" i="22"/>
  <c r="BJ33" i="22"/>
  <c r="BC33" i="22" s="1"/>
  <c r="BK33" i="22"/>
  <c r="BI33" i="22"/>
  <c r="BB33" i="22" s="1"/>
  <c r="BH33" i="22"/>
  <c r="U4" i="22"/>
  <c r="BJ4" i="22" s="1"/>
  <c r="BC4" i="22" s="1"/>
  <c r="BK27" i="22"/>
  <c r="BJ27" i="22"/>
  <c r="BC27" i="22" s="1"/>
  <c r="BI27" i="22"/>
  <c r="BB27" i="22" s="1"/>
  <c r="BH27" i="22"/>
  <c r="BK26" i="22"/>
  <c r="BD26" i="22" s="1"/>
  <c r="BI9" i="22"/>
  <c r="BJ24" i="22"/>
  <c r="BC24" i="22" s="1"/>
  <c r="BI24" i="22"/>
  <c r="BI25" i="22"/>
  <c r="BJ25" i="22"/>
  <c r="BC25" i="22" s="1"/>
  <c r="AN8" i="22"/>
  <c r="BF8" i="22" s="1"/>
  <c r="N11" i="21"/>
  <c r="R11" i="21" s="1"/>
  <c r="BK20" i="22"/>
  <c r="BD20" i="22" s="1"/>
  <c r="U10" i="22"/>
  <c r="BJ10" i="22" s="1"/>
  <c r="BK19" i="22"/>
  <c r="BD19" i="22" s="1"/>
  <c r="BH6" i="22"/>
  <c r="BI6" i="22"/>
  <c r="BS13" i="22"/>
  <c r="X12" i="22"/>
  <c r="AN12" i="22" s="1"/>
  <c r="AR12" i="22" s="1"/>
  <c r="BK15" i="22"/>
  <c r="AN6" i="22"/>
  <c r="AR6" i="22" s="1"/>
  <c r="AZ6" i="22" s="1"/>
  <c r="AN9" i="22"/>
  <c r="BI18" i="22"/>
  <c r="BB18" i="22" s="1"/>
  <c r="BJ18" i="22"/>
  <c r="BC18" i="22" s="1"/>
  <c r="BK18" i="22"/>
  <c r="BH18" i="22"/>
  <c r="U13" i="21"/>
  <c r="W13" i="21" s="1"/>
  <c r="U6" i="22"/>
  <c r="BJ6" i="22" s="1"/>
  <c r="BS14" i="22"/>
  <c r="BF4" i="22"/>
  <c r="X7" i="22"/>
  <c r="AN7" i="22" s="1"/>
  <c r="AR7" i="22" s="1"/>
  <c r="U14" i="22"/>
  <c r="BJ14" i="22" s="1"/>
  <c r="AN14" i="22"/>
  <c r="BB14" i="22" s="1"/>
  <c r="BR14" i="22" s="1"/>
  <c r="BH8" i="22"/>
  <c r="BH9" i="22"/>
  <c r="BM9" i="22"/>
  <c r="BK9" i="22"/>
  <c r="BQ9" i="22"/>
  <c r="BQ12" i="22"/>
  <c r="BM12" i="22"/>
  <c r="BQ7" i="22"/>
  <c r="BH7" i="22"/>
  <c r="X11" i="22"/>
  <c r="AN11" i="22" s="1"/>
  <c r="U11" i="22"/>
  <c r="BJ11" i="22" s="1"/>
  <c r="U11" i="21"/>
  <c r="W11" i="21" s="1"/>
  <c r="X10" i="22"/>
  <c r="AN10" i="22" s="1"/>
  <c r="BQ13" i="22"/>
  <c r="U8" i="22"/>
  <c r="BJ8" i="22" s="1"/>
  <c r="AR4" i="22"/>
  <c r="AZ4" i="22" s="1"/>
  <c r="BJ7" i="22"/>
  <c r="BI8" i="22"/>
  <c r="BK17" i="22"/>
  <c r="BI17" i="22"/>
  <c r="BB17" i="22" s="1"/>
  <c r="BJ17" i="22"/>
  <c r="BC17" i="22" s="1"/>
  <c r="BH17" i="22"/>
  <c r="V11" i="22"/>
  <c r="BK11" i="22" s="1"/>
  <c r="BS11" i="22" s="1"/>
  <c r="BM13" i="22"/>
  <c r="BH13" i="22"/>
  <c r="BO13" i="22" s="1"/>
  <c r="P8" i="21"/>
  <c r="Q8" i="21" s="1"/>
  <c r="BM6" i="22"/>
  <c r="BQ6" i="22"/>
  <c r="N14" i="21"/>
  <c r="BK6" i="22"/>
  <c r="BD6" i="22" s="1"/>
  <c r="BT6" i="22" s="1"/>
  <c r="U14" i="21"/>
  <c r="W14" i="21" s="1"/>
  <c r="X15" i="22"/>
  <c r="U15" i="22"/>
  <c r="BS10" i="22"/>
  <c r="BQ10" i="22"/>
  <c r="BH10" i="22"/>
  <c r="BO10" i="22" s="1"/>
  <c r="BM10" i="22"/>
  <c r="U5" i="22"/>
  <c r="BJ5" i="22" s="1"/>
  <c r="X5" i="22"/>
  <c r="AN5" i="22" s="1"/>
  <c r="X13" i="22"/>
  <c r="AN13" i="22" s="1"/>
  <c r="BF13" i="22" s="1"/>
  <c r="U13" i="22"/>
  <c r="BJ13" i="22" s="1"/>
  <c r="BH4" i="22"/>
  <c r="BQ4" i="22"/>
  <c r="BM4" i="22"/>
  <c r="BK12" i="22"/>
  <c r="BS12" i="22" s="1"/>
  <c r="BH12" i="22"/>
  <c r="BO12" i="22" s="1"/>
  <c r="BQ8" i="22"/>
  <c r="BK8" i="22"/>
  <c r="BM8" i="22"/>
  <c r="BK16" i="22"/>
  <c r="BJ16" i="22"/>
  <c r="BC16" i="22" s="1"/>
  <c r="BI16" i="22"/>
  <c r="BB16" i="22" s="1"/>
  <c r="BH16" i="22"/>
  <c r="BH5" i="22"/>
  <c r="BM7" i="22"/>
  <c r="BK7" i="22"/>
  <c r="BQ14" i="22"/>
  <c r="BH14" i="22"/>
  <c r="BO14" i="22" s="1"/>
  <c r="BM14" i="22"/>
  <c r="BI7" i="22"/>
  <c r="P10" i="21"/>
  <c r="Q10" i="21" s="1"/>
  <c r="P14" i="21"/>
  <c r="Q14" i="21" s="1"/>
  <c r="BQ5" i="22"/>
  <c r="BK5" i="22"/>
  <c r="BI5" i="22"/>
  <c r="BK4" i="22"/>
  <c r="BI4" i="22"/>
  <c r="P11" i="21"/>
  <c r="Q11" i="21" s="1"/>
  <c r="R12" i="21"/>
  <c r="P12" i="21"/>
  <c r="Q12" i="21" s="1"/>
  <c r="BQ48" i="22" l="1"/>
  <c r="BM48" i="22"/>
  <c r="BK48" i="22"/>
  <c r="BO43" i="22"/>
  <c r="BG43" i="22"/>
  <c r="BN43" i="22" s="1"/>
  <c r="BS43" i="22"/>
  <c r="BD43" i="22"/>
  <c r="BT43" i="22" s="1"/>
  <c r="BW43" i="22" s="1"/>
  <c r="BO44" i="22"/>
  <c r="BG44" i="22"/>
  <c r="BN44" i="22" s="1"/>
  <c r="BL44" i="22"/>
  <c r="BR44" i="22"/>
  <c r="BR43" i="22"/>
  <c r="BL43" i="22"/>
  <c r="BS44" i="22"/>
  <c r="BD44" i="22"/>
  <c r="BT44" i="22" s="1"/>
  <c r="BW44" i="22" s="1"/>
  <c r="BO37" i="22"/>
  <c r="BG37" i="22"/>
  <c r="BN37" i="22" s="1"/>
  <c r="BS37" i="22"/>
  <c r="BD37" i="22"/>
  <c r="BT37" i="22" s="1"/>
  <c r="BW37" i="22" s="1"/>
  <c r="BR37" i="22"/>
  <c r="BL37" i="22"/>
  <c r="BC10" i="22"/>
  <c r="BB9" i="22"/>
  <c r="BL9" i="22" s="1"/>
  <c r="BO33" i="22"/>
  <c r="BG33" i="22"/>
  <c r="BN33" i="22" s="1"/>
  <c r="BR33" i="22"/>
  <c r="BL33" i="22"/>
  <c r="BS33" i="22"/>
  <c r="BD33" i="22"/>
  <c r="BT33" i="22" s="1"/>
  <c r="BW33" i="22" s="1"/>
  <c r="O13" i="21"/>
  <c r="S13" i="21" s="1"/>
  <c r="O14" i="21"/>
  <c r="S14" i="21" s="1"/>
  <c r="BS9" i="22"/>
  <c r="BO27" i="22"/>
  <c r="BG27" i="22"/>
  <c r="BN27" i="22" s="1"/>
  <c r="BR27" i="22"/>
  <c r="BL27" i="22"/>
  <c r="BO9" i="22"/>
  <c r="BS27" i="22"/>
  <c r="BD27" i="22"/>
  <c r="BT27" i="22" s="1"/>
  <c r="BW27" i="22" s="1"/>
  <c r="U15" i="21"/>
  <c r="U17" i="21" s="1"/>
  <c r="BS25" i="22"/>
  <c r="BO25" i="22"/>
  <c r="BP25" i="22" s="1"/>
  <c r="BB25" i="22"/>
  <c r="BB8" i="22"/>
  <c r="BL8" i="22" s="1"/>
  <c r="AR8" i="22"/>
  <c r="AZ8" i="22" s="1"/>
  <c r="BO24" i="22"/>
  <c r="BP24" i="22" s="1"/>
  <c r="BS24" i="22"/>
  <c r="BB24" i="22"/>
  <c r="BC8" i="22"/>
  <c r="O11" i="21"/>
  <c r="S11" i="21" s="1"/>
  <c r="BA6" i="22"/>
  <c r="BF6" i="22"/>
  <c r="BG6" i="22" s="1"/>
  <c r="BN6" i="22" s="1"/>
  <c r="BB6" i="22"/>
  <c r="BR6" i="22" s="1"/>
  <c r="BC6" i="22"/>
  <c r="BF7" i="22"/>
  <c r="BG7" i="22" s="1"/>
  <c r="BN7" i="22" s="1"/>
  <c r="BC9" i="22"/>
  <c r="BF9" i="22"/>
  <c r="BG9" i="22" s="1"/>
  <c r="BN9" i="22" s="1"/>
  <c r="BG4" i="22"/>
  <c r="BN4" i="22" s="1"/>
  <c r="AR9" i="22"/>
  <c r="AZ9" i="22" s="1"/>
  <c r="BB7" i="22"/>
  <c r="BL7" i="22" s="1"/>
  <c r="BB5" i="22"/>
  <c r="BR5" i="22" s="1"/>
  <c r="BW6" i="22"/>
  <c r="BV13" i="22"/>
  <c r="BO6" i="22"/>
  <c r="BL18" i="22"/>
  <c r="BR18" i="22"/>
  <c r="AR14" i="22"/>
  <c r="AZ14" i="22" s="1"/>
  <c r="BF14" i="22"/>
  <c r="BG14" i="22" s="1"/>
  <c r="BN14" i="22" s="1"/>
  <c r="BP14" i="22" s="1"/>
  <c r="BA4" i="22"/>
  <c r="BO18" i="22"/>
  <c r="BG18" i="22"/>
  <c r="BN18" i="22" s="1"/>
  <c r="BS18" i="22"/>
  <c r="BD18" i="22"/>
  <c r="BT18" i="22" s="1"/>
  <c r="BW18" i="22" s="1"/>
  <c r="BD14" i="22"/>
  <c r="BT14" i="22" s="1"/>
  <c r="BW14" i="22" s="1"/>
  <c r="BV9" i="22"/>
  <c r="BS6" i="22"/>
  <c r="BV6" i="22" s="1"/>
  <c r="BV14" i="22"/>
  <c r="BG13" i="22"/>
  <c r="BN13" i="22" s="1"/>
  <c r="BP13" i="22" s="1"/>
  <c r="AR11" i="22"/>
  <c r="BA11" i="22" s="1"/>
  <c r="BC11" i="22"/>
  <c r="BB11" i="22"/>
  <c r="BR11" i="22" s="1"/>
  <c r="BF11" i="22"/>
  <c r="BM11" i="22"/>
  <c r="BC14" i="22"/>
  <c r="BO7" i="22"/>
  <c r="BF10" i="22"/>
  <c r="BG10" i="22" s="1"/>
  <c r="BN10" i="22" s="1"/>
  <c r="BP10" i="22" s="1"/>
  <c r="BB10" i="22"/>
  <c r="BR10" i="22" s="1"/>
  <c r="BD10" i="22"/>
  <c r="BT10" i="22" s="1"/>
  <c r="BW10" i="22" s="1"/>
  <c r="BG8" i="22"/>
  <c r="BN8" i="22" s="1"/>
  <c r="AR10" i="22"/>
  <c r="BA10" i="22" s="1"/>
  <c r="BD9" i="22"/>
  <c r="BT9" i="22" s="1"/>
  <c r="BW9" i="22" s="1"/>
  <c r="BS17" i="22"/>
  <c r="BD17" i="22"/>
  <c r="BT17" i="22" s="1"/>
  <c r="BW17" i="22" s="1"/>
  <c r="BL14" i="22"/>
  <c r="BC5" i="22"/>
  <c r="BQ11" i="22"/>
  <c r="BV11" i="22" s="1"/>
  <c r="BH11" i="22"/>
  <c r="BO11" i="22" s="1"/>
  <c r="BR17" i="22"/>
  <c r="BL17" i="22"/>
  <c r="BO17" i="22"/>
  <c r="BG17" i="22"/>
  <c r="BN17" i="22" s="1"/>
  <c r="BO8" i="22"/>
  <c r="R14" i="21"/>
  <c r="N15" i="21"/>
  <c r="BA12" i="22"/>
  <c r="AZ12" i="22"/>
  <c r="O12" i="21"/>
  <c r="S12" i="21" s="1"/>
  <c r="BV12" i="22"/>
  <c r="BC12" i="22"/>
  <c r="BS8" i="22"/>
  <c r="BD8" i="22"/>
  <c r="BT8" i="22" s="1"/>
  <c r="BW8" i="22" s="1"/>
  <c r="BD13" i="22"/>
  <c r="BT13" i="22" s="1"/>
  <c r="BA7" i="22"/>
  <c r="AZ7" i="22"/>
  <c r="BD12" i="22"/>
  <c r="BT12" i="22" s="1"/>
  <c r="BW12" i="22" s="1"/>
  <c r="BS16" i="22"/>
  <c r="BD16" i="22"/>
  <c r="BT16" i="22" s="1"/>
  <c r="BW16" i="22" s="1"/>
  <c r="BD7" i="22"/>
  <c r="BT7" i="22" s="1"/>
  <c r="BW7" i="22" s="1"/>
  <c r="BC7" i="22"/>
  <c r="BD11" i="22"/>
  <c r="BT11" i="22" s="1"/>
  <c r="AR13" i="22"/>
  <c r="BF12" i="22"/>
  <c r="BG12" i="22" s="1"/>
  <c r="BN12" i="22" s="1"/>
  <c r="BP12" i="22" s="1"/>
  <c r="BC13" i="22"/>
  <c r="BB13" i="22"/>
  <c r="BV10" i="22"/>
  <c r="BB12" i="22"/>
  <c r="AR5" i="22"/>
  <c r="BF5" i="22"/>
  <c r="BG5" i="22" s="1"/>
  <c r="BN5" i="22" s="1"/>
  <c r="BO16" i="22"/>
  <c r="BG16" i="22"/>
  <c r="BN16" i="22" s="1"/>
  <c r="BL16" i="22"/>
  <c r="BR16" i="22"/>
  <c r="BS7" i="22"/>
  <c r="Q15" i="21"/>
  <c r="BD4" i="22"/>
  <c r="BT4" i="22" s="1"/>
  <c r="BW4" i="22" s="1"/>
  <c r="BS4" i="22"/>
  <c r="BB4" i="22"/>
  <c r="BO4" i="22"/>
  <c r="BO5" i="22"/>
  <c r="BS5" i="22"/>
  <c r="BD5" i="22"/>
  <c r="BT5" i="22" s="1"/>
  <c r="BW5" i="22" s="1"/>
  <c r="P15" i="21"/>
  <c r="BP43" i="22" l="1"/>
  <c r="BP44" i="22"/>
  <c r="BV44" i="22"/>
  <c r="BU44" i="22"/>
  <c r="BX44" i="22" s="1"/>
  <c r="BV43" i="22"/>
  <c r="BU43" i="22"/>
  <c r="BX43" i="22" s="1"/>
  <c r="BR8" i="22"/>
  <c r="BR9" i="22"/>
  <c r="BP37" i="22"/>
  <c r="BU37" i="22"/>
  <c r="BX37" i="22" s="1"/>
  <c r="BV37" i="22"/>
  <c r="BP33" i="22"/>
  <c r="BP9" i="22"/>
  <c r="AZ11" i="22"/>
  <c r="BV33" i="22"/>
  <c r="BU33" i="22"/>
  <c r="BX33" i="22" s="1"/>
  <c r="BP27" i="22"/>
  <c r="BU27" i="22"/>
  <c r="BX27" i="22" s="1"/>
  <c r="BV27" i="22"/>
  <c r="BV24" i="22"/>
  <c r="BU24" i="22"/>
  <c r="BX24" i="22" s="1"/>
  <c r="BA8" i="22"/>
  <c r="BL25" i="22"/>
  <c r="BR25" i="22"/>
  <c r="BV25" i="22"/>
  <c r="BU25" i="22"/>
  <c r="BX25" i="22" s="1"/>
  <c r="BL24" i="22"/>
  <c r="BR24" i="22"/>
  <c r="BL6" i="22"/>
  <c r="BU10" i="22"/>
  <c r="BX10" i="22" s="1"/>
  <c r="BL5" i="22"/>
  <c r="BA9" i="22"/>
  <c r="BR7" i="22"/>
  <c r="BG11" i="22"/>
  <c r="BN11" i="22" s="1"/>
  <c r="BP11" i="22" s="1"/>
  <c r="BP6" i="22"/>
  <c r="BP18" i="22"/>
  <c r="BU14" i="22"/>
  <c r="BX14" i="22" s="1"/>
  <c r="BA14" i="22"/>
  <c r="BL10" i="22"/>
  <c r="BU9" i="22"/>
  <c r="BX9" i="22" s="1"/>
  <c r="BU18" i="22"/>
  <c r="BX18" i="22" s="1"/>
  <c r="BV18" i="22"/>
  <c r="BL11" i="22"/>
  <c r="BP7" i="22"/>
  <c r="BU6" i="22"/>
  <c r="BX6" i="22" s="1"/>
  <c r="BP5" i="22"/>
  <c r="AZ10" i="22"/>
  <c r="BW11" i="22"/>
  <c r="BP8" i="22"/>
  <c r="BV17" i="22"/>
  <c r="BU17" i="22"/>
  <c r="BX17" i="22" s="1"/>
  <c r="BP17" i="22"/>
  <c r="BU11" i="22"/>
  <c r="BX11" i="22" s="1"/>
  <c r="O15" i="21"/>
  <c r="BP16" i="22"/>
  <c r="BV16" i="22"/>
  <c r="BU16" i="22"/>
  <c r="BX16" i="22" s="1"/>
  <c r="BU7" i="22"/>
  <c r="BX7" i="22" s="1"/>
  <c r="BV7" i="22"/>
  <c r="BW13" i="22"/>
  <c r="BU13" i="22"/>
  <c r="BX13" i="22" s="1"/>
  <c r="BU8" i="22"/>
  <c r="BX8" i="22" s="1"/>
  <c r="BV8" i="22"/>
  <c r="BA13" i="22"/>
  <c r="AZ13" i="22"/>
  <c r="BL13" i="22"/>
  <c r="BR13" i="22"/>
  <c r="BU12" i="22"/>
  <c r="BX12" i="22" s="1"/>
  <c r="BR12" i="22"/>
  <c r="BL12" i="22"/>
  <c r="BP4" i="22"/>
  <c r="AZ5" i="22"/>
  <c r="BA5" i="22"/>
  <c r="BV5" i="22"/>
  <c r="BU5" i="22"/>
  <c r="BX5" i="22" s="1"/>
  <c r="BU4" i="22"/>
  <c r="BX4" i="22" s="1"/>
  <c r="BV4" i="22"/>
  <c r="BL4" i="22"/>
  <c r="BR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</authors>
  <commentList>
    <comment ref="H3" authorId="0" shapeId="0" xr:uid="{3394D344-6EDB-4FA5-A10B-262EC5C15E9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O3" authorId="0" shapeId="0" xr:uid="{98942988-6416-4623-9039-E8A1A958F1E4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Z3" authorId="0" shapeId="0" xr:uid="{45F986B6-4EA0-476F-9B07-769257C8C636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N4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RFP is for 6 Years</t>
        </r>
      </text>
    </comment>
    <comment ref="AQ4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Internet link</t>
        </r>
      </text>
    </comment>
    <comment ref="Q5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KVA + 2 KVA</t>
        </r>
      </text>
    </comment>
    <comment ref="AQ5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Additional 2 KVA + 2 Nos of Safe vault + 9 Nos of ECC</t>
        </r>
      </text>
    </comment>
    <comment ref="AQ10" authorId="1" shapeId="0" xr:uid="{29BB205D-2492-435D-A630-21CBDDE5A4D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FCC</t>
        </r>
      </text>
    </comment>
    <comment ref="Q11" authorId="3" shapeId="0" xr:uid="{E09CB93A-5C94-4499-B1E8-9594B4D84811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500 W</t>
        </r>
      </text>
    </comment>
    <comment ref="I17" authorId="1" shapeId="0" xr:uid="{00000000-0006-0000-0000-00000C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 1 for 5 Racks
</t>
        </r>
        <r>
          <rPr>
            <sz val="9"/>
            <color rgb="FF000000"/>
            <rFont val="Tahoma"/>
            <family val="2"/>
          </rPr>
          <t>PO 2 for 1 Rack</t>
        </r>
      </text>
    </comment>
    <comment ref="Q17" authorId="3" shapeId="0" xr:uid="{4415B0D4-426C-4084-8B23-C35AA01A8C1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Rack with 36 KVA
+ Addi 48.65</t>
        </r>
      </text>
    </comment>
    <comment ref="Q18" authorId="1" shapeId="0" xr:uid="{F9949873-5421-449D-9848-AA333343D8E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AQ24" authorId="1" shapeId="0" xr:uid="{C9A975EC-A973-4D8A-B6FF-C7E3604217D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I25" authorId="1" shapeId="0" xr:uid="{C8B59540-92D1-4C36-A7A3-A7E5EC66A9A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N25" authorId="1" shapeId="0" xr:uid="{296E33C6-18EB-492D-83B3-9CD5DB6FFEB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Q25" authorId="1" shapeId="0" xr:uid="{E8C168D0-D7A6-4FC7-9CDA-A422CB71E03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Q29" authorId="1" shapeId="0" xr:uid="{1B6DFE66-5D3E-4C3D-8DFA-CE09972F258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Q30" authorId="1" shapeId="0" xr:uid="{4CF0B03F-73E0-4314-8CA5-CA0562E67A1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for ISP &amp; Google - 2 Nos</t>
        </r>
      </text>
    </comment>
    <comment ref="AQ35" authorId="3" shapeId="0" xr:uid="{2452B733-3444-4E74-AD40-B1CA78409C7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FCC + SH + 100 ILL</t>
        </r>
      </text>
    </comment>
    <comment ref="AQ3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Q38" authorId="1" shapeId="0" xr:uid="{BBBE454E-7979-417E-A9FF-874C30764822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Q39" authorId="2" shapeId="0" xr:uid="{F5CED8D3-299E-4695-903A-481CB26B813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Q40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KW per Rack</t>
        </r>
      </text>
    </comment>
    <comment ref="I43" authorId="1" shapeId="0" xr:uid="{AF238AC7-D6FC-4436-BE07-B89A0C71F8BF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N43" authorId="1" shapeId="0" xr:uid="{D54DEE17-2424-4A92-9146-FF1E0B3ED29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Q43" authorId="1" shapeId="0" xr:uid="{18E627CD-13F6-4F14-BA20-818B3E6AFE6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Q43" authorId="1" shapeId="0" xr:uid="{A36FBB36-2A7A-4B94-BB1A-A2A02B899C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Q44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AQ46" authorId="1" shapeId="0" xr:uid="{B80952A2-40A3-4FF7-8E1C-9427A3BCF86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</authors>
  <commentList>
    <comment ref="J2" authorId="0" shapeId="0" xr:uid="{1FFDF37B-6A32-4101-AF71-A1B3BDB136C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Q2" authorId="0" shapeId="0" xr:uid="{C8203966-5488-4582-BE07-8D7EC1136908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B2" authorId="0" shapeId="0" xr:uid="{04DF9276-A92E-4E9D-812A-3C9A594A2334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AS3" authorId="1" shapeId="0" xr:uid="{74E4F7F8-5030-48F5-9696-293677AF197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4" authorId="1" shapeId="0" xr:uid="{E06B89D1-CC1E-48F4-8310-1335D409947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S20" authorId="1" shapeId="0" xr:uid="{09E717DE-2D2B-495F-AC48-699E9D0442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21" authorId="1" shapeId="0" xr:uid="{BF07BF9E-9F8E-4083-A365-A4E132FB249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</commentList>
</comments>
</file>

<file path=xl/sharedStrings.xml><?xml version="1.0" encoding="utf-8"?>
<sst xmlns="http://schemas.openxmlformats.org/spreadsheetml/2006/main" count="732" uniqueCount="254">
  <si>
    <t>Total</t>
  </si>
  <si>
    <t>Customer Name</t>
  </si>
  <si>
    <t>Floor / Module</t>
  </si>
  <si>
    <t>Space</t>
  </si>
  <si>
    <t>Subscription</t>
  </si>
  <si>
    <t>Subscription Mode</t>
  </si>
  <si>
    <t>In Use</t>
  </si>
  <si>
    <t>Rack</t>
  </si>
  <si>
    <t>Yet to be given</t>
  </si>
  <si>
    <t xml:space="preserve">Divisification </t>
  </si>
  <si>
    <t>Rated</t>
  </si>
  <si>
    <t>Billing Model</t>
  </si>
  <si>
    <t>Power Capacity</t>
  </si>
  <si>
    <t>Power Usage</t>
  </si>
  <si>
    <t>Seating Space</t>
  </si>
  <si>
    <t>Revenue (Monthly )</t>
  </si>
  <si>
    <t>Contract Information</t>
  </si>
  <si>
    <t>Power Subscription Model (Rated/Subscribed)</t>
  </si>
  <si>
    <t>Power Usage Model (Bundled / Metered)</t>
  </si>
  <si>
    <t>Caged /Uncaged</t>
  </si>
  <si>
    <t>UoM</t>
  </si>
  <si>
    <t>Yet to be given/</t>
  </si>
  <si>
    <t>Billed</t>
  </si>
  <si>
    <t>Reserved Capacity if any (Non-Billable)</t>
  </si>
  <si>
    <t>Per Unit rate (MRC)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</si>
  <si>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</si>
  <si>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</si>
  <si>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</si>
  <si>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</si>
  <si>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</si>
  <si>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</si>
  <si>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</si>
  <si>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</si>
  <si>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</si>
  <si>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</si>
  <si>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</si>
  <si>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</si>
  <si>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</si>
  <si>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</si>
  <si>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</si>
  <si>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</si>
  <si>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</si>
  <si>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</si>
  <si>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</si>
  <si>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</si>
  <si>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</si>
  <si>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</si>
  <si>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</si>
  <si>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</si>
  <si>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</si>
  <si>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</si>
  <si>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>Bundled</t>
  </si>
  <si>
    <t>Caged</t>
  </si>
  <si>
    <t>KVA</t>
  </si>
  <si>
    <t>No of Seats</t>
  </si>
  <si>
    <t>Subscribed</t>
  </si>
  <si>
    <t>Metered</t>
  </si>
  <si>
    <t>KW</t>
  </si>
  <si>
    <t>U space</t>
  </si>
  <si>
    <t>Uncaged</t>
  </si>
  <si>
    <t>Fixed</t>
  </si>
  <si>
    <t>721003675 &amp; 711080579</t>
  </si>
  <si>
    <t>721004381, 721004451 &amp; 721004508</t>
  </si>
  <si>
    <t>KESCO (Kanpur Elec)</t>
  </si>
  <si>
    <t xml:space="preserve">Avg revenue /KW /Month </t>
  </si>
  <si>
    <t>Net Revenue / Resvd KW</t>
  </si>
  <si>
    <t>Proj Net Revenue / Resvd KW</t>
  </si>
  <si>
    <t>Sold Net Revenue / Resvd KW</t>
  </si>
  <si>
    <t>Cost of Power @ Act Usage</t>
  </si>
  <si>
    <t>Proj Cost of Power @ Reserv Cap</t>
  </si>
  <si>
    <t>Cost of Power @ Design Use</t>
  </si>
  <si>
    <t>Actual PUE</t>
  </si>
  <si>
    <t>Actual Unit Rate:</t>
  </si>
  <si>
    <t>Genset Hr/Mo</t>
  </si>
  <si>
    <t>Rated to Consumed</t>
  </si>
  <si>
    <t>Total Rev (Cap + Power)</t>
  </si>
  <si>
    <t>Capacity Revenue</t>
  </si>
  <si>
    <t>Power Revenue</t>
  </si>
  <si>
    <t>Net Rev Total</t>
  </si>
  <si>
    <t>Target Capacity Revenue</t>
  </si>
  <si>
    <t>Capacity Surplus/Leakage</t>
  </si>
  <si>
    <t>Power Surplus/Leakage</t>
  </si>
  <si>
    <t>Contribution to Target</t>
  </si>
  <si>
    <t>Total Surplus/Leakage</t>
  </si>
  <si>
    <t>Power Surplus/Leakage / KW</t>
  </si>
  <si>
    <t>Capacity Surplus/Leakage / KW</t>
  </si>
  <si>
    <t>Total Surplus/Leakage / KW</t>
  </si>
  <si>
    <t>721005527 &amp; 711120937</t>
  </si>
  <si>
    <t>Renewal</t>
  </si>
  <si>
    <t>DC NW Infra</t>
  </si>
  <si>
    <t>Adani Wilmar Limited</t>
  </si>
  <si>
    <t>CLOUDFLARE INC</t>
  </si>
  <si>
    <t>L&amp;T (RVNL)</t>
  </si>
  <si>
    <t>121000894 &amp; 121000913</t>
  </si>
  <si>
    <t>L6</t>
  </si>
  <si>
    <t>Server Hall 5A
L5A-01-08</t>
  </si>
  <si>
    <t>Server Hall L4
L4-E-29</t>
  </si>
  <si>
    <t>Server Hall L4
L4-D-29</t>
  </si>
  <si>
    <t>Server Hall 5A
L5A-04-11</t>
  </si>
  <si>
    <t>E2 Info Solution</t>
  </si>
  <si>
    <t>L4-C-28</t>
  </si>
  <si>
    <t>L4-C-29</t>
  </si>
  <si>
    <t>L4-E-23</t>
  </si>
  <si>
    <t>L4-E-27 &amp; L4-E-28</t>
  </si>
  <si>
    <t>Cloudflare</t>
  </si>
  <si>
    <t>Server Hall L6
L6-E-03</t>
  </si>
  <si>
    <t>Server Hall L6
L6-F-25</t>
  </si>
  <si>
    <t>L6-D-01, L6-D-02</t>
  </si>
  <si>
    <t>L6-B-33</t>
  </si>
  <si>
    <t>L6-D-03</t>
  </si>
  <si>
    <t>NGC Broadband</t>
  </si>
  <si>
    <t>Balaji Teleworks</t>
  </si>
  <si>
    <t>Server Hall L6
L6-F-24</t>
  </si>
  <si>
    <t>ECSO</t>
  </si>
  <si>
    <t>L5A-01-01</t>
  </si>
  <si>
    <t>L5A-02-02, L5A-02-03, L5A-02-04, L5A-02-05, L5A-02-06 &amp; L5A-02-10</t>
  </si>
  <si>
    <t>L5A-05-08, L5A-05-09 &amp; L5A-05-10</t>
  </si>
  <si>
    <t>L5A-05-11</t>
  </si>
  <si>
    <t>L5B-01-03 &amp; L5B-01-04</t>
  </si>
  <si>
    <t>L5B-01-05 &amp; L5B-01-06</t>
  </si>
  <si>
    <t>L5B-10-15, L5B-10-16, L5B-10-17, L5B-10-18, L5B-11-15 &amp; L5B-11-16</t>
  </si>
  <si>
    <t>L4-F-30</t>
  </si>
  <si>
    <t>L4-F-24 &amp; L4-F-29</t>
  </si>
  <si>
    <t>L6-D-30, L6-D-29</t>
  </si>
  <si>
    <t>SWAKSH INFRATECH</t>
  </si>
  <si>
    <t>L7-E-05</t>
  </si>
  <si>
    <t>Utility Sanction Load KVA</t>
  </si>
  <si>
    <t xml:space="preserve">Utility Minimum Demand % </t>
  </si>
  <si>
    <t>Capacity Installed</t>
  </si>
  <si>
    <t>L1</t>
  </si>
  <si>
    <t>L2</t>
  </si>
  <si>
    <t>L3</t>
  </si>
  <si>
    <t>L4</t>
  </si>
  <si>
    <t>L5</t>
  </si>
  <si>
    <t>L7</t>
  </si>
  <si>
    <t>Mention the design kW capacity of Transformer</t>
  </si>
  <si>
    <t>Mention the design kW capacity of Generator</t>
  </si>
  <si>
    <t>Mention the design N capacity in kw in a N+N Configuration</t>
  </si>
  <si>
    <t>Transformer kW</t>
  </si>
  <si>
    <t>Generator kW</t>
  </si>
  <si>
    <t>UPS kW</t>
  </si>
  <si>
    <t>Floor</t>
  </si>
  <si>
    <t>Description</t>
  </si>
  <si>
    <t>Value</t>
  </si>
  <si>
    <t>No of TX</t>
  </si>
  <si>
    <t>UPS Config</t>
  </si>
  <si>
    <t>Installed including interfloor shared capacity</t>
  </si>
  <si>
    <t>Customer subscribed IT kW</t>
  </si>
  <si>
    <t>IT kW Usage</t>
  </si>
  <si>
    <t>Measured on 1st of every month</t>
  </si>
  <si>
    <t>Avaialble IT kW Design-Used</t>
  </si>
  <si>
    <t>Available IT kW Design-Sold</t>
  </si>
  <si>
    <t>Actual Load KVA</t>
  </si>
  <si>
    <t>As per the Sanction Letter</t>
  </si>
  <si>
    <t>Usage measured on 1of every month</t>
  </si>
  <si>
    <t>Actual Load kW</t>
  </si>
  <si>
    <t xml:space="preserve">No of DG </t>
  </si>
  <si>
    <t>Catcher DG kW</t>
  </si>
  <si>
    <t>Catcher TX kW</t>
  </si>
  <si>
    <t xml:space="preserve">No. Of catcher </t>
  </si>
  <si>
    <t>Bank A ( 1250 KVA* 2)  &amp; Bank B (600 KVA *4 )</t>
  </si>
  <si>
    <t>Bank A ( 400 KVA* 4)  &amp; Bank B (400 KVA *4 )</t>
  </si>
  <si>
    <t>Bank A ( 450 KVA* 4)  &amp; Bank B (450 KVA *4 )</t>
  </si>
  <si>
    <t>IT Power Sold in kW ( concidering unity as PF)</t>
  </si>
  <si>
    <t>Allocated power</t>
  </si>
  <si>
    <t>Allocated IT Power to customer ( Taking 50% as divercity factor for rated power customer )</t>
  </si>
  <si>
    <t>Available IT kW Design-Sold ( Allocated capacity)</t>
  </si>
  <si>
    <t>7760 KVA</t>
  </si>
  <si>
    <t xml:space="preserve">MAX Rack Capacity </t>
  </si>
  <si>
    <t xml:space="preserve">Racks which can be placed on floor  </t>
  </si>
  <si>
    <t>Rack losss ( Cage+ non standard rack+ path)</t>
  </si>
  <si>
    <t>Designed White Space ( in SQ FT)</t>
  </si>
  <si>
    <t>Used White Space( in SQ FT)</t>
  </si>
  <si>
    <t>Avaialble White Space ( in SQ FT)</t>
  </si>
  <si>
    <t>SIMPLE TELECOM PVT LTD</t>
  </si>
  <si>
    <t>Cloude flare</t>
  </si>
  <si>
    <t>Stackpath</t>
  </si>
  <si>
    <t>IT capacity Installed kW</t>
  </si>
  <si>
    <t>"Allocated" Capacity in KW (for KVA subscribed customer 50% diversity is used to make kW )</t>
  </si>
  <si>
    <t xml:space="preserve">Rack count </t>
  </si>
  <si>
    <t>Racks in Space</t>
  </si>
  <si>
    <t>AGRICULTURE INSURANCE COMPANY OF INDIA LIMITED</t>
  </si>
  <si>
    <t>CP WHOLESALE INDIA PVT LTD</t>
  </si>
  <si>
    <t>EDGE NETWORK SERVICES LIMITED</t>
  </si>
  <si>
    <t>EMINENCE SOFTECH PVT LTD</t>
  </si>
  <si>
    <t>GLORYBIRD INDIA PRIVATE LIMITED</t>
  </si>
  <si>
    <t>NEXTRA ONLINE SERVICES PRIVATE LIMITED</t>
  </si>
  <si>
    <t>THE NAGALAND STATE CO-OPERATIVE BANK LTD</t>
  </si>
  <si>
    <t>DENSO INTERNATIONAL INDIA PVT LTD</t>
  </si>
  <si>
    <t>ISHAN NETSOL PVT LTD</t>
  </si>
  <si>
    <t>MJUNCTION SERVICES LIMITED</t>
  </si>
  <si>
    <t>DEHRADUN E NET SOLUTIONS (P) LTD.</t>
  </si>
  <si>
    <t>BHARAT SANCHAR NIGAM LIMITED-HOSTING</t>
  </si>
  <si>
    <t>PRACTION NETWORKS PVT LTD</t>
  </si>
  <si>
    <t>RACSANN TECHNOLOGIES PVT LTD</t>
  </si>
  <si>
    <t>iBOSS, INC.</t>
  </si>
  <si>
    <t>STAR BROADBAND SERVICES I PVT LTD</t>
  </si>
  <si>
    <t>ACME DIGINET CORPORATION PVT LTD</t>
  </si>
  <si>
    <t>UNITAS GLOBAL INDIA PVT LTD</t>
  </si>
  <si>
    <t>NAS INTERNET SERVICES PVT LTD</t>
  </si>
  <si>
    <t>SPEEDNET UNIQUE NETWORK PVT LTD</t>
  </si>
  <si>
    <t>SAIKRITI TECHSOFT PVT LTD</t>
  </si>
  <si>
    <t>SUBSPACE  COMMUNICATION LLC</t>
  </si>
  <si>
    <t>L6-F-25</t>
  </si>
  <si>
    <t>L4-E-29</t>
  </si>
  <si>
    <t>FIBLIB DIGITAL NETWORKS</t>
  </si>
  <si>
    <t xml:space="preserve"> L7-F-26 to L7-F-29</t>
  </si>
  <si>
    <t>YES</t>
  </si>
  <si>
    <t>L5A-07-05, L5A-07-06, L5A-07-07, L5A-06-06, L5A-06-07 &amp; L5A-06-08</t>
  </si>
  <si>
    <t>L5A-07-03</t>
  </si>
  <si>
    <t>DELACON TECH SOLUTIONS PRIVATE LIMITED</t>
  </si>
  <si>
    <t>ONEOTT INTERTAINMENT LTD</t>
  </si>
  <si>
    <t>L7-F-25</t>
  </si>
  <si>
    <t>PEERCAST TELECOM INDIA PRIVATE LIMITED</t>
  </si>
  <si>
    <t>STG SOFTWARE SOLUTION PRIVATE LIMITED</t>
  </si>
  <si>
    <t>NESECURE TELECOM</t>
  </si>
  <si>
    <t>L7-A-15, L7-A-16, L7-A-17 &amp; L7-A-18</t>
  </si>
  <si>
    <t>RHS/SH</t>
  </si>
  <si>
    <t xml:space="preserve">L4-E-33 </t>
  </si>
  <si>
    <t>L5A-02-01</t>
  </si>
  <si>
    <t>L5A-01-06</t>
  </si>
  <si>
    <t>Available space</t>
  </si>
  <si>
    <t xml:space="preserve"> Sitting Space (Subscription)</t>
  </si>
  <si>
    <t>Total of 1st Floor</t>
  </si>
  <si>
    <t>Zscaler</t>
  </si>
  <si>
    <t>Optical Cage</t>
  </si>
  <si>
    <t>IP CAGE</t>
  </si>
  <si>
    <t>L6-G-26 to L6-G-33, L6-F-26 to L6-F-33</t>
  </si>
  <si>
    <t>ACRO ENGINEERING</t>
  </si>
  <si>
    <t>Racks</t>
  </si>
  <si>
    <t>REISNET BROADBAND PRIVATE LIMITED ( 5U TO 8U)</t>
  </si>
  <si>
    <t>IPNET BROADBAND NETWORK PVT LTD ( 29U TO 30U)</t>
  </si>
  <si>
    <t>ONEXTEL</t>
  </si>
  <si>
    <t xml:space="preserve"> L5A-01-11</t>
  </si>
  <si>
    <t xml:space="preserve">L5A-01-10 </t>
  </si>
  <si>
    <t>Total of 2nd  Floor</t>
  </si>
  <si>
    <t>OCI</t>
  </si>
  <si>
    <t xml:space="preserve">L2 FLOOR </t>
  </si>
  <si>
    <t>Bundal Metered</t>
  </si>
  <si>
    <t>Total of 8th  Floor</t>
  </si>
  <si>
    <t>Fastly</t>
  </si>
  <si>
    <t>Chi Network</t>
  </si>
  <si>
    <t>NOI02 -TB-L8 -A-20  NOI02 -TB-L8 -A-21</t>
  </si>
  <si>
    <t>Server HALL L8</t>
  </si>
  <si>
    <t>L7-F-18</t>
  </si>
  <si>
    <t>NOI-TB-L1-A-03 TO NOI-TB-L1-A-13                                  NOI-TB-L1-B-01 TO NOI-TB-L1-B-08                                            NOI-TB-L1-B-11 TO NOI-TB-L1-B-13</t>
  </si>
  <si>
    <t>NOI-TB-L1-C-03 TO NOI-TB-L1-C-07                                               NOI-TB-L1-D-03 TO NOI-TB-L1-D-07</t>
  </si>
  <si>
    <t xml:space="preserve">NOI-TB-L1-A-15 TO NOI-TB-L1-A-17                                  </t>
  </si>
  <si>
    <t>NOI-TB-L1-B-15 TO NOI-TB-L1-B-16</t>
  </si>
  <si>
    <t>NOI02 -TB-L8 -B-19  NOI02 -TB-L8 -B-23</t>
  </si>
  <si>
    <t xml:space="preserve">14000 KVA </t>
  </si>
  <si>
    <t>From L7 To L6 &amp; l5 =150 KVA L6+ 120 KVA L5</t>
  </si>
  <si>
    <t>L6-F-24</t>
  </si>
  <si>
    <t>Noida 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</si>
</sst>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0.00_);[Red]\(0.00\)"/>
    <numFmt numFmtId="167" formatCode="0_);[Red]\(0\)"/>
    <numFmt numFmtId="168" formatCode="_ [$₹-4009]\ * #,##0_ ;_ [$₹-4009]\ * \-#,##0_ ;_ [$₹-4009]\ * &quot;-&quot;??_ ;_ @_ "/>
    <numFmt numFmtId="169" formatCode="_ [$₹-4009]\ * #,##0.00_ ;_ [$₹-4009]\ * \-#,##0.00_ ;_ [$₹-4009]\ * &quot;-&quot;??_ ;_ @_ "/>
    <numFmt numFmtId="170" formatCode="_-[$$-409]* #,##0_ ;_-[$$-409]* \-#,##0\ ;_-[$$-409]* &quot;-&quot;_ ;_-@_ "/>
  </numFmts>
  <fonts count="47" x14ac:knownFonts="1"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charset val="1"/>
    </font>
    <font>
      <u/>
      <sz val="11"/>
      <color theme="10"/>
      <name val="Calibri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30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6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sz val="6"/>
      <color indexed="8"/>
      <name val="Calibri"/>
      <family val="2"/>
    </font>
    <font>
      <b/>
      <sz val="10"/>
      <color theme="5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theme="8" tint="0.39997558519241921"/>
        <bgColor indexed="22"/>
      </patternFill>
    </fill>
    <fill>
      <patternFill patternType="solid">
        <fgColor indexed="50"/>
        <bgColor indexed="22"/>
      </patternFill>
    </fill>
    <fill>
      <patternFill patternType="solid">
        <fgColor indexed="9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rgb="FF00B050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2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90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1" fillId="0" borderId="0"/>
    <xf numFmtId="0" fontId="21" fillId="23" borderId="7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1" fillId="0" borderId="0"/>
    <xf numFmtId="0" fontId="2" fillId="0" borderId="0"/>
    <xf numFmtId="0" fontId="34" fillId="0" borderId="0"/>
    <xf numFmtId="0" fontId="35" fillId="0" borderId="0"/>
    <xf numFmtId="9" fontId="21" fillId="0" borderId="0" applyFont="0" applyFill="0" applyBorder="0" applyAlignment="0" applyProtection="0"/>
    <xf numFmtId="0" fontId="25" fillId="0" borderId="0"/>
    <xf numFmtId="0" fontId="39" fillId="0" borderId="0"/>
    <xf numFmtId="0" fontId="29" fillId="0" borderId="0"/>
    <xf numFmtId="0" fontId="7" fillId="20" borderId="43" applyNumberFormat="0" applyAlignment="0" applyProtection="0"/>
    <xf numFmtId="0" fontId="14" fillId="7" borderId="43" applyNumberFormat="0" applyAlignment="0" applyProtection="0"/>
    <xf numFmtId="0" fontId="21" fillId="23" borderId="44" applyNumberFormat="0" applyAlignment="0" applyProtection="0"/>
    <xf numFmtId="0" fontId="17" fillId="20" borderId="45" applyNumberFormat="0" applyAlignment="0" applyProtection="0"/>
    <xf numFmtId="0" fontId="19" fillId="0" borderId="46" applyNumberFormat="0" applyFill="0" applyAlignment="0" applyProtection="0"/>
    <xf numFmtId="0" fontId="1" fillId="0" borderId="0"/>
    <xf numFmtId="164" fontId="2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25" fillId="0" borderId="0"/>
  </cellStyleXfs>
  <cellXfs count="365">
    <xf numFmtId="0" fontId="0" fillId="0" borderId="0" xfId="0"/>
    <xf numFmtId="2" fontId="31" fillId="25" borderId="0" xfId="68" applyNumberFormat="1" applyFont="1" applyFill="1" applyAlignment="1">
      <alignment horizontal="center" vertical="center"/>
    </xf>
    <xf numFmtId="165" fontId="31" fillId="25" borderId="0" xfId="66" applyNumberFormat="1" applyFont="1" applyFill="1" applyBorder="1" applyAlignment="1">
      <alignment horizontal="center" vertical="center"/>
    </xf>
    <xf numFmtId="0" fontId="37" fillId="24" borderId="0" xfId="29" applyFont="1" applyFill="1" applyAlignment="1">
      <alignment vertical="center"/>
    </xf>
    <xf numFmtId="2" fontId="37" fillId="24" borderId="0" xfId="28" applyNumberFormat="1" applyFont="1" applyFill="1" applyAlignment="1">
      <alignment vertical="center"/>
    </xf>
    <xf numFmtId="0" fontId="37" fillId="24" borderId="0" xfId="28" applyFont="1" applyFill="1" applyAlignment="1">
      <alignment vertical="center"/>
    </xf>
    <xf numFmtId="166" fontId="37" fillId="24" borderId="0" xfId="28" applyNumberFormat="1" applyFont="1" applyFill="1" applyAlignment="1">
      <alignment vertical="center"/>
    </xf>
    <xf numFmtId="0" fontId="36" fillId="24" borderId="0" xfId="29" applyFont="1" applyFill="1" applyAlignment="1">
      <alignment vertical="center"/>
    </xf>
    <xf numFmtId="0" fontId="37" fillId="24" borderId="0" xfId="28" applyFont="1" applyFill="1" applyAlignment="1">
      <alignment horizontal="left" vertical="center"/>
    </xf>
    <xf numFmtId="2" fontId="37" fillId="24" borderId="0" xfId="29" applyNumberFormat="1" applyFont="1" applyFill="1" applyAlignment="1">
      <alignment vertical="center"/>
    </xf>
    <xf numFmtId="165" fontId="37" fillId="24" borderId="0" xfId="66" applyNumberFormat="1" applyFont="1" applyFill="1" applyBorder="1" applyAlignment="1">
      <alignment vertical="center"/>
    </xf>
    <xf numFmtId="0" fontId="28" fillId="24" borderId="0" xfId="29" applyFont="1" applyFill="1" applyAlignment="1">
      <alignment vertical="center"/>
    </xf>
    <xf numFmtId="166" fontId="37" fillId="24" borderId="0" xfId="29" applyNumberFormat="1" applyFont="1" applyFill="1" applyAlignment="1">
      <alignment vertical="center"/>
    </xf>
    <xf numFmtId="2" fontId="37" fillId="24" borderId="0" xfId="29" applyNumberFormat="1" applyFont="1" applyFill="1" applyAlignment="1">
      <alignment horizontal="center" vertical="center"/>
    </xf>
    <xf numFmtId="166" fontId="37" fillId="24" borderId="0" xfId="68" applyNumberFormat="1" applyFont="1" applyFill="1" applyAlignment="1">
      <alignment vertical="center"/>
    </xf>
    <xf numFmtId="2" fontId="37" fillId="24" borderId="0" xfId="68" applyNumberFormat="1" applyFont="1" applyFill="1" applyAlignment="1">
      <alignment horizontal="center" vertical="center"/>
    </xf>
    <xf numFmtId="0" fontId="37" fillId="38" borderId="0" xfId="28" applyFont="1" applyFill="1" applyAlignment="1">
      <alignment vertical="center"/>
    </xf>
    <xf numFmtId="2" fontId="37" fillId="24" borderId="0" xfId="28" applyNumberFormat="1" applyFont="1" applyFill="1" applyAlignment="1">
      <alignment horizontal="center" vertical="center"/>
    </xf>
    <xf numFmtId="2" fontId="31" fillId="26" borderId="0" xfId="68" applyNumberFormat="1" applyFont="1" applyFill="1" applyAlignment="1">
      <alignment horizontal="center" vertical="center"/>
    </xf>
    <xf numFmtId="165" fontId="31" fillId="26" borderId="0" xfId="66" applyNumberFormat="1" applyFont="1" applyFill="1" applyBorder="1" applyAlignment="1">
      <alignment horizontal="center" vertical="center"/>
    </xf>
    <xf numFmtId="2" fontId="31" fillId="25" borderId="0" xfId="68" applyNumberFormat="1" applyFont="1" applyFill="1" applyAlignment="1">
      <alignment horizontal="left" vertical="center"/>
    </xf>
    <xf numFmtId="9" fontId="37" fillId="24" borderId="0" xfId="75" applyFont="1" applyFill="1" applyBorder="1" applyAlignment="1">
      <alignment horizontal="center" vertical="center"/>
    </xf>
    <xf numFmtId="169" fontId="31" fillId="29" borderId="10" xfId="31" applyNumberFormat="1" applyFont="1" applyFill="1" applyBorder="1" applyAlignment="1">
      <alignment horizontal="center" vertical="center" wrapText="1"/>
    </xf>
    <xf numFmtId="0" fontId="31" fillId="25" borderId="10" xfId="28" applyFont="1" applyFill="1" applyBorder="1" applyAlignment="1">
      <alignment vertical="center" wrapText="1"/>
    </xf>
    <xf numFmtId="0" fontId="31" fillId="25" borderId="10" xfId="28" applyFont="1" applyFill="1" applyBorder="1" applyAlignment="1">
      <alignment vertical="center"/>
    </xf>
    <xf numFmtId="168" fontId="31" fillId="25" borderId="10" xfId="28" applyNumberFormat="1" applyFont="1" applyFill="1" applyBorder="1" applyAlignment="1">
      <alignment vertical="center"/>
    </xf>
    <xf numFmtId="168" fontId="0" fillId="0" borderId="10" xfId="0" applyNumberFormat="1" applyBorder="1"/>
    <xf numFmtId="165" fontId="31" fillId="25" borderId="10" xfId="66" applyNumberFormat="1" applyFont="1" applyFill="1" applyBorder="1" applyAlignment="1">
      <alignment vertical="center"/>
    </xf>
    <xf numFmtId="168" fontId="31" fillId="25" borderId="11" xfId="28" applyNumberFormat="1" applyFont="1" applyFill="1" applyBorder="1" applyAlignment="1">
      <alignment vertical="center"/>
    </xf>
    <xf numFmtId="0" fontId="37" fillId="24" borderId="14" xfId="28" applyFont="1" applyFill="1" applyBorder="1" applyAlignment="1">
      <alignment horizontal="left" vertical="center" wrapText="1"/>
    </xf>
    <xf numFmtId="0" fontId="37" fillId="24" borderId="15" xfId="31" applyFont="1" applyFill="1" applyBorder="1" applyAlignment="1">
      <alignment horizontal="center" vertical="center"/>
    </xf>
    <xf numFmtId="0" fontId="37" fillId="0" borderId="15" xfId="31" applyFont="1" applyBorder="1" applyAlignment="1">
      <alignment horizontal="center" vertical="center" wrapText="1"/>
    </xf>
    <xf numFmtId="0" fontId="37" fillId="35" borderId="15" xfId="31" applyFont="1" applyFill="1" applyBorder="1" applyAlignment="1">
      <alignment horizontal="center" vertical="center" wrapText="1"/>
    </xf>
    <xf numFmtId="2" fontId="37" fillId="35" borderId="15" xfId="31" applyNumberFormat="1" applyFont="1" applyFill="1" applyBorder="1" applyAlignment="1">
      <alignment horizontal="center" vertical="center" wrapText="1"/>
    </xf>
    <xf numFmtId="167" fontId="37" fillId="35" borderId="15" xfId="31" applyNumberFormat="1" applyFont="1" applyFill="1" applyBorder="1" applyAlignment="1">
      <alignment horizontal="center" vertical="center" wrapText="1"/>
    </xf>
    <xf numFmtId="168" fontId="37" fillId="35" borderId="15" xfId="31" applyNumberFormat="1" applyFont="1" applyFill="1" applyBorder="1" applyAlignment="1">
      <alignment horizontal="center" vertical="center" wrapText="1"/>
    </xf>
    <xf numFmtId="2" fontId="37" fillId="24" borderId="15" xfId="29" applyNumberFormat="1" applyFont="1" applyFill="1" applyBorder="1" applyAlignment="1">
      <alignment horizontal="center" vertical="center"/>
    </xf>
    <xf numFmtId="0" fontId="28" fillId="0" borderId="15" xfId="31" applyFont="1" applyBorder="1" applyAlignment="1">
      <alignment horizontal="center" vertical="center" wrapText="1"/>
    </xf>
    <xf numFmtId="2" fontId="33" fillId="36" borderId="15" xfId="31" applyNumberFormat="1" applyFont="1" applyFill="1" applyBorder="1" applyAlignment="1">
      <alignment horizontal="center" vertical="center" wrapText="1"/>
    </xf>
    <xf numFmtId="166" fontId="37" fillId="35" borderId="15" xfId="31" applyNumberFormat="1" applyFont="1" applyFill="1" applyBorder="1" applyAlignment="1">
      <alignment horizontal="center" vertical="center" wrapText="1"/>
    </xf>
    <xf numFmtId="168" fontId="31" fillId="33" borderId="15" xfId="66" applyNumberFormat="1" applyFont="1" applyFill="1" applyBorder="1" applyAlignment="1">
      <alignment horizontal="center" vertical="center" wrapText="1"/>
    </xf>
    <xf numFmtId="2" fontId="37" fillId="24" borderId="15" xfId="68" applyNumberFormat="1" applyFont="1" applyFill="1" applyBorder="1" applyAlignment="1">
      <alignment horizontal="center" vertical="center"/>
    </xf>
    <xf numFmtId="169" fontId="37" fillId="35" borderId="15" xfId="31" applyNumberFormat="1" applyFont="1" applyFill="1" applyBorder="1" applyAlignment="1">
      <alignment horizontal="center" vertical="center" wrapText="1"/>
    </xf>
    <xf numFmtId="165" fontId="37" fillId="35" borderId="15" xfId="66" applyNumberFormat="1" applyFont="1" applyFill="1" applyBorder="1" applyAlignment="1">
      <alignment horizontal="center" vertical="center" wrapText="1"/>
    </xf>
    <xf numFmtId="0" fontId="37" fillId="24" borderId="15" xfId="31" applyFont="1" applyFill="1" applyBorder="1" applyAlignment="1">
      <alignment horizontal="left" vertical="center"/>
    </xf>
    <xf numFmtId="168" fontId="37" fillId="38" borderId="15" xfId="66" applyNumberFormat="1" applyFont="1" applyFill="1" applyBorder="1" applyAlignment="1">
      <alignment vertical="center"/>
    </xf>
    <xf numFmtId="168" fontId="37" fillId="24" borderId="15" xfId="66" applyNumberFormat="1" applyFont="1" applyFill="1" applyBorder="1" applyAlignment="1">
      <alignment vertical="center"/>
    </xf>
    <xf numFmtId="168" fontId="37" fillId="24" borderId="15" xfId="28" applyNumberFormat="1" applyFont="1" applyFill="1" applyBorder="1" applyAlignment="1">
      <alignment vertical="center"/>
    </xf>
    <xf numFmtId="168" fontId="36" fillId="38" borderId="15" xfId="66" applyNumberFormat="1" applyFont="1" applyFill="1" applyBorder="1" applyAlignment="1">
      <alignment vertical="center"/>
    </xf>
    <xf numFmtId="0" fontId="40" fillId="24" borderId="15" xfId="28" applyFont="1" applyFill="1" applyBorder="1" applyAlignment="1">
      <alignment horizontal="left" vertical="center"/>
    </xf>
    <xf numFmtId="17" fontId="40" fillId="24" borderId="15" xfId="28" applyNumberFormat="1" applyFont="1" applyFill="1" applyBorder="1" applyAlignment="1">
      <alignment horizontal="left" vertical="center"/>
    </xf>
    <xf numFmtId="0" fontId="40" fillId="24" borderId="15" xfId="28" applyFont="1" applyFill="1" applyBorder="1" applyAlignment="1">
      <alignment horizontal="center" vertical="center"/>
    </xf>
    <xf numFmtId="168" fontId="31" fillId="25" borderId="15" xfId="28" applyNumberFormat="1" applyFont="1" applyFill="1" applyBorder="1" applyAlignment="1">
      <alignment vertical="center"/>
    </xf>
    <xf numFmtId="168" fontId="0" fillId="0" borderId="15" xfId="0" applyNumberFormat="1" applyBorder="1"/>
    <xf numFmtId="165" fontId="31" fillId="25" borderId="15" xfId="66" applyNumberFormat="1" applyFont="1" applyFill="1" applyBorder="1" applyAlignment="1">
      <alignment vertical="center"/>
    </xf>
    <xf numFmtId="0" fontId="28" fillId="24" borderId="15" xfId="28" applyFont="1" applyFill="1" applyBorder="1" applyAlignment="1">
      <alignment horizontal="left" vertical="center" wrapText="1"/>
    </xf>
    <xf numFmtId="17" fontId="28" fillId="24" borderId="15" xfId="28" applyNumberFormat="1" applyFont="1" applyFill="1" applyBorder="1" applyAlignment="1">
      <alignment horizontal="left" vertical="center"/>
    </xf>
    <xf numFmtId="0" fontId="28" fillId="24" borderId="15" xfId="28" applyFont="1" applyFill="1" applyBorder="1" applyAlignment="1">
      <alignment horizontal="center" vertical="center"/>
    </xf>
    <xf numFmtId="2" fontId="28" fillId="41" borderId="15" xfId="31" applyNumberFormat="1" applyFont="1" applyFill="1" applyBorder="1" applyAlignment="1">
      <alignment horizontal="center" vertical="center" wrapText="1"/>
    </xf>
    <xf numFmtId="2" fontId="33" fillId="41" borderId="15" xfId="31" applyNumberFormat="1" applyFont="1" applyFill="1" applyBorder="1" applyAlignment="1">
      <alignment horizontal="center" vertical="center" wrapText="1"/>
    </xf>
    <xf numFmtId="0" fontId="37" fillId="24" borderId="15" xfId="28" applyFont="1" applyFill="1" applyBorder="1" applyAlignment="1">
      <alignment horizontal="left" vertical="center" wrapText="1"/>
    </xf>
    <xf numFmtId="17" fontId="37" fillId="24" borderId="15" xfId="28" applyNumberFormat="1" applyFont="1" applyFill="1" applyBorder="1" applyAlignment="1">
      <alignment horizontal="left" vertical="center"/>
    </xf>
    <xf numFmtId="0" fontId="37" fillId="24" borderId="15" xfId="28" applyFont="1" applyFill="1" applyBorder="1" applyAlignment="1">
      <alignment horizontal="center" vertical="center"/>
    </xf>
    <xf numFmtId="0" fontId="37" fillId="24" borderId="15" xfId="28" applyFont="1" applyFill="1" applyBorder="1" applyAlignment="1">
      <alignment vertical="center"/>
    </xf>
    <xf numFmtId="168" fontId="31" fillId="25" borderId="0" xfId="28" applyNumberFormat="1" applyFont="1" applyFill="1" applyAlignment="1">
      <alignment vertical="center"/>
    </xf>
    <xf numFmtId="168" fontId="0" fillId="0" borderId="0" xfId="0" applyNumberFormat="1"/>
    <xf numFmtId="165" fontId="31" fillId="25" borderId="0" xfId="66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36" fillId="24" borderId="14" xfId="29" applyNumberFormat="1" applyFont="1" applyFill="1" applyBorder="1" applyAlignment="1">
      <alignment horizontal="center" vertical="center" wrapText="1"/>
    </xf>
    <xf numFmtId="2" fontId="36" fillId="24" borderId="14" xfId="29" applyNumberFormat="1" applyFont="1" applyFill="1" applyBorder="1" applyAlignment="1">
      <alignment horizontal="left" vertical="center" wrapText="1"/>
    </xf>
    <xf numFmtId="2" fontId="37" fillId="24" borderId="14" xfId="28" applyNumberFormat="1" applyFont="1" applyFill="1" applyBorder="1" applyAlignment="1">
      <alignment horizontal="left" vertical="center" wrapText="1"/>
    </xf>
    <xf numFmtId="2" fontId="37" fillId="24" borderId="0" xfId="28" applyNumberFormat="1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2" fontId="36" fillId="24" borderId="0" xfId="28" applyNumberFormat="1" applyFont="1" applyFill="1" applyAlignment="1">
      <alignment vertical="center" wrapText="1"/>
    </xf>
    <xf numFmtId="2" fontId="36" fillId="24" borderId="15" xfId="29" applyNumberFormat="1" applyFont="1" applyFill="1" applyBorder="1" applyAlignment="1">
      <alignment horizontal="center" vertical="center" wrapText="1"/>
    </xf>
    <xf numFmtId="2" fontId="36" fillId="24" borderId="15" xfId="29" applyNumberFormat="1" applyFont="1" applyFill="1" applyBorder="1" applyAlignment="1">
      <alignment horizontal="left" vertical="center" wrapText="1"/>
    </xf>
    <xf numFmtId="2" fontId="36" fillId="24" borderId="12" xfId="29" applyNumberFormat="1" applyFont="1" applyFill="1" applyBorder="1" applyAlignment="1">
      <alignment horizontal="center" vertical="center" wrapText="1"/>
    </xf>
    <xf numFmtId="0" fontId="37" fillId="24" borderId="15" xfId="28" applyFont="1" applyFill="1" applyBorder="1" applyAlignment="1">
      <alignment horizontal="left" vertical="center"/>
    </xf>
    <xf numFmtId="2" fontId="36" fillId="24" borderId="18" xfId="29" applyNumberFormat="1" applyFont="1" applyFill="1" applyBorder="1" applyAlignment="1">
      <alignment horizontal="center" vertical="center" wrapText="1"/>
    </xf>
    <xf numFmtId="2" fontId="36" fillId="24" borderId="18" xfId="29" applyNumberFormat="1" applyFont="1" applyFill="1" applyBorder="1" applyAlignment="1">
      <alignment horizontal="left" vertical="center" wrapText="1"/>
    </xf>
    <xf numFmtId="2" fontId="36" fillId="24" borderId="23" xfId="29" applyNumberFormat="1" applyFont="1" applyFill="1" applyBorder="1" applyAlignment="1">
      <alignment horizontal="left" vertical="center" wrapText="1"/>
    </xf>
    <xf numFmtId="0" fontId="37" fillId="24" borderId="23" xfId="28" applyFont="1" applyFill="1" applyBorder="1" applyAlignment="1">
      <alignment vertical="center"/>
    </xf>
    <xf numFmtId="2" fontId="36" fillId="24" borderId="16" xfId="29" applyNumberFormat="1" applyFont="1" applyFill="1" applyBorder="1" applyAlignment="1">
      <alignment horizontal="center" vertical="center" wrapText="1"/>
    </xf>
    <xf numFmtId="2" fontId="37" fillId="24" borderId="14" xfId="29" applyNumberFormat="1" applyFont="1" applyFill="1" applyBorder="1" applyAlignment="1">
      <alignment horizontal="center" vertical="center" wrapText="1"/>
    </xf>
    <xf numFmtId="2" fontId="37" fillId="24" borderId="15" xfId="29" applyNumberFormat="1" applyFont="1" applyFill="1" applyBorder="1" applyAlignment="1">
      <alignment horizontal="center" vertical="center" wrapText="1"/>
    </xf>
    <xf numFmtId="0" fontId="43" fillId="24" borderId="13" xfId="29" applyFont="1" applyFill="1" applyBorder="1" applyAlignment="1">
      <alignment horizontal="center" vertical="center" wrapText="1"/>
    </xf>
    <xf numFmtId="2" fontId="43" fillId="24" borderId="13" xfId="29" applyNumberFormat="1" applyFont="1" applyFill="1" applyBorder="1" applyAlignment="1">
      <alignment horizontal="left" vertical="center" wrapText="1"/>
    </xf>
    <xf numFmtId="2" fontId="44" fillId="24" borderId="13" xfId="28" applyNumberFormat="1" applyFont="1" applyFill="1" applyBorder="1" applyAlignment="1">
      <alignment horizontal="left" vertical="center" wrapText="1"/>
    </xf>
    <xf numFmtId="2" fontId="44" fillId="24" borderId="0" xfId="28" applyNumberFormat="1" applyFont="1" applyFill="1" applyAlignment="1">
      <alignment horizontal="left" vertical="center" wrapText="1"/>
    </xf>
    <xf numFmtId="0" fontId="45" fillId="0" borderId="0" xfId="0" applyFont="1" applyAlignment="1">
      <alignment horizontal="left" wrapText="1"/>
    </xf>
    <xf numFmtId="0" fontId="37" fillId="24" borderId="14" xfId="28" applyFont="1" applyFill="1" applyBorder="1" applyAlignment="1">
      <alignment vertical="center" wrapText="1"/>
    </xf>
    <xf numFmtId="0" fontId="37" fillId="24" borderId="15" xfId="28" applyFont="1" applyFill="1" applyBorder="1" applyAlignment="1">
      <alignment vertical="center" wrapText="1"/>
    </xf>
    <xf numFmtId="2" fontId="37" fillId="24" borderId="14" xfId="28" applyNumberFormat="1" applyFont="1" applyFill="1" applyBorder="1" applyAlignment="1">
      <alignment vertical="center" wrapText="1"/>
    </xf>
    <xf numFmtId="2" fontId="37" fillId="24" borderId="0" xfId="28" applyNumberFormat="1" applyFont="1" applyFill="1" applyAlignment="1">
      <alignment vertical="center" wrapText="1"/>
    </xf>
    <xf numFmtId="0" fontId="36" fillId="24" borderId="22" xfId="29" applyFont="1" applyFill="1" applyBorder="1" applyAlignment="1">
      <alignment horizontal="left" vertical="center" wrapText="1"/>
    </xf>
    <xf numFmtId="0" fontId="36" fillId="24" borderId="22" xfId="29" applyFont="1" applyFill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 wrapText="1"/>
    </xf>
    <xf numFmtId="0" fontId="36" fillId="24" borderId="27" xfId="29" applyFont="1" applyFill="1" applyBorder="1" applyAlignment="1">
      <alignment horizontal="center" vertical="center" wrapText="1"/>
    </xf>
    <xf numFmtId="0" fontId="37" fillId="24" borderId="28" xfId="28" applyFont="1" applyFill="1" applyBorder="1" applyAlignment="1">
      <alignment vertical="center" wrapText="1"/>
    </xf>
    <xf numFmtId="0" fontId="37" fillId="24" borderId="29" xfId="28" applyFont="1" applyFill="1" applyBorder="1" applyAlignment="1">
      <alignment vertical="center" wrapText="1"/>
    </xf>
    <xf numFmtId="0" fontId="37" fillId="24" borderId="12" xfId="28" applyFont="1" applyFill="1" applyBorder="1" applyAlignment="1">
      <alignment vertical="center" wrapText="1"/>
    </xf>
    <xf numFmtId="2" fontId="37" fillId="24" borderId="12" xfId="28" applyNumberFormat="1" applyFont="1" applyFill="1" applyBorder="1" applyAlignment="1">
      <alignment vertical="center" wrapText="1"/>
    </xf>
    <xf numFmtId="0" fontId="19" fillId="0" borderId="0" xfId="0" applyFont="1" applyAlignment="1">
      <alignment wrapText="1"/>
    </xf>
    <xf numFmtId="0" fontId="37" fillId="24" borderId="14" xfId="29" applyFont="1" applyFill="1" applyBorder="1" applyAlignment="1">
      <alignment horizontal="center" vertical="center" wrapText="1"/>
    </xf>
    <xf numFmtId="2" fontId="36" fillId="39" borderId="34" xfId="29" applyNumberFormat="1" applyFont="1" applyFill="1" applyBorder="1" applyAlignment="1">
      <alignment horizontal="center" vertical="center" wrapText="1"/>
    </xf>
    <xf numFmtId="2" fontId="36" fillId="39" borderId="14" xfId="29" applyNumberFormat="1" applyFont="1" applyFill="1" applyBorder="1" applyAlignment="1">
      <alignment horizontal="center" vertical="center" wrapText="1"/>
    </xf>
    <xf numFmtId="2" fontId="46" fillId="24" borderId="14" xfId="29" applyNumberFormat="1" applyFont="1" applyFill="1" applyBorder="1" applyAlignment="1">
      <alignment horizontal="center" vertical="center" wrapText="1"/>
    </xf>
    <xf numFmtId="2" fontId="46" fillId="24" borderId="14" xfId="31" applyNumberFormat="1" applyFont="1" applyFill="1" applyBorder="1" applyAlignment="1">
      <alignment horizontal="center" vertical="center" wrapText="1"/>
    </xf>
    <xf numFmtId="0" fontId="36" fillId="45" borderId="15" xfId="29" applyFont="1" applyFill="1" applyBorder="1" applyAlignment="1">
      <alignment horizontal="right" vertical="center" wrapText="1"/>
    </xf>
    <xf numFmtId="2" fontId="36" fillId="45" borderId="14" xfId="29" applyNumberFormat="1" applyFont="1" applyFill="1" applyBorder="1" applyAlignment="1">
      <alignment horizontal="center" vertical="center" wrapText="1"/>
    </xf>
    <xf numFmtId="0" fontId="37" fillId="45" borderId="14" xfId="28" applyFont="1" applyFill="1" applyBorder="1" applyAlignment="1">
      <alignment vertical="center" wrapText="1"/>
    </xf>
    <xf numFmtId="2" fontId="36" fillId="45" borderId="15" xfId="29" applyNumberFormat="1" applyFont="1" applyFill="1" applyBorder="1" applyAlignment="1">
      <alignment horizontal="center" vertical="center" wrapText="1"/>
    </xf>
    <xf numFmtId="0" fontId="36" fillId="39" borderId="19" xfId="29" applyFont="1" applyFill="1" applyBorder="1" applyAlignment="1">
      <alignment horizontal="center" vertical="center" wrapText="1"/>
    </xf>
    <xf numFmtId="2" fontId="36" fillId="39" borderId="20" xfId="29" applyNumberFormat="1" applyFont="1" applyFill="1" applyBorder="1" applyAlignment="1">
      <alignment horizontal="center" vertical="center" wrapText="1"/>
    </xf>
    <xf numFmtId="2" fontId="36" fillId="39" borderId="21" xfId="29" applyNumberFormat="1" applyFont="1" applyFill="1" applyBorder="1" applyAlignment="1">
      <alignment horizontal="center" vertical="center" wrapText="1"/>
    </xf>
    <xf numFmtId="0" fontId="36" fillId="39" borderId="33" xfId="29" applyFont="1" applyFill="1" applyBorder="1" applyAlignment="1">
      <alignment horizontal="center" vertical="center" wrapText="1"/>
    </xf>
    <xf numFmtId="0" fontId="36" fillId="39" borderId="34" xfId="28" applyFont="1" applyFill="1" applyBorder="1" applyAlignment="1">
      <alignment vertical="center" wrapText="1"/>
    </xf>
    <xf numFmtId="2" fontId="36" fillId="39" borderId="35" xfId="29" applyNumberFormat="1" applyFont="1" applyFill="1" applyBorder="1" applyAlignment="1">
      <alignment horizontal="center" vertical="center" wrapText="1"/>
    </xf>
    <xf numFmtId="2" fontId="36" fillId="39" borderId="34" xfId="28" applyNumberFormat="1" applyFont="1" applyFill="1" applyBorder="1" applyAlignment="1">
      <alignment vertical="center" wrapText="1"/>
    </xf>
    <xf numFmtId="2" fontId="36" fillId="39" borderId="35" xfId="28" applyNumberFormat="1" applyFont="1" applyFill="1" applyBorder="1" applyAlignment="1">
      <alignment vertical="center" wrapText="1"/>
    </xf>
    <xf numFmtId="2" fontId="36" fillId="45" borderId="34" xfId="29" applyNumberFormat="1" applyFont="1" applyFill="1" applyBorder="1" applyAlignment="1">
      <alignment horizontal="center" vertical="center" wrapText="1"/>
    </xf>
    <xf numFmtId="0" fontId="37" fillId="24" borderId="23" xfId="28" applyFont="1" applyFill="1" applyBorder="1" applyAlignment="1">
      <alignment horizontal="center" vertical="center" wrapText="1"/>
    </xf>
    <xf numFmtId="2" fontId="37" fillId="45" borderId="14" xfId="29" applyNumberFormat="1" applyFont="1" applyFill="1" applyBorder="1" applyAlignment="1">
      <alignment horizontal="center" vertical="center" wrapText="1"/>
    </xf>
    <xf numFmtId="2" fontId="36" fillId="45" borderId="35" xfId="29" applyNumberFormat="1" applyFont="1" applyFill="1" applyBorder="1" applyAlignment="1">
      <alignment horizontal="center" vertical="center" wrapText="1"/>
    </xf>
    <xf numFmtId="168" fontId="37" fillId="35" borderId="15" xfId="66" applyNumberFormat="1" applyFont="1" applyFill="1" applyBorder="1" applyAlignment="1">
      <alignment horizontal="center" vertical="center" wrapText="1"/>
    </xf>
    <xf numFmtId="0" fontId="28" fillId="24" borderId="15" xfId="28" applyFont="1" applyFill="1" applyBorder="1" applyAlignment="1">
      <alignment horizontal="left" vertical="center"/>
    </xf>
    <xf numFmtId="0" fontId="28" fillId="35" borderId="15" xfId="31" applyFont="1" applyFill="1" applyBorder="1" applyAlignment="1">
      <alignment horizontal="center" vertical="center" wrapText="1"/>
    </xf>
    <xf numFmtId="168" fontId="37" fillId="37" borderId="15" xfId="31" applyNumberFormat="1" applyFont="1" applyFill="1" applyBorder="1" applyAlignment="1">
      <alignment horizontal="center" vertical="center" wrapText="1"/>
    </xf>
    <xf numFmtId="169" fontId="37" fillId="0" borderId="15" xfId="31" applyNumberFormat="1" applyFont="1" applyBorder="1" applyAlignment="1">
      <alignment horizontal="center" vertical="center" wrapText="1"/>
    </xf>
    <xf numFmtId="0" fontId="37" fillId="0" borderId="15" xfId="28" applyFont="1" applyBorder="1" applyAlignment="1">
      <alignment vertical="center"/>
    </xf>
    <xf numFmtId="166" fontId="37" fillId="24" borderId="15" xfId="28" applyNumberFormat="1" applyFont="1" applyFill="1" applyBorder="1" applyAlignment="1">
      <alignment vertical="center"/>
    </xf>
    <xf numFmtId="2" fontId="37" fillId="24" borderId="15" xfId="28" applyNumberFormat="1" applyFont="1" applyFill="1" applyBorder="1" applyAlignment="1">
      <alignment vertical="center"/>
    </xf>
    <xf numFmtId="1" fontId="37" fillId="24" borderId="15" xfId="28" applyNumberFormat="1" applyFont="1" applyFill="1" applyBorder="1" applyAlignment="1">
      <alignment vertical="center"/>
    </xf>
    <xf numFmtId="2" fontId="37" fillId="24" borderId="15" xfId="28" applyNumberFormat="1" applyFont="1" applyFill="1" applyBorder="1" applyAlignment="1">
      <alignment horizontal="center" vertical="center"/>
    </xf>
    <xf numFmtId="165" fontId="37" fillId="24" borderId="15" xfId="66" applyNumberFormat="1" applyFont="1" applyFill="1" applyBorder="1" applyAlignment="1">
      <alignment vertical="center"/>
    </xf>
    <xf numFmtId="170" fontId="37" fillId="35" borderId="15" xfId="31" applyNumberFormat="1" applyFont="1" applyFill="1" applyBorder="1" applyAlignment="1">
      <alignment horizontal="center" vertical="center" wrapText="1"/>
    </xf>
    <xf numFmtId="170" fontId="36" fillId="35" borderId="15" xfId="31" applyNumberFormat="1" applyFont="1" applyFill="1" applyBorder="1" applyAlignment="1">
      <alignment horizontal="center" vertical="center" wrapText="1"/>
    </xf>
    <xf numFmtId="0" fontId="37" fillId="44" borderId="15" xfId="31" applyFont="1" applyFill="1" applyBorder="1" applyAlignment="1">
      <alignment horizontal="center" vertical="center" wrapText="1"/>
    </xf>
    <xf numFmtId="167" fontId="37" fillId="44" borderId="15" xfId="31" applyNumberFormat="1" applyFont="1" applyFill="1" applyBorder="1" applyAlignment="1">
      <alignment horizontal="center" vertical="center" wrapText="1"/>
    </xf>
    <xf numFmtId="168" fontId="37" fillId="44" borderId="15" xfId="31" applyNumberFormat="1" applyFont="1" applyFill="1" applyBorder="1" applyAlignment="1">
      <alignment horizontal="center" vertical="center" wrapText="1"/>
    </xf>
    <xf numFmtId="2" fontId="37" fillId="43" borderId="15" xfId="31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36" fillId="25" borderId="20" xfId="29" applyFont="1" applyFill="1" applyBorder="1" applyAlignment="1">
      <alignment horizontal="center" vertical="center"/>
    </xf>
    <xf numFmtId="0" fontId="36" fillId="25" borderId="20" xfId="29" applyFont="1" applyFill="1" applyBorder="1" applyAlignment="1">
      <alignment horizontal="center" vertical="center" wrapText="1"/>
    </xf>
    <xf numFmtId="2" fontId="27" fillId="25" borderId="20" xfId="29" applyNumberFormat="1" applyFont="1" applyFill="1" applyBorder="1" applyAlignment="1">
      <alignment horizontal="center" vertical="center" wrapText="1"/>
    </xf>
    <xf numFmtId="166" fontId="36" fillId="25" borderId="20" xfId="29" applyNumberFormat="1" applyFont="1" applyFill="1" applyBorder="1" applyAlignment="1">
      <alignment horizontal="center" vertical="center" wrapText="1"/>
    </xf>
    <xf numFmtId="0" fontId="36" fillId="25" borderId="20" xfId="50" applyFont="1" applyFill="1" applyBorder="1" applyAlignment="1">
      <alignment horizontal="center" vertical="center" wrapText="1"/>
    </xf>
    <xf numFmtId="166" fontId="27" fillId="25" borderId="20" xfId="29" applyNumberFormat="1" applyFont="1" applyFill="1" applyBorder="1" applyAlignment="1">
      <alignment horizontal="center" vertical="center" wrapText="1"/>
    </xf>
    <xf numFmtId="0" fontId="36" fillId="0" borderId="20" xfId="31" applyFont="1" applyBorder="1" applyAlignment="1">
      <alignment horizontal="center" vertical="center" wrapText="1"/>
    </xf>
    <xf numFmtId="0" fontId="36" fillId="25" borderId="20" xfId="28" applyFont="1" applyFill="1" applyBorder="1" applyAlignment="1">
      <alignment vertical="center"/>
    </xf>
    <xf numFmtId="0" fontId="36" fillId="25" borderId="20" xfId="28" applyFont="1" applyFill="1" applyBorder="1" applyAlignment="1">
      <alignment vertical="center" wrapText="1"/>
    </xf>
    <xf numFmtId="165" fontId="27" fillId="25" borderId="20" xfId="66" applyNumberFormat="1" applyFont="1" applyFill="1" applyBorder="1" applyAlignment="1">
      <alignment horizontal="center" vertical="center" wrapText="1"/>
    </xf>
    <xf numFmtId="0" fontId="36" fillId="25" borderId="20" xfId="28" applyFont="1" applyFill="1" applyBorder="1" applyAlignment="1">
      <alignment horizontal="left" vertical="center" wrapText="1"/>
    </xf>
    <xf numFmtId="0" fontId="36" fillId="25" borderId="21" xfId="28" applyFont="1" applyFill="1" applyBorder="1" applyAlignment="1">
      <alignment vertical="center"/>
    </xf>
    <xf numFmtId="0" fontId="37" fillId="24" borderId="22" xfId="28" applyFont="1" applyFill="1" applyBorder="1" applyAlignment="1">
      <alignment vertical="center"/>
    </xf>
    <xf numFmtId="0" fontId="28" fillId="24" borderId="23" xfId="28" applyFont="1" applyFill="1" applyBorder="1" applyAlignment="1">
      <alignment horizontal="left" vertical="center"/>
    </xf>
    <xf numFmtId="0" fontId="28" fillId="24" borderId="23" xfId="28" applyFont="1" applyFill="1" applyBorder="1" applyAlignment="1">
      <alignment vertical="center"/>
    </xf>
    <xf numFmtId="0" fontId="40" fillId="24" borderId="23" xfId="28" applyFont="1" applyFill="1" applyBorder="1" applyAlignment="1">
      <alignment vertical="center"/>
    </xf>
    <xf numFmtId="0" fontId="37" fillId="38" borderId="22" xfId="28" applyFont="1" applyFill="1" applyBorder="1" applyAlignment="1">
      <alignment vertical="center"/>
    </xf>
    <xf numFmtId="0" fontId="36" fillId="24" borderId="19" xfId="28" applyFont="1" applyFill="1" applyBorder="1" applyAlignment="1">
      <alignment vertical="center"/>
    </xf>
    <xf numFmtId="2" fontId="37" fillId="0" borderId="15" xfId="29" applyNumberFormat="1" applyFont="1" applyBorder="1" applyAlignment="1">
      <alignment horizontal="center" vertical="center" wrapText="1"/>
    </xf>
    <xf numFmtId="2" fontId="36" fillId="0" borderId="15" xfId="29" applyNumberFormat="1" applyFont="1" applyBorder="1" applyAlignment="1">
      <alignment horizontal="center" vertical="center" wrapText="1"/>
    </xf>
    <xf numFmtId="2" fontId="36" fillId="39" borderId="39" xfId="29" applyNumberFormat="1" applyFont="1" applyFill="1" applyBorder="1" applyAlignment="1">
      <alignment horizontal="center" vertical="center" wrapText="1"/>
    </xf>
    <xf numFmtId="2" fontId="27" fillId="39" borderId="20" xfId="29" applyNumberFormat="1" applyFont="1" applyFill="1" applyBorder="1" applyAlignment="1">
      <alignment horizontal="center" vertical="center" wrapText="1"/>
    </xf>
    <xf numFmtId="0" fontId="37" fillId="46" borderId="22" xfId="28" applyFont="1" applyFill="1" applyBorder="1" applyAlignment="1">
      <alignment vertical="center"/>
    </xf>
    <xf numFmtId="0" fontId="36" fillId="46" borderId="15" xfId="31" applyFont="1" applyFill="1" applyBorder="1" applyAlignment="1">
      <alignment horizontal="center" vertical="center" wrapText="1"/>
    </xf>
    <xf numFmtId="0" fontId="36" fillId="47" borderId="15" xfId="31" applyFont="1" applyFill="1" applyBorder="1" applyAlignment="1">
      <alignment horizontal="center" vertical="center" wrapText="1"/>
    </xf>
    <xf numFmtId="0" fontId="37" fillId="46" borderId="15" xfId="28" applyFont="1" applyFill="1" applyBorder="1" applyAlignment="1">
      <alignment vertical="center"/>
    </xf>
    <xf numFmtId="167" fontId="36" fillId="47" borderId="15" xfId="31" applyNumberFormat="1" applyFont="1" applyFill="1" applyBorder="1" applyAlignment="1">
      <alignment horizontal="center" vertical="center" wrapText="1"/>
    </xf>
    <xf numFmtId="2" fontId="37" fillId="46" borderId="15" xfId="29" applyNumberFormat="1" applyFont="1" applyFill="1" applyBorder="1" applyAlignment="1">
      <alignment horizontal="center" vertical="center"/>
    </xf>
    <xf numFmtId="2" fontId="36" fillId="47" borderId="15" xfId="31" applyNumberFormat="1" applyFont="1" applyFill="1" applyBorder="1" applyAlignment="1">
      <alignment horizontal="center" vertical="center" wrapText="1"/>
    </xf>
    <xf numFmtId="166" fontId="36" fillId="47" borderId="15" xfId="31" applyNumberFormat="1" applyFont="1" applyFill="1" applyBorder="1" applyAlignment="1">
      <alignment horizontal="center" vertical="center" wrapText="1"/>
    </xf>
    <xf numFmtId="2" fontId="37" fillId="46" borderId="15" xfId="68" applyNumberFormat="1" applyFont="1" applyFill="1" applyBorder="1" applyAlignment="1">
      <alignment horizontal="center" vertical="center"/>
    </xf>
    <xf numFmtId="165" fontId="37" fillId="47" borderId="15" xfId="66" applyNumberFormat="1" applyFont="1" applyFill="1" applyBorder="1" applyAlignment="1">
      <alignment horizontal="center" vertical="center" wrapText="1"/>
    </xf>
    <xf numFmtId="0" fontId="37" fillId="46" borderId="15" xfId="31" applyFont="1" applyFill="1" applyBorder="1" applyAlignment="1">
      <alignment horizontal="left" vertical="center"/>
    </xf>
    <xf numFmtId="168" fontId="36" fillId="47" borderId="15" xfId="66" applyNumberFormat="1" applyFont="1" applyFill="1" applyBorder="1" applyAlignment="1">
      <alignment horizontal="center" vertical="center" wrapText="1"/>
    </xf>
    <xf numFmtId="0" fontId="37" fillId="46" borderId="15" xfId="28" applyFont="1" applyFill="1" applyBorder="1" applyAlignment="1">
      <alignment horizontal="left" vertical="center"/>
    </xf>
    <xf numFmtId="0" fontId="37" fillId="46" borderId="15" xfId="28" applyFont="1" applyFill="1" applyBorder="1" applyAlignment="1">
      <alignment horizontal="center" vertical="center"/>
    </xf>
    <xf numFmtId="0" fontId="37" fillId="46" borderId="23" xfId="28" applyFont="1" applyFill="1" applyBorder="1" applyAlignment="1">
      <alignment vertical="center"/>
    </xf>
    <xf numFmtId="0" fontId="37" fillId="46" borderId="0" xfId="28" applyFont="1" applyFill="1" applyAlignment="1">
      <alignment vertical="center"/>
    </xf>
    <xf numFmtId="165" fontId="37" fillId="46" borderId="0" xfId="28" applyNumberFormat="1" applyFont="1" applyFill="1" applyAlignment="1">
      <alignment vertical="center"/>
    </xf>
    <xf numFmtId="0" fontId="37" fillId="0" borderId="22" xfId="28" applyFont="1" applyBorder="1" applyAlignment="1">
      <alignment vertical="center"/>
    </xf>
    <xf numFmtId="0" fontId="36" fillId="0" borderId="15" xfId="31" applyFont="1" applyBorder="1" applyAlignment="1">
      <alignment horizontal="center" vertical="center" wrapText="1"/>
    </xf>
    <xf numFmtId="167" fontId="36" fillId="0" borderId="15" xfId="31" applyNumberFormat="1" applyFont="1" applyBorder="1" applyAlignment="1">
      <alignment horizontal="center" vertical="center" wrapText="1"/>
    </xf>
    <xf numFmtId="2" fontId="37" fillId="0" borderId="15" xfId="29" applyNumberFormat="1" applyFont="1" applyBorder="1" applyAlignment="1">
      <alignment horizontal="center" vertical="center"/>
    </xf>
    <xf numFmtId="2" fontId="36" fillId="0" borderId="15" xfId="31" applyNumberFormat="1" applyFont="1" applyBorder="1" applyAlignment="1">
      <alignment horizontal="center" vertical="center" wrapText="1"/>
    </xf>
    <xf numFmtId="166" fontId="36" fillId="0" borderId="15" xfId="31" applyNumberFormat="1" applyFont="1" applyBorder="1" applyAlignment="1">
      <alignment horizontal="center" vertical="center" wrapText="1"/>
    </xf>
    <xf numFmtId="2" fontId="37" fillId="0" borderId="15" xfId="68" applyNumberFormat="1" applyFont="1" applyBorder="1" applyAlignment="1">
      <alignment horizontal="center" vertical="center"/>
    </xf>
    <xf numFmtId="165" fontId="37" fillId="0" borderId="15" xfId="66" applyNumberFormat="1" applyFont="1" applyFill="1" applyBorder="1" applyAlignment="1">
      <alignment horizontal="center" vertical="center" wrapText="1"/>
    </xf>
    <xf numFmtId="0" fontId="37" fillId="0" borderId="15" xfId="31" applyFont="1" applyBorder="1" applyAlignment="1">
      <alignment horizontal="left" vertical="center"/>
    </xf>
    <xf numFmtId="168" fontId="36" fillId="0" borderId="15" xfId="66" applyNumberFormat="1" applyFont="1" applyFill="1" applyBorder="1" applyAlignment="1">
      <alignment horizontal="center" vertical="center" wrapText="1"/>
    </xf>
    <xf numFmtId="0" fontId="37" fillId="0" borderId="15" xfId="28" applyFont="1" applyBorder="1" applyAlignment="1">
      <alignment horizontal="left" vertical="center"/>
    </xf>
    <xf numFmtId="0" fontId="37" fillId="0" borderId="15" xfId="28" applyFont="1" applyBorder="1" applyAlignment="1">
      <alignment horizontal="center" vertical="center"/>
    </xf>
    <xf numFmtId="0" fontId="37" fillId="0" borderId="23" xfId="28" applyFont="1" applyBorder="1" applyAlignment="1">
      <alignment vertical="center"/>
    </xf>
    <xf numFmtId="0" fontId="37" fillId="0" borderId="0" xfId="28" applyFont="1" applyAlignment="1">
      <alignment vertical="center"/>
    </xf>
    <xf numFmtId="165" fontId="37" fillId="0" borderId="0" xfId="28" applyNumberFormat="1" applyFont="1" applyAlignment="1">
      <alignment vertical="center"/>
    </xf>
    <xf numFmtId="0" fontId="36" fillId="0" borderId="15" xfId="28" applyFont="1" applyBorder="1" applyAlignment="1">
      <alignment vertical="center"/>
    </xf>
    <xf numFmtId="0" fontId="37" fillId="0" borderId="42" xfId="28" applyFont="1" applyBorder="1" applyAlignment="1">
      <alignment vertical="center"/>
    </xf>
    <xf numFmtId="0" fontId="37" fillId="24" borderId="42" xfId="28" applyFont="1" applyFill="1" applyBorder="1" applyAlignment="1">
      <alignment vertical="center"/>
    </xf>
    <xf numFmtId="0" fontId="36" fillId="0" borderId="18" xfId="31" applyFont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/>
    </xf>
    <xf numFmtId="0" fontId="37" fillId="46" borderId="16" xfId="28" applyFont="1" applyFill="1" applyBorder="1" applyAlignment="1">
      <alignment vertical="center"/>
    </xf>
    <xf numFmtId="0" fontId="36" fillId="47" borderId="16" xfId="31" applyFont="1" applyFill="1" applyBorder="1" applyAlignment="1">
      <alignment horizontal="center" vertical="center" wrapText="1"/>
    </xf>
    <xf numFmtId="0" fontId="37" fillId="35" borderId="13" xfId="31" applyFont="1" applyFill="1" applyBorder="1" applyAlignment="1">
      <alignment horizontal="center" vertical="center" wrapText="1"/>
    </xf>
    <xf numFmtId="0" fontId="37" fillId="24" borderId="13" xfId="31" applyFont="1" applyFill="1" applyBorder="1" applyAlignment="1">
      <alignment horizontal="center" vertical="center"/>
    </xf>
    <xf numFmtId="0" fontId="36" fillId="0" borderId="19" xfId="28" applyFont="1" applyBorder="1" applyAlignment="1">
      <alignment vertical="center"/>
    </xf>
    <xf numFmtId="0" fontId="36" fillId="0" borderId="20" xfId="28" applyFont="1" applyBorder="1" applyAlignment="1">
      <alignment vertical="center"/>
    </xf>
    <xf numFmtId="0" fontId="36" fillId="0" borderId="21" xfId="31" applyFont="1" applyBorder="1" applyAlignment="1">
      <alignment horizontal="center" vertical="center" wrapText="1"/>
    </xf>
    <xf numFmtId="0" fontId="36" fillId="0" borderId="22" xfId="28" applyFont="1" applyBorder="1" applyAlignment="1">
      <alignment vertical="center"/>
    </xf>
    <xf numFmtId="1" fontId="36" fillId="0" borderId="23" xfId="31" applyNumberFormat="1" applyFont="1" applyBorder="1" applyAlignment="1">
      <alignment horizontal="center" vertical="center" wrapText="1"/>
    </xf>
    <xf numFmtId="0" fontId="37" fillId="24" borderId="24" xfId="28" applyFont="1" applyFill="1" applyBorder="1" applyAlignment="1">
      <alignment vertical="center"/>
    </xf>
    <xf numFmtId="0" fontId="37" fillId="24" borderId="25" xfId="28" applyFont="1" applyFill="1" applyBorder="1" applyAlignment="1">
      <alignment vertical="center"/>
    </xf>
    <xf numFmtId="0" fontId="36" fillId="26" borderId="25" xfId="28" applyFont="1" applyFill="1" applyBorder="1" applyAlignment="1">
      <alignment vertical="center"/>
    </xf>
    <xf numFmtId="1" fontId="36" fillId="26" borderId="26" xfId="28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37" fillId="38" borderId="27" xfId="28" applyFont="1" applyFill="1" applyBorder="1" applyAlignment="1">
      <alignment vertical="center"/>
    </xf>
    <xf numFmtId="0" fontId="37" fillId="35" borderId="16" xfId="31" applyFont="1" applyFill="1" applyBorder="1" applyAlignment="1">
      <alignment horizontal="center" vertical="center" wrapText="1"/>
    </xf>
    <xf numFmtId="2" fontId="37" fillId="35" borderId="16" xfId="31" applyNumberFormat="1" applyFont="1" applyFill="1" applyBorder="1" applyAlignment="1">
      <alignment horizontal="center" vertical="center" wrapText="1"/>
    </xf>
    <xf numFmtId="0" fontId="37" fillId="24" borderId="16" xfId="31" applyFont="1" applyFill="1" applyBorder="1" applyAlignment="1">
      <alignment horizontal="center" vertical="center"/>
    </xf>
    <xf numFmtId="167" fontId="37" fillId="35" borderId="16" xfId="31" applyNumberFormat="1" applyFont="1" applyFill="1" applyBorder="1" applyAlignment="1">
      <alignment horizontal="center" vertical="center" wrapText="1"/>
    </xf>
    <xf numFmtId="168" fontId="37" fillId="35" borderId="16" xfId="31" applyNumberFormat="1" applyFont="1" applyFill="1" applyBorder="1" applyAlignment="1">
      <alignment horizontal="center" vertical="center" wrapText="1"/>
    </xf>
    <xf numFmtId="2" fontId="37" fillId="24" borderId="16" xfId="29" applyNumberFormat="1" applyFont="1" applyFill="1" applyBorder="1" applyAlignment="1">
      <alignment horizontal="center" vertical="center"/>
    </xf>
    <xf numFmtId="166" fontId="37" fillId="35" borderId="16" xfId="31" applyNumberFormat="1" applyFont="1" applyFill="1" applyBorder="1" applyAlignment="1">
      <alignment horizontal="center" vertical="center" wrapText="1"/>
    </xf>
    <xf numFmtId="2" fontId="28" fillId="41" borderId="16" xfId="31" applyNumberFormat="1" applyFont="1" applyFill="1" applyBorder="1" applyAlignment="1">
      <alignment horizontal="center" vertical="center" wrapText="1"/>
    </xf>
    <xf numFmtId="168" fontId="31" fillId="33" borderId="16" xfId="66" applyNumberFormat="1" applyFont="1" applyFill="1" applyBorder="1" applyAlignment="1">
      <alignment horizontal="center" vertical="center" wrapText="1"/>
    </xf>
    <xf numFmtId="2" fontId="37" fillId="24" borderId="16" xfId="68" applyNumberFormat="1" applyFont="1" applyFill="1" applyBorder="1" applyAlignment="1">
      <alignment horizontal="center" vertical="center"/>
    </xf>
    <xf numFmtId="169" fontId="37" fillId="35" borderId="16" xfId="31" applyNumberFormat="1" applyFont="1" applyFill="1" applyBorder="1" applyAlignment="1">
      <alignment horizontal="center" vertical="center" wrapText="1"/>
    </xf>
    <xf numFmtId="165" fontId="37" fillId="35" borderId="16" xfId="66" applyNumberFormat="1" applyFont="1" applyFill="1" applyBorder="1" applyAlignment="1">
      <alignment horizontal="center" vertical="center" wrapText="1"/>
    </xf>
    <xf numFmtId="0" fontId="37" fillId="24" borderId="16" xfId="31" applyFont="1" applyFill="1" applyBorder="1" applyAlignment="1">
      <alignment horizontal="left" vertical="center"/>
    </xf>
    <xf numFmtId="168" fontId="37" fillId="38" borderId="16" xfId="66" applyNumberFormat="1" applyFont="1" applyFill="1" applyBorder="1" applyAlignment="1">
      <alignment vertical="center"/>
    </xf>
    <xf numFmtId="168" fontId="37" fillId="24" borderId="16" xfId="66" applyNumberFormat="1" applyFont="1" applyFill="1" applyBorder="1" applyAlignment="1">
      <alignment vertical="center"/>
    </xf>
    <xf numFmtId="168" fontId="37" fillId="24" borderId="16" xfId="28" applyNumberFormat="1" applyFont="1" applyFill="1" applyBorder="1" applyAlignment="1">
      <alignment vertical="center"/>
    </xf>
    <xf numFmtId="168" fontId="36" fillId="38" borderId="16" xfId="66" applyNumberFormat="1" applyFont="1" applyFill="1" applyBorder="1" applyAlignment="1">
      <alignment vertical="center"/>
    </xf>
    <xf numFmtId="0" fontId="37" fillId="24" borderId="16" xfId="28" applyFont="1" applyFill="1" applyBorder="1" applyAlignment="1">
      <alignment horizontal="left" vertical="center" wrapText="1"/>
    </xf>
    <xf numFmtId="17" fontId="37" fillId="24" borderId="16" xfId="28" applyNumberFormat="1" applyFont="1" applyFill="1" applyBorder="1" applyAlignment="1">
      <alignment horizontal="left" vertical="center"/>
    </xf>
    <xf numFmtId="0" fontId="37" fillId="24" borderId="16" xfId="28" applyFont="1" applyFill="1" applyBorder="1" applyAlignment="1">
      <alignment horizontal="center" vertical="center"/>
    </xf>
    <xf numFmtId="0" fontId="37" fillId="24" borderId="28" xfId="28" applyFont="1" applyFill="1" applyBorder="1" applyAlignment="1">
      <alignment vertical="center"/>
    </xf>
    <xf numFmtId="168" fontId="31" fillId="25" borderId="16" xfId="28" applyNumberFormat="1" applyFont="1" applyFill="1" applyBorder="1" applyAlignment="1">
      <alignment vertical="center"/>
    </xf>
    <xf numFmtId="168" fontId="0" fillId="0" borderId="16" xfId="0" applyNumberFormat="1" applyBorder="1"/>
    <xf numFmtId="165" fontId="31" fillId="25" borderId="16" xfId="66" applyNumberFormat="1" applyFont="1" applyFill="1" applyBorder="1" applyAlignment="1">
      <alignment vertical="center"/>
    </xf>
    <xf numFmtId="0" fontId="37" fillId="38" borderId="15" xfId="28" applyFont="1" applyFill="1" applyBorder="1" applyAlignment="1">
      <alignment vertical="center"/>
    </xf>
    <xf numFmtId="0" fontId="0" fillId="0" borderId="15" xfId="0" applyBorder="1"/>
    <xf numFmtId="0" fontId="36" fillId="0" borderId="42" xfId="31" applyFont="1" applyBorder="1" applyAlignment="1">
      <alignment horizontal="center" vertical="center" wrapText="1"/>
    </xf>
    <xf numFmtId="0" fontId="40" fillId="24" borderId="15" xfId="28" applyFont="1" applyFill="1" applyBorder="1" applyAlignment="1">
      <alignment vertical="center"/>
    </xf>
    <xf numFmtId="2" fontId="33" fillId="36" borderId="16" xfId="31" applyNumberFormat="1" applyFont="1" applyFill="1" applyBorder="1" applyAlignment="1">
      <alignment horizontal="center" vertical="center" wrapText="1"/>
    </xf>
    <xf numFmtId="17" fontId="40" fillId="24" borderId="16" xfId="28" applyNumberFormat="1" applyFont="1" applyFill="1" applyBorder="1" applyAlignment="1">
      <alignment horizontal="left" vertical="center"/>
    </xf>
    <xf numFmtId="0" fontId="40" fillId="24" borderId="16" xfId="28" applyFont="1" applyFill="1" applyBorder="1" applyAlignment="1">
      <alignment horizontal="center" vertical="center"/>
    </xf>
    <xf numFmtId="0" fontId="40" fillId="24" borderId="28" xfId="28" applyFont="1" applyFill="1" applyBorder="1" applyAlignment="1">
      <alignment vertical="center"/>
    </xf>
    <xf numFmtId="2" fontId="0" fillId="0" borderId="0" xfId="0" applyNumberFormat="1" applyAlignment="1">
      <alignment wrapText="1"/>
    </xf>
    <xf numFmtId="0" fontId="37" fillId="0" borderId="15" xfId="31" applyFont="1" applyBorder="1" applyAlignment="1">
      <alignment horizontal="left" vertical="center" wrapText="1"/>
    </xf>
    <xf numFmtId="168" fontId="37" fillId="44" borderId="15" xfId="66" applyNumberFormat="1" applyFont="1" applyFill="1" applyBorder="1" applyAlignment="1">
      <alignment horizontal="center" vertical="center" wrapText="1"/>
    </xf>
    <xf numFmtId="0" fontId="37" fillId="35" borderId="15" xfId="66" applyNumberFormat="1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left" wrapText="1"/>
    </xf>
    <xf numFmtId="168" fontId="37" fillId="44" borderId="47" xfId="85" applyNumberFormat="1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wrapText="1"/>
    </xf>
    <xf numFmtId="0" fontId="37" fillId="35" borderId="47" xfId="31" applyFont="1" applyFill="1" applyBorder="1" applyAlignment="1">
      <alignment horizontal="center" vertical="center" wrapText="1"/>
    </xf>
    <xf numFmtId="2" fontId="37" fillId="35" borderId="47" xfId="31" applyNumberFormat="1" applyFont="1" applyFill="1" applyBorder="1" applyAlignment="1">
      <alignment horizontal="center" vertical="center" wrapText="1"/>
    </xf>
    <xf numFmtId="0" fontId="37" fillId="24" borderId="47" xfId="31" applyFont="1" applyFill="1" applyBorder="1" applyAlignment="1">
      <alignment horizontal="center" vertical="center"/>
    </xf>
    <xf numFmtId="167" fontId="37" fillId="35" borderId="47" xfId="31" applyNumberFormat="1" applyFont="1" applyFill="1" applyBorder="1" applyAlignment="1">
      <alignment horizontal="center" vertical="center" wrapText="1"/>
    </xf>
    <xf numFmtId="168" fontId="37" fillId="35" borderId="47" xfId="31" applyNumberFormat="1" applyFont="1" applyFill="1" applyBorder="1" applyAlignment="1">
      <alignment horizontal="center" vertical="center" wrapText="1"/>
    </xf>
    <xf numFmtId="2" fontId="37" fillId="24" borderId="47" xfId="29" applyNumberFormat="1" applyFont="1" applyFill="1" applyBorder="1" applyAlignment="1">
      <alignment horizontal="center" vertical="center"/>
    </xf>
    <xf numFmtId="2" fontId="37" fillId="24" borderId="47" xfId="68" applyNumberFormat="1" applyFont="1" applyFill="1" applyBorder="1" applyAlignment="1">
      <alignment horizontal="center" vertical="center"/>
    </xf>
    <xf numFmtId="169" fontId="37" fillId="35" borderId="47" xfId="31" applyNumberFormat="1" applyFont="1" applyFill="1" applyBorder="1" applyAlignment="1">
      <alignment horizontal="center" vertical="center" wrapText="1"/>
    </xf>
    <xf numFmtId="165" fontId="37" fillId="35" borderId="47" xfId="66" applyNumberFormat="1" applyFont="1" applyFill="1" applyBorder="1" applyAlignment="1">
      <alignment horizontal="center" vertical="center" wrapText="1"/>
    </xf>
    <xf numFmtId="0" fontId="37" fillId="24" borderId="47" xfId="31" applyFont="1" applyFill="1" applyBorder="1" applyAlignment="1">
      <alignment horizontal="left" vertical="center"/>
    </xf>
    <xf numFmtId="168" fontId="37" fillId="38" borderId="47" xfId="66" applyNumberFormat="1" applyFont="1" applyFill="1" applyBorder="1" applyAlignment="1">
      <alignment vertical="center"/>
    </xf>
    <xf numFmtId="168" fontId="37" fillId="24" borderId="47" xfId="66" applyNumberFormat="1" applyFont="1" applyFill="1" applyBorder="1" applyAlignment="1">
      <alignment vertical="center"/>
    </xf>
    <xf numFmtId="168" fontId="37" fillId="24" borderId="47" xfId="28" applyNumberFormat="1" applyFont="1" applyFill="1" applyBorder="1" applyAlignment="1">
      <alignment vertical="center"/>
    </xf>
    <xf numFmtId="168" fontId="36" fillId="38" borderId="47" xfId="66" applyNumberFormat="1" applyFont="1" applyFill="1" applyBorder="1" applyAlignment="1">
      <alignment vertical="center"/>
    </xf>
    <xf numFmtId="168" fontId="31" fillId="25" borderId="47" xfId="28" applyNumberFormat="1" applyFont="1" applyFill="1" applyBorder="1" applyAlignment="1">
      <alignment vertical="center"/>
    </xf>
    <xf numFmtId="168" fontId="0" fillId="0" borderId="47" xfId="0" applyNumberFormat="1" applyBorder="1"/>
    <xf numFmtId="165" fontId="31" fillId="25" borderId="47" xfId="66" applyNumberFormat="1" applyFont="1" applyFill="1" applyBorder="1" applyAlignment="1">
      <alignment vertical="center"/>
    </xf>
    <xf numFmtId="168" fontId="36" fillId="0" borderId="15" xfId="31" applyNumberFormat="1" applyFont="1" applyBorder="1" applyAlignment="1">
      <alignment horizontal="center" vertical="center" wrapText="1"/>
    </xf>
    <xf numFmtId="0" fontId="37" fillId="0" borderId="47" xfId="31" applyFont="1" applyBorder="1" applyAlignment="1">
      <alignment horizontal="center" vertical="center" wrapText="1"/>
    </xf>
    <xf numFmtId="0" fontId="36" fillId="25" borderId="36" xfId="29" applyFont="1" applyFill="1" applyBorder="1" applyAlignment="1">
      <alignment horizontal="center" vertical="center"/>
    </xf>
    <xf numFmtId="0" fontId="37" fillId="0" borderId="49" xfId="31" applyFont="1" applyBorder="1" applyAlignment="1">
      <alignment horizontal="center" vertical="center" wrapText="1"/>
    </xf>
    <xf numFmtId="0" fontId="28" fillId="0" borderId="49" xfId="31" applyFon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37" fillId="0" borderId="49" xfId="31" applyFont="1" applyBorder="1" applyAlignment="1">
      <alignment vertical="center" wrapText="1"/>
    </xf>
    <xf numFmtId="0" fontId="0" fillId="0" borderId="49" xfId="0" applyBorder="1" applyAlignment="1">
      <alignment wrapText="1"/>
    </xf>
    <xf numFmtId="0" fontId="33" fillId="0" borderId="49" xfId="31" applyFont="1" applyBorder="1" applyAlignment="1">
      <alignment horizontal="left" vertical="center" wrapText="1"/>
    </xf>
    <xf numFmtId="0" fontId="33" fillId="0" borderId="50" xfId="31" applyFont="1" applyBorder="1" applyAlignment="1">
      <alignment horizontal="center" vertical="center" wrapText="1"/>
    </xf>
    <xf numFmtId="0" fontId="33" fillId="0" borderId="49" xfId="31" applyFont="1" applyBorder="1" applyAlignment="1">
      <alignment horizontal="center" vertical="center" wrapText="1"/>
    </xf>
    <xf numFmtId="0" fontId="28" fillId="0" borderId="50" xfId="31" applyFont="1" applyBorder="1" applyAlignment="1">
      <alignment horizontal="center" vertical="center" wrapText="1"/>
    </xf>
    <xf numFmtId="0" fontId="37" fillId="38" borderId="49" xfId="28" applyFont="1" applyFill="1" applyBorder="1" applyAlignment="1">
      <alignment vertical="center" wrapText="1"/>
    </xf>
    <xf numFmtId="0" fontId="28" fillId="0" borderId="50" xfId="31" applyFont="1" applyBorder="1" applyAlignment="1">
      <alignment vertical="center" wrapText="1"/>
    </xf>
    <xf numFmtId="0" fontId="0" fillId="0" borderId="49" xfId="0" applyBorder="1"/>
    <xf numFmtId="0" fontId="36" fillId="25" borderId="38" xfId="29" applyFont="1" applyFill="1" applyBorder="1" applyAlignment="1">
      <alignment horizontal="center" vertical="center" wrapText="1"/>
    </xf>
    <xf numFmtId="0" fontId="37" fillId="35" borderId="52" xfId="31" applyFont="1" applyFill="1" applyBorder="1" applyAlignment="1">
      <alignment horizontal="center" vertical="center" wrapText="1"/>
    </xf>
    <xf numFmtId="0" fontId="37" fillId="35" borderId="51" xfId="31" applyFont="1" applyFill="1" applyBorder="1" applyAlignment="1">
      <alignment horizontal="center" vertical="center" wrapText="1"/>
    </xf>
    <xf numFmtId="0" fontId="37" fillId="35" borderId="32" xfId="31" applyFont="1" applyFill="1" applyBorder="1" applyAlignment="1">
      <alignment horizontal="center" vertical="center" wrapText="1"/>
    </xf>
    <xf numFmtId="0" fontId="36" fillId="24" borderId="47" xfId="29" applyFont="1" applyFill="1" applyBorder="1" applyAlignment="1">
      <alignment vertical="center"/>
    </xf>
    <xf numFmtId="0" fontId="36" fillId="25" borderId="47" xfId="29" applyFont="1" applyFill="1" applyBorder="1" applyAlignment="1">
      <alignment horizontal="center" vertical="center"/>
    </xf>
    <xf numFmtId="0" fontId="36" fillId="25" borderId="47" xfId="29" applyFont="1" applyFill="1" applyBorder="1" applyAlignment="1">
      <alignment horizontal="center" vertical="center" wrapText="1"/>
    </xf>
    <xf numFmtId="0" fontId="37" fillId="40" borderId="47" xfId="31" applyFont="1" applyFill="1" applyBorder="1" applyAlignment="1">
      <alignment horizontal="center" vertical="center" wrapText="1"/>
    </xf>
    <xf numFmtId="0" fontId="37" fillId="0" borderId="47" xfId="31" quotePrefix="1" applyFont="1" applyBorder="1" applyAlignment="1">
      <alignment horizontal="center" vertical="center" wrapText="1"/>
    </xf>
    <xf numFmtId="0" fontId="37" fillId="42" borderId="47" xfId="31" applyFont="1" applyFill="1" applyBorder="1" applyAlignment="1">
      <alignment horizontal="center" vertical="center" wrapText="1"/>
    </xf>
    <xf numFmtId="0" fontId="0" fillId="0" borderId="47" xfId="0" applyBorder="1" applyAlignment="1">
      <alignment wrapText="1"/>
    </xf>
    <xf numFmtId="0" fontId="37" fillId="44" borderId="47" xfId="31" applyFont="1" applyFill="1" applyBorder="1" applyAlignment="1">
      <alignment horizontal="center" vertical="center" wrapText="1"/>
    </xf>
    <xf numFmtId="0" fontId="38" fillId="40" borderId="47" xfId="31" applyFont="1" applyFill="1" applyBorder="1" applyAlignment="1">
      <alignment horizontal="center" vertical="center" wrapText="1"/>
    </xf>
    <xf numFmtId="0" fontId="37" fillId="38" borderId="53" xfId="28" applyFont="1" applyFill="1" applyBorder="1" applyAlignment="1">
      <alignment vertical="center"/>
    </xf>
    <xf numFmtId="0" fontId="37" fillId="0" borderId="48" xfId="31" applyFont="1" applyBorder="1" applyAlignment="1">
      <alignment horizontal="center" vertical="center" wrapText="1"/>
    </xf>
    <xf numFmtId="0" fontId="37" fillId="35" borderId="48" xfId="31" applyFont="1" applyFill="1" applyBorder="1" applyAlignment="1">
      <alignment horizontal="center" vertical="center" wrapText="1"/>
    </xf>
    <xf numFmtId="2" fontId="37" fillId="35" borderId="48" xfId="31" applyNumberFormat="1" applyFont="1" applyFill="1" applyBorder="1" applyAlignment="1">
      <alignment horizontal="center" vertical="center" wrapText="1"/>
    </xf>
    <xf numFmtId="0" fontId="37" fillId="24" borderId="48" xfId="31" applyFont="1" applyFill="1" applyBorder="1" applyAlignment="1">
      <alignment horizontal="center" vertical="center"/>
    </xf>
    <xf numFmtId="167" fontId="37" fillId="35" borderId="48" xfId="31" applyNumberFormat="1" applyFont="1" applyFill="1" applyBorder="1" applyAlignment="1">
      <alignment horizontal="center" vertical="center" wrapText="1"/>
    </xf>
    <xf numFmtId="168" fontId="37" fillId="35" borderId="48" xfId="31" applyNumberFormat="1" applyFont="1" applyFill="1" applyBorder="1" applyAlignment="1">
      <alignment horizontal="center" vertical="center" wrapText="1"/>
    </xf>
    <xf numFmtId="2" fontId="37" fillId="24" borderId="48" xfId="29" applyNumberFormat="1" applyFont="1" applyFill="1" applyBorder="1" applyAlignment="1">
      <alignment horizontal="center" vertical="center"/>
    </xf>
    <xf numFmtId="0" fontId="28" fillId="0" borderId="48" xfId="31" applyFont="1" applyBorder="1" applyAlignment="1">
      <alignment horizontal="center" vertical="center" wrapText="1"/>
    </xf>
    <xf numFmtId="2" fontId="33" fillId="36" borderId="48" xfId="31" applyNumberFormat="1" applyFont="1" applyFill="1" applyBorder="1" applyAlignment="1">
      <alignment horizontal="center" vertical="center" wrapText="1"/>
    </xf>
    <xf numFmtId="166" fontId="37" fillId="35" borderId="48" xfId="31" applyNumberFormat="1" applyFont="1" applyFill="1" applyBorder="1" applyAlignment="1">
      <alignment horizontal="center" vertical="center" wrapText="1"/>
    </xf>
    <xf numFmtId="168" fontId="31" fillId="33" borderId="48" xfId="66" applyNumberFormat="1" applyFont="1" applyFill="1" applyBorder="1" applyAlignment="1">
      <alignment horizontal="center" vertical="center" wrapText="1"/>
    </xf>
    <xf numFmtId="2" fontId="37" fillId="24" borderId="48" xfId="68" applyNumberFormat="1" applyFont="1" applyFill="1" applyBorder="1" applyAlignment="1">
      <alignment horizontal="center" vertical="center"/>
    </xf>
    <xf numFmtId="169" fontId="37" fillId="35" borderId="48" xfId="31" applyNumberFormat="1" applyFont="1" applyFill="1" applyBorder="1" applyAlignment="1">
      <alignment horizontal="center" vertical="center" wrapText="1"/>
    </xf>
    <xf numFmtId="165" fontId="37" fillId="35" borderId="48" xfId="66" applyNumberFormat="1" applyFont="1" applyFill="1" applyBorder="1" applyAlignment="1">
      <alignment horizontal="center" vertical="center" wrapText="1"/>
    </xf>
    <xf numFmtId="0" fontId="37" fillId="24" borderId="48" xfId="31" applyFont="1" applyFill="1" applyBorder="1" applyAlignment="1">
      <alignment horizontal="left" vertical="center"/>
    </xf>
    <xf numFmtId="168" fontId="37" fillId="38" borderId="48" xfId="66" applyNumberFormat="1" applyFont="1" applyFill="1" applyBorder="1" applyAlignment="1">
      <alignment vertical="center"/>
    </xf>
    <xf numFmtId="168" fontId="37" fillId="24" borderId="48" xfId="66" applyNumberFormat="1" applyFont="1" applyFill="1" applyBorder="1" applyAlignment="1">
      <alignment vertical="center"/>
    </xf>
    <xf numFmtId="168" fontId="37" fillId="24" borderId="48" xfId="28" applyNumberFormat="1" applyFont="1" applyFill="1" applyBorder="1" applyAlignment="1">
      <alignment vertical="center"/>
    </xf>
    <xf numFmtId="168" fontId="36" fillId="38" borderId="48" xfId="66" applyNumberFormat="1" applyFont="1" applyFill="1" applyBorder="1" applyAlignment="1">
      <alignment vertical="center"/>
    </xf>
    <xf numFmtId="0" fontId="40" fillId="24" borderId="48" xfId="28" applyFont="1" applyFill="1" applyBorder="1" applyAlignment="1">
      <alignment horizontal="left" vertical="center"/>
    </xf>
    <xf numFmtId="17" fontId="40" fillId="24" borderId="48" xfId="28" applyNumberFormat="1" applyFont="1" applyFill="1" applyBorder="1" applyAlignment="1">
      <alignment horizontal="left" vertical="center"/>
    </xf>
    <xf numFmtId="0" fontId="40" fillId="24" borderId="48" xfId="28" applyFont="1" applyFill="1" applyBorder="1" applyAlignment="1">
      <alignment horizontal="center" vertical="center"/>
    </xf>
    <xf numFmtId="0" fontId="40" fillId="24" borderId="54" xfId="28" applyFont="1" applyFill="1" applyBorder="1" applyAlignment="1">
      <alignment vertical="center"/>
    </xf>
    <xf numFmtId="168" fontId="31" fillId="25" borderId="48" xfId="28" applyNumberFormat="1" applyFont="1" applyFill="1" applyBorder="1" applyAlignment="1">
      <alignment vertical="center"/>
    </xf>
    <xf numFmtId="168" fontId="0" fillId="0" borderId="48" xfId="0" applyNumberFormat="1" applyBorder="1"/>
    <xf numFmtId="165" fontId="31" fillId="25" borderId="48" xfId="66" applyNumberFormat="1" applyFont="1" applyFill="1" applyBorder="1" applyAlignment="1">
      <alignment vertical="center"/>
    </xf>
    <xf numFmtId="0" fontId="37" fillId="24" borderId="47" xfId="28" applyFont="1" applyFill="1" applyBorder="1" applyAlignment="1">
      <alignment vertical="center"/>
    </xf>
    <xf numFmtId="0" fontId="21" fillId="0" borderId="47" xfId="0" applyFont="1" applyBorder="1" applyAlignment="1">
      <alignment horizontal="left" wrapText="1"/>
    </xf>
    <xf numFmtId="2" fontId="28" fillId="41" borderId="47" xfId="31" applyNumberFormat="1" applyFont="1" applyFill="1" applyBorder="1" applyAlignment="1">
      <alignment horizontal="center" vertical="center" wrapText="1"/>
    </xf>
    <xf numFmtId="166" fontId="37" fillId="35" borderId="47" xfId="31" applyNumberFormat="1" applyFont="1" applyFill="1" applyBorder="1" applyAlignment="1">
      <alignment horizontal="center" vertical="center" wrapText="1"/>
    </xf>
    <xf numFmtId="0" fontId="37" fillId="35" borderId="47" xfId="66" applyNumberFormat="1" applyFont="1" applyFill="1" applyBorder="1" applyAlignment="1">
      <alignment horizontal="center" vertical="center" wrapText="1"/>
    </xf>
    <xf numFmtId="0" fontId="28" fillId="24" borderId="47" xfId="28" applyFont="1" applyFill="1" applyBorder="1" applyAlignment="1">
      <alignment horizontal="left" vertical="center"/>
    </xf>
    <xf numFmtId="17" fontId="28" fillId="24" borderId="47" xfId="28" applyNumberFormat="1" applyFont="1" applyFill="1" applyBorder="1" applyAlignment="1">
      <alignment horizontal="left" vertical="center"/>
    </xf>
    <xf numFmtId="0" fontId="28" fillId="24" borderId="47" xfId="28" applyFont="1" applyFill="1" applyBorder="1" applyAlignment="1">
      <alignment horizontal="center" vertical="center"/>
    </xf>
    <xf numFmtId="0" fontId="28" fillId="24" borderId="47" xfId="28" applyFont="1" applyFill="1" applyBorder="1" applyAlignment="1">
      <alignment vertical="center"/>
    </xf>
    <xf numFmtId="0" fontId="37" fillId="38" borderId="47" xfId="28" applyFont="1" applyFill="1" applyBorder="1" applyAlignment="1">
      <alignment vertical="center"/>
    </xf>
    <xf numFmtId="0" fontId="31" fillId="28" borderId="12" xfId="28" applyFont="1" applyFill="1" applyBorder="1" applyAlignment="1">
      <alignment horizontal="center" vertical="center"/>
    </xf>
    <xf numFmtId="0" fontId="32" fillId="30" borderId="40" xfId="29" applyFont="1" applyFill="1" applyBorder="1" applyAlignment="1">
      <alignment horizontal="center" vertical="center" wrapText="1"/>
    </xf>
    <xf numFmtId="0" fontId="32" fillId="30" borderId="29" xfId="29" applyFont="1" applyFill="1" applyBorder="1" applyAlignment="1">
      <alignment horizontal="center" vertical="center" wrapText="1"/>
    </xf>
    <xf numFmtId="0" fontId="27" fillId="34" borderId="12" xfId="29" applyFont="1" applyFill="1" applyBorder="1" applyAlignment="1">
      <alignment horizontal="center" vertical="center"/>
    </xf>
    <xf numFmtId="2" fontId="32" fillId="31" borderId="12" xfId="29" applyNumberFormat="1" applyFont="1" applyFill="1" applyBorder="1" applyAlignment="1">
      <alignment horizontal="center" vertical="center"/>
    </xf>
    <xf numFmtId="166" fontId="32" fillId="31" borderId="12" xfId="29" applyNumberFormat="1" applyFont="1" applyFill="1" applyBorder="1" applyAlignment="1">
      <alignment horizontal="center" vertical="center"/>
    </xf>
    <xf numFmtId="2" fontId="32" fillId="27" borderId="12" xfId="29" applyNumberFormat="1" applyFont="1" applyFill="1" applyBorder="1" applyAlignment="1">
      <alignment horizontal="center" vertical="center"/>
    </xf>
    <xf numFmtId="165" fontId="32" fillId="27" borderId="12" xfId="66" applyNumberFormat="1" applyFont="1" applyFill="1" applyBorder="1" applyAlignment="1">
      <alignment horizontal="center" vertical="center"/>
    </xf>
    <xf numFmtId="2" fontId="32" fillId="32" borderId="40" xfId="29" applyNumberFormat="1" applyFont="1" applyFill="1" applyBorder="1" applyAlignment="1">
      <alignment horizontal="center" vertical="center"/>
    </xf>
    <xf numFmtId="2" fontId="32" fillId="32" borderId="41" xfId="29" applyNumberFormat="1" applyFont="1" applyFill="1" applyBorder="1" applyAlignment="1">
      <alignment horizontal="center" vertical="center"/>
    </xf>
    <xf numFmtId="2" fontId="32" fillId="32" borderId="29" xfId="29" applyNumberFormat="1" applyFont="1" applyFill="1" applyBorder="1" applyAlignment="1">
      <alignment horizontal="center" vertical="center"/>
    </xf>
    <xf numFmtId="0" fontId="32" fillId="27" borderId="12" xfId="28" applyFont="1" applyFill="1" applyBorder="1" applyAlignment="1">
      <alignment horizontal="center" vertical="center"/>
    </xf>
    <xf numFmtId="2" fontId="43" fillId="24" borderId="13" xfId="29" applyNumberFormat="1" applyFont="1" applyFill="1" applyBorder="1" applyAlignment="1">
      <alignment horizontal="left" vertical="center" wrapText="1"/>
    </xf>
    <xf numFmtId="0" fontId="36" fillId="45" borderId="14" xfId="29" applyFont="1" applyFill="1" applyBorder="1" applyAlignment="1">
      <alignment horizontal="right" vertical="center" wrapText="1"/>
    </xf>
    <xf numFmtId="0" fontId="36" fillId="45" borderId="15" xfId="29" applyFont="1" applyFill="1" applyBorder="1" applyAlignment="1">
      <alignment horizontal="right" vertical="center" wrapText="1"/>
    </xf>
    <xf numFmtId="2" fontId="43" fillId="24" borderId="30" xfId="29" applyNumberFormat="1" applyFont="1" applyFill="1" applyBorder="1" applyAlignment="1">
      <alignment horizontal="center" vertical="center" wrapText="1"/>
    </xf>
    <xf numFmtId="2" fontId="43" fillId="24" borderId="31" xfId="29" applyNumberFormat="1" applyFont="1" applyFill="1" applyBorder="1" applyAlignment="1">
      <alignment horizontal="center" vertical="center" wrapText="1"/>
    </xf>
    <xf numFmtId="2" fontId="43" fillId="24" borderId="32" xfId="29" applyNumberFormat="1" applyFont="1" applyFill="1" applyBorder="1" applyAlignment="1">
      <alignment horizontal="center" vertical="center" wrapText="1"/>
    </xf>
    <xf numFmtId="0" fontId="37" fillId="24" borderId="16" xfId="28" applyFont="1" applyFill="1" applyBorder="1" applyAlignment="1">
      <alignment horizontal="center" vertical="center" wrapText="1"/>
    </xf>
    <xf numFmtId="0" fontId="37" fillId="24" borderId="17" xfId="28" applyFont="1" applyFill="1" applyBorder="1" applyAlignment="1">
      <alignment horizontal="center" vertical="center" wrapText="1"/>
    </xf>
    <xf numFmtId="0" fontId="37" fillId="24" borderId="13" xfId="28" applyFont="1" applyFill="1" applyBorder="1" applyAlignment="1">
      <alignment horizontal="center" vertical="center" wrapText="1"/>
    </xf>
    <xf numFmtId="2" fontId="43" fillId="24" borderId="36" xfId="29" applyNumberFormat="1" applyFont="1" applyFill="1" applyBorder="1" applyAlignment="1">
      <alignment horizontal="center" vertical="center" wrapText="1"/>
    </xf>
    <xf numFmtId="2" fontId="43" fillId="24" borderId="37" xfId="29" applyNumberFormat="1" applyFont="1" applyFill="1" applyBorder="1" applyAlignment="1">
      <alignment horizontal="center" vertical="center" wrapText="1"/>
    </xf>
    <xf numFmtId="2" fontId="43" fillId="24" borderId="38" xfId="29" applyNumberFormat="1" applyFont="1" applyFill="1" applyBorder="1" applyAlignment="1">
      <alignment horizontal="center" vertical="center" wrapText="1"/>
    </xf>
    <xf numFmtId="0" fontId="37" fillId="24" borderId="12" xfId="28" applyFont="1" applyFill="1" applyBorder="1" applyAlignment="1">
      <alignment horizontal="right" vertical="center" wrapText="1"/>
    </xf>
    <xf numFmtId="0" fontId="37" fillId="24" borderId="13" xfId="28" applyFont="1" applyFill="1" applyBorder="1" applyAlignment="1">
      <alignment horizontal="right" vertical="center" wrapText="1"/>
    </xf>
    <xf numFmtId="0" fontId="32" fillId="30" borderId="47" xfId="29" applyFont="1" applyFill="1" applyBorder="1" applyAlignment="1">
      <alignment horizontal="center" vertical="center" wrapText="1"/>
    </xf>
    <xf numFmtId="0" fontId="27" fillId="34" borderId="51" xfId="29" applyFont="1" applyFill="1" applyBorder="1" applyAlignment="1">
      <alignment horizontal="center" vertical="center"/>
    </xf>
  </cellXfs>
  <cellStyles count="9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79" xr:uid="{42129294-1EF0-46EC-AE19-AAF3D6614F24}"/>
    <cellStyle name="Check Cell" xfId="27" builtinId="23" customBuiltin="1"/>
    <cellStyle name="Comma" xfId="66" builtinId="3"/>
    <cellStyle name="Comma 2" xfId="85" xr:uid="{05A5D018-916E-4660-92D0-4A9C1344B6AB}"/>
    <cellStyle name="Excel Built-in Hyperlink" xfId="49" xr:uid="{00000000-0005-0000-0000-00001C000000}"/>
    <cellStyle name="Excel Built-in Normal" xfId="28" xr:uid="{00000000-0005-0000-0000-00001D000000}"/>
    <cellStyle name="Excel Built-in Normal 1" xfId="29" xr:uid="{00000000-0005-0000-0000-00001E000000}"/>
    <cellStyle name="Excel Built-in Normal 1 1" xfId="30" xr:uid="{00000000-0005-0000-0000-00001F000000}"/>
    <cellStyle name="Excel Built-in Normal 1 1 1" xfId="31" xr:uid="{00000000-0005-0000-0000-000020000000}"/>
    <cellStyle name="Excel Built-in Normal 1 1 1 1" xfId="48" xr:uid="{00000000-0005-0000-0000-000021000000}"/>
    <cellStyle name="Excel Built-in Normal 1 1 1 1 1" xfId="50" xr:uid="{00000000-0005-0000-0000-000022000000}"/>
    <cellStyle name="Excel Built-in Normal 1 1 1 1 2" xfId="51" xr:uid="{00000000-0005-0000-0000-000023000000}"/>
    <cellStyle name="Excel Built-in Normal 1 1 1 1 2 1" xfId="60" xr:uid="{00000000-0005-0000-0000-000024000000}"/>
    <cellStyle name="Excel Built-in Normal 1 1 1 1 2 1 2" xfId="78" xr:uid="{00000000-0005-0000-0000-000025000000}"/>
    <cellStyle name="Excel Built-in Normal 1 1 1 1 5" xfId="64" xr:uid="{00000000-0005-0000-0000-000026000000}"/>
    <cellStyle name="Excel Built-in Normal 1 1 1 3" xfId="52" xr:uid="{00000000-0005-0000-0000-000027000000}"/>
    <cellStyle name="Excel Built-in Normal 1 1 1 3 2" xfId="61" xr:uid="{00000000-0005-0000-0000-000028000000}"/>
    <cellStyle name="Excel Built-in Normal 1 1 1 4" xfId="53" xr:uid="{00000000-0005-0000-0000-000029000000}"/>
    <cellStyle name="Excel Built-in Normal 1 1 1 4 2" xfId="62" xr:uid="{00000000-0005-0000-0000-00002A000000}"/>
    <cellStyle name="Excel Built-in Normal 1 1 1 4 3" xfId="63" xr:uid="{00000000-0005-0000-0000-00002B000000}"/>
    <cellStyle name="Excel Built-in Normal 1 1 1 5" xfId="54" xr:uid="{00000000-0005-0000-0000-00002C000000}"/>
    <cellStyle name="Excel Built-in Normal 1 1 1 5 4" xfId="65" xr:uid="{00000000-0005-0000-0000-00002D000000}"/>
    <cellStyle name="Excel Built-in Normal 2" xfId="68" xr:uid="{00000000-0005-0000-0000-00002E000000}"/>
    <cellStyle name="Excel Built-in Normal_Airoli" xfId="32" xr:uid="{00000000-0005-0000-0000-00002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 2" xfId="57" xr:uid="{00000000-0005-0000-0000-000036000000}"/>
    <cellStyle name="Hyperlink 3" xfId="58" xr:uid="{00000000-0005-0000-0000-000037000000}"/>
    <cellStyle name="Hyperlink 4" xfId="69" xr:uid="{00000000-0005-0000-0000-000038000000}"/>
    <cellStyle name="Input" xfId="39" builtinId="20" customBuiltin="1"/>
    <cellStyle name="Input 2" xfId="80" xr:uid="{C18D694A-29A0-40A0-A713-0D5F3F73E2C6}"/>
    <cellStyle name="Linked Cell" xfId="40" builtinId="24" customBuiltin="1"/>
    <cellStyle name="Neutral" xfId="41" builtinId="28" customBuiltin="1"/>
    <cellStyle name="Normal" xfId="0" builtinId="0"/>
    <cellStyle name="Normal 10" xfId="71" xr:uid="{00000000-0005-0000-0000-00003D000000}"/>
    <cellStyle name="Normal 11" xfId="72" xr:uid="{00000000-0005-0000-0000-00003E000000}"/>
    <cellStyle name="Normal 11 2" xfId="87" xr:uid="{A9DD8121-74D0-44BD-A6CF-B2E6591B1609}"/>
    <cellStyle name="Normal 14" xfId="73" xr:uid="{00000000-0005-0000-0000-00003F000000}"/>
    <cellStyle name="Normal 14 2" xfId="88" xr:uid="{3E940A50-392B-4105-AC7C-2621001AD05B}"/>
    <cellStyle name="Normal 2" xfId="42" xr:uid="{00000000-0005-0000-0000-000040000000}"/>
    <cellStyle name="Normal 3" xfId="56" xr:uid="{00000000-0005-0000-0000-000041000000}"/>
    <cellStyle name="Normal 4" xfId="59" xr:uid="{00000000-0005-0000-0000-000042000000}"/>
    <cellStyle name="Normal 4 2" xfId="84" xr:uid="{A9AEED42-D7D6-4883-8549-20084028A777}"/>
    <cellStyle name="Normal 5" xfId="67" xr:uid="{00000000-0005-0000-0000-000043000000}"/>
    <cellStyle name="Normal 6" xfId="76" xr:uid="{00000000-0005-0000-0000-000044000000}"/>
    <cellStyle name="Normal 6 2" xfId="77" xr:uid="{00000000-0005-0000-0000-000045000000}"/>
    <cellStyle name="Normal 6 2 2" xfId="89" xr:uid="{EDEE59A2-2223-48C7-8C86-4400C3A0EA9C}"/>
    <cellStyle name="Normal 8" xfId="70" xr:uid="{00000000-0005-0000-0000-000046000000}"/>
    <cellStyle name="Normal 8 2" xfId="86" xr:uid="{2B59F296-CB75-43DC-99D4-D6E1D8B2824A}"/>
    <cellStyle name="Note" xfId="43" builtinId="10" customBuiltin="1"/>
    <cellStyle name="Note 2" xfId="81" xr:uid="{52DC4BD8-8FA9-4B08-9746-A0C57C39B91A}"/>
    <cellStyle name="Output" xfId="44" builtinId="21" customBuiltin="1"/>
    <cellStyle name="Output 2" xfId="82" xr:uid="{37AFC410-1AE3-4F04-B04A-ED90D48CCC3A}"/>
    <cellStyle name="Percent" xfId="75" builtinId="5"/>
    <cellStyle name="Percent 2" xfId="55" xr:uid="{00000000-0005-0000-0000-00004A000000}"/>
    <cellStyle name="TableStyleLight1" xfId="74" xr:uid="{00000000-0005-0000-0000-00004B000000}"/>
    <cellStyle name="Title" xfId="45" builtinId="15" customBuiltin="1"/>
    <cellStyle name="Total" xfId="46" builtinId="25" customBuiltin="1"/>
    <cellStyle name="Total 2" xfId="83" xr:uid="{E8E0AD48-C452-495A-B3E3-6F7FBF867409}"/>
    <cellStyle name="Warning Text" xfId="47" builtinId="11" customBuiltin="1"/>
  </cellStyles>
  <dxfs count="48"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zoomScale="132" workbookViewId="0">
      <selection activeCell="A14" sqref="A14"/>
    </sheetView>
  </sheetViews>
  <sheetFormatPr baseColWidth="10" defaultColWidth="9" defaultRowHeight="14" x14ac:dyDescent="0.2"/>
  <cols>
    <col min="1" max="1" width="24" style="67" bestFit="1" customWidth="1"/>
    <col min="2" max="11" width="15" style="67" customWidth="1"/>
    <col min="12" max="12" width="19.59765625" style="67" customWidth="1"/>
    <col min="13" max="14" width="15" style="67" customWidth="1"/>
    <col min="15" max="15" width="18" style="67" customWidth="1"/>
    <col min="16" max="26" width="15" style="67" customWidth="1"/>
    <col min="27" max="27" width="18.3984375" style="67" customWidth="1"/>
    <col min="28" max="16384" width="9" style="67"/>
  </cols>
  <sheetData>
    <row r="1" spans="1:28" ht="15" x14ac:dyDescent="0.2">
      <c r="A1" s="112" t="s">
        <v>142</v>
      </c>
      <c r="B1" s="113" t="s">
        <v>143</v>
      </c>
      <c r="C1" s="114" t="s">
        <v>152</v>
      </c>
      <c r="D1" s="78"/>
      <c r="E1" s="74"/>
      <c r="F1" s="68"/>
      <c r="G1" s="68"/>
      <c r="H1" s="68"/>
      <c r="I1" s="90"/>
      <c r="J1" s="91"/>
      <c r="K1" s="90"/>
      <c r="L1" s="90"/>
      <c r="M1" s="68"/>
      <c r="N1" s="68"/>
      <c r="O1" s="74"/>
      <c r="P1" s="68"/>
      <c r="Q1" s="68"/>
      <c r="R1" s="68"/>
      <c r="S1" s="74"/>
      <c r="T1" s="74"/>
      <c r="U1" s="74"/>
      <c r="V1" s="74"/>
      <c r="W1" s="74"/>
      <c r="X1" s="92"/>
      <c r="Y1" s="92"/>
      <c r="Z1" s="92"/>
      <c r="AA1" s="93"/>
      <c r="AB1" s="93"/>
    </row>
    <row r="2" spans="1:28" s="72" customFormat="1" ht="45" x14ac:dyDescent="0.2">
      <c r="A2" s="94"/>
      <c r="B2" s="75" t="s">
        <v>153</v>
      </c>
      <c r="C2" s="80" t="s">
        <v>154</v>
      </c>
      <c r="D2" s="79"/>
      <c r="E2" s="75"/>
      <c r="F2" s="69"/>
      <c r="G2" s="69"/>
      <c r="H2" s="69"/>
      <c r="I2" s="29"/>
      <c r="J2" s="60"/>
      <c r="K2" s="29"/>
      <c r="L2" s="29"/>
      <c r="M2" s="69"/>
      <c r="N2" s="68"/>
      <c r="O2" s="75"/>
      <c r="P2" s="69"/>
      <c r="Q2" s="69"/>
      <c r="R2" s="69"/>
      <c r="S2" s="75"/>
      <c r="T2" s="75"/>
      <c r="U2" s="75"/>
      <c r="V2" s="75"/>
      <c r="W2" s="75"/>
      <c r="X2" s="70"/>
      <c r="Y2" s="70"/>
      <c r="Z2" s="70"/>
      <c r="AA2" s="71"/>
      <c r="AB2" s="71"/>
    </row>
    <row r="3" spans="1:28" ht="15" x14ac:dyDescent="0.2">
      <c r="A3" s="95" t="s">
        <v>126</v>
      </c>
      <c r="B3" s="84" t="s">
        <v>250</v>
      </c>
      <c r="C3" s="121" t="s">
        <v>167</v>
      </c>
      <c r="D3" s="96"/>
      <c r="E3" s="91"/>
      <c r="F3" s="90"/>
      <c r="G3" s="68"/>
      <c r="H3" s="68"/>
      <c r="I3" s="90"/>
      <c r="J3" s="91"/>
      <c r="K3" s="68"/>
      <c r="L3" s="90"/>
      <c r="M3" s="68"/>
      <c r="N3" s="68"/>
      <c r="O3" s="74"/>
      <c r="P3" s="68"/>
      <c r="Q3" s="68"/>
      <c r="R3" s="68"/>
      <c r="S3" s="74"/>
      <c r="T3" s="74"/>
      <c r="U3" s="74"/>
      <c r="V3" s="74"/>
      <c r="W3" s="74"/>
      <c r="X3" s="92"/>
      <c r="Y3" s="92"/>
      <c r="Z3" s="92"/>
      <c r="AA3" s="93"/>
      <c r="AB3" s="93"/>
    </row>
    <row r="4" spans="1:28" ht="15" x14ac:dyDescent="0.2">
      <c r="A4" s="95" t="s">
        <v>127</v>
      </c>
      <c r="B4" s="84">
        <v>75</v>
      </c>
      <c r="C4" s="84"/>
      <c r="D4" s="96"/>
      <c r="E4" s="91"/>
      <c r="F4" s="90"/>
      <c r="G4" s="68"/>
      <c r="H4" s="68"/>
      <c r="I4" s="90"/>
      <c r="J4" s="91"/>
      <c r="K4" s="68"/>
      <c r="L4" s="90"/>
      <c r="M4" s="68"/>
      <c r="N4" s="68"/>
      <c r="O4" s="74"/>
      <c r="P4" s="68"/>
      <c r="Q4" s="68"/>
      <c r="R4" s="68"/>
      <c r="S4" s="74"/>
      <c r="T4" s="74"/>
      <c r="U4" s="74"/>
      <c r="V4" s="74"/>
      <c r="W4" s="74"/>
      <c r="X4" s="92"/>
      <c r="Y4" s="92"/>
      <c r="Z4" s="92"/>
      <c r="AA4" s="93"/>
      <c r="AB4" s="93"/>
    </row>
    <row r="5" spans="1:28" ht="15" thickBot="1" x14ac:dyDescent="0.25">
      <c r="A5" s="97"/>
      <c r="B5" s="82"/>
      <c r="C5" s="98"/>
      <c r="D5" s="99"/>
      <c r="E5" s="100"/>
      <c r="F5" s="100"/>
      <c r="G5" s="76"/>
      <c r="H5" s="76"/>
      <c r="I5" s="100"/>
      <c r="J5" s="100"/>
      <c r="K5" s="76"/>
      <c r="L5" s="100"/>
      <c r="M5" s="76"/>
      <c r="N5" s="76"/>
      <c r="O5" s="76"/>
      <c r="P5" s="76"/>
      <c r="Q5" s="76"/>
      <c r="R5" s="76"/>
      <c r="S5" s="76"/>
      <c r="T5" s="76"/>
      <c r="U5" s="76"/>
      <c r="V5" s="76"/>
      <c r="W5" s="82"/>
      <c r="X5" s="101"/>
      <c r="Y5" s="101"/>
      <c r="Z5" s="101"/>
      <c r="AA5" s="93"/>
      <c r="AB5" s="93"/>
    </row>
    <row r="6" spans="1:28" s="102" customFormat="1" ht="76" thickBot="1" x14ac:dyDescent="0.25">
      <c r="A6" s="115" t="s">
        <v>128</v>
      </c>
      <c r="B6" s="104" t="s">
        <v>138</v>
      </c>
      <c r="C6" s="116" t="s">
        <v>144</v>
      </c>
      <c r="D6" s="116" t="s">
        <v>158</v>
      </c>
      <c r="E6" s="116" t="s">
        <v>159</v>
      </c>
      <c r="F6" s="116" t="s">
        <v>155</v>
      </c>
      <c r="G6" s="104" t="s">
        <v>139</v>
      </c>
      <c r="H6" s="116" t="s">
        <v>156</v>
      </c>
      <c r="I6" s="116" t="s">
        <v>157</v>
      </c>
      <c r="J6" s="116" t="s">
        <v>159</v>
      </c>
      <c r="K6" s="104" t="s">
        <v>140</v>
      </c>
      <c r="L6" s="116" t="s">
        <v>145</v>
      </c>
      <c r="M6" s="104" t="s">
        <v>177</v>
      </c>
      <c r="N6" s="120" t="s">
        <v>163</v>
      </c>
      <c r="O6" s="120" t="s">
        <v>165</v>
      </c>
      <c r="P6" s="104" t="s">
        <v>148</v>
      </c>
      <c r="Q6" s="104" t="s">
        <v>150</v>
      </c>
      <c r="R6" s="117" t="s">
        <v>151</v>
      </c>
      <c r="S6" s="123" t="s">
        <v>166</v>
      </c>
      <c r="T6" s="162" t="s">
        <v>168</v>
      </c>
      <c r="U6" s="162" t="s">
        <v>169</v>
      </c>
      <c r="V6" s="162" t="s">
        <v>170</v>
      </c>
      <c r="W6" s="162" t="s">
        <v>221</v>
      </c>
      <c r="X6" s="118" t="s">
        <v>171</v>
      </c>
      <c r="Y6" s="118" t="s">
        <v>172</v>
      </c>
      <c r="Z6" s="119" t="s">
        <v>173</v>
      </c>
      <c r="AA6" s="73"/>
      <c r="AB6" s="73"/>
    </row>
    <row r="7" spans="1:28" s="89" customFormat="1" ht="20" x14ac:dyDescent="0.15">
      <c r="A7" s="85"/>
      <c r="B7" s="352" t="s">
        <v>135</v>
      </c>
      <c r="C7" s="353"/>
      <c r="D7" s="353"/>
      <c r="E7" s="353"/>
      <c r="F7" s="354"/>
      <c r="G7" s="358" t="s">
        <v>136</v>
      </c>
      <c r="H7" s="359"/>
      <c r="I7" s="359"/>
      <c r="J7" s="360"/>
      <c r="K7" s="349" t="s">
        <v>137</v>
      </c>
      <c r="L7" s="349"/>
      <c r="M7" s="86" t="s">
        <v>146</v>
      </c>
      <c r="N7" s="86" t="s">
        <v>147</v>
      </c>
      <c r="O7" s="86" t="s">
        <v>164</v>
      </c>
      <c r="P7" s="86" t="s">
        <v>149</v>
      </c>
      <c r="Q7" s="86" t="s">
        <v>149</v>
      </c>
      <c r="R7" s="86" t="s">
        <v>149</v>
      </c>
      <c r="S7" s="86" t="s">
        <v>149</v>
      </c>
      <c r="T7" s="86"/>
      <c r="U7" s="86"/>
      <c r="V7" s="86"/>
      <c r="W7" s="86"/>
      <c r="X7" s="87"/>
      <c r="Y7" s="87"/>
      <c r="Z7" s="87"/>
      <c r="AA7" s="88"/>
      <c r="AB7" s="88"/>
    </row>
    <row r="8" spans="1:28" ht="45" x14ac:dyDescent="0.2">
      <c r="A8" s="103" t="s">
        <v>129</v>
      </c>
      <c r="B8" s="83">
        <f>2750*0.9</f>
        <v>2475</v>
      </c>
      <c r="C8" s="90">
        <v>1</v>
      </c>
      <c r="D8" s="355">
        <f>2750*0.9</f>
        <v>2475</v>
      </c>
      <c r="E8" s="355">
        <v>1</v>
      </c>
      <c r="F8" s="90">
        <v>1046</v>
      </c>
      <c r="G8" s="83">
        <f>3000*0.8</f>
        <v>2400</v>
      </c>
      <c r="H8" s="90">
        <v>1</v>
      </c>
      <c r="I8" s="355">
        <f>3000*0.8</f>
        <v>2400</v>
      </c>
      <c r="J8" s="355">
        <v>1</v>
      </c>
      <c r="K8" s="83">
        <v>2160</v>
      </c>
      <c r="L8" s="90" t="s">
        <v>160</v>
      </c>
      <c r="M8" s="83">
        <v>2160</v>
      </c>
      <c r="N8" s="83">
        <v>2160</v>
      </c>
      <c r="O8" s="83">
        <v>2160</v>
      </c>
      <c r="P8" s="106" t="e">
        <f>#REF!</f>
        <v>#REF!</v>
      </c>
      <c r="Q8" s="83" t="e">
        <f t="shared" ref="Q8:Q14" si="0">M8-P8</f>
        <v>#REF!</v>
      </c>
      <c r="R8" s="83">
        <f>M8-N8</f>
        <v>0</v>
      </c>
      <c r="S8" s="122">
        <f>M8-O8</f>
        <v>0</v>
      </c>
      <c r="T8" s="160">
        <v>220</v>
      </c>
      <c r="U8" s="160">
        <v>220</v>
      </c>
      <c r="V8" s="160">
        <v>0</v>
      </c>
      <c r="W8" s="160">
        <v>0</v>
      </c>
      <c r="X8" s="92">
        <v>7384</v>
      </c>
      <c r="Y8" s="92">
        <v>7384</v>
      </c>
      <c r="Z8" s="83">
        <f>X8-Y8</f>
        <v>0</v>
      </c>
      <c r="AA8" s="93"/>
      <c r="AB8" s="93"/>
    </row>
    <row r="9" spans="1:28" ht="45" x14ac:dyDescent="0.2">
      <c r="A9" s="103" t="s">
        <v>130</v>
      </c>
      <c r="B9" s="83">
        <f t="shared" ref="B9:B10" si="1">2750*0.9</f>
        <v>2475</v>
      </c>
      <c r="C9" s="90">
        <v>1</v>
      </c>
      <c r="D9" s="356"/>
      <c r="E9" s="356"/>
      <c r="F9" s="90">
        <v>860</v>
      </c>
      <c r="G9" s="83">
        <f t="shared" ref="G9:G10" si="2">3000*0.8</f>
        <v>2400</v>
      </c>
      <c r="H9" s="90">
        <v>1</v>
      </c>
      <c r="I9" s="356"/>
      <c r="J9" s="356"/>
      <c r="K9" s="83">
        <v>2160</v>
      </c>
      <c r="L9" s="90" t="s">
        <v>160</v>
      </c>
      <c r="M9" s="83">
        <v>2160</v>
      </c>
      <c r="N9" s="83">
        <v>2160</v>
      </c>
      <c r="O9" s="83">
        <v>2160</v>
      </c>
      <c r="P9" s="106" t="e">
        <f>#REF!</f>
        <v>#REF!</v>
      </c>
      <c r="Q9" s="83" t="e">
        <f t="shared" si="0"/>
        <v>#REF!</v>
      </c>
      <c r="R9" s="83">
        <f t="shared" ref="R9:R14" si="3">M9-N9</f>
        <v>0</v>
      </c>
      <c r="S9" s="122">
        <f t="shared" ref="S9:S14" si="4">M9-O9</f>
        <v>0</v>
      </c>
      <c r="T9" s="160">
        <v>220</v>
      </c>
      <c r="U9" s="160">
        <v>220</v>
      </c>
      <c r="V9" s="160">
        <v>0</v>
      </c>
      <c r="W9" s="160">
        <v>0</v>
      </c>
      <c r="X9" s="92">
        <v>7384</v>
      </c>
      <c r="Y9" s="92">
        <v>7384</v>
      </c>
      <c r="Z9" s="83">
        <f t="shared" ref="Z9:Z14" si="5">X9-Y9</f>
        <v>0</v>
      </c>
      <c r="AA9" s="93"/>
      <c r="AB9" s="93"/>
    </row>
    <row r="10" spans="1:28" ht="45" x14ac:dyDescent="0.2">
      <c r="A10" s="103" t="s">
        <v>131</v>
      </c>
      <c r="B10" s="83">
        <f t="shared" si="1"/>
        <v>2475</v>
      </c>
      <c r="C10" s="90">
        <v>1</v>
      </c>
      <c r="D10" s="357"/>
      <c r="E10" s="357"/>
      <c r="F10" s="90">
        <v>837</v>
      </c>
      <c r="G10" s="83">
        <f t="shared" si="2"/>
        <v>2400</v>
      </c>
      <c r="H10" s="90">
        <v>1</v>
      </c>
      <c r="I10" s="357"/>
      <c r="J10" s="357"/>
      <c r="K10" s="83">
        <v>2160</v>
      </c>
      <c r="L10" s="90" t="s">
        <v>160</v>
      </c>
      <c r="M10" s="83">
        <v>2160</v>
      </c>
      <c r="N10" s="83">
        <v>2160</v>
      </c>
      <c r="O10" s="83">
        <v>2160</v>
      </c>
      <c r="P10" s="106" t="e">
        <f>#REF!</f>
        <v>#REF!</v>
      </c>
      <c r="Q10" s="83" t="e">
        <f t="shared" si="0"/>
        <v>#REF!</v>
      </c>
      <c r="R10" s="83">
        <f t="shared" si="3"/>
        <v>0</v>
      </c>
      <c r="S10" s="122">
        <f t="shared" si="4"/>
        <v>0</v>
      </c>
      <c r="T10" s="160">
        <v>220</v>
      </c>
      <c r="U10" s="160">
        <v>220</v>
      </c>
      <c r="V10" s="160">
        <v>0</v>
      </c>
      <c r="W10" s="160">
        <v>0</v>
      </c>
      <c r="X10" s="92">
        <v>7384</v>
      </c>
      <c r="Y10" s="92">
        <v>7384</v>
      </c>
      <c r="Z10" s="83">
        <f t="shared" si="5"/>
        <v>0</v>
      </c>
      <c r="AA10" s="93"/>
      <c r="AB10" s="93"/>
    </row>
    <row r="11" spans="1:28" ht="45" x14ac:dyDescent="0.2">
      <c r="A11" s="103" t="s">
        <v>132</v>
      </c>
      <c r="B11" s="83">
        <f>2250*0.9</f>
        <v>2025</v>
      </c>
      <c r="C11" s="90">
        <v>1</v>
      </c>
      <c r="D11" s="355">
        <f>2500*0.9</f>
        <v>2250</v>
      </c>
      <c r="E11" s="355">
        <v>1</v>
      </c>
      <c r="F11" s="90">
        <v>1048</v>
      </c>
      <c r="G11" s="83">
        <f>2000*0.8</f>
        <v>1600</v>
      </c>
      <c r="H11" s="90">
        <v>1</v>
      </c>
      <c r="I11" s="355">
        <f>2500*0.8</f>
        <v>2000</v>
      </c>
      <c r="J11" s="355">
        <v>1</v>
      </c>
      <c r="K11" s="83">
        <v>1440</v>
      </c>
      <c r="L11" s="90" t="s">
        <v>161</v>
      </c>
      <c r="M11" s="83">
        <f>1600*0.9</f>
        <v>1440</v>
      </c>
      <c r="N11" s="83" t="e">
        <f>#REF!</f>
        <v>#REF!</v>
      </c>
      <c r="O11" s="84" t="e">
        <f>#REF!</f>
        <v>#REF!</v>
      </c>
      <c r="P11" s="107" t="e">
        <f>#REF!</f>
        <v>#REF!</v>
      </c>
      <c r="Q11" s="83" t="e">
        <f t="shared" si="0"/>
        <v>#REF!</v>
      </c>
      <c r="R11" s="83" t="e">
        <f t="shared" si="3"/>
        <v>#REF!</v>
      </c>
      <c r="S11" s="122" t="e">
        <f t="shared" si="4"/>
        <v>#REF!</v>
      </c>
      <c r="T11" s="160">
        <v>392</v>
      </c>
      <c r="U11" s="160" t="e">
        <f>#REF!</f>
        <v>#REF!</v>
      </c>
      <c r="V11" s="160">
        <f>69</f>
        <v>69</v>
      </c>
      <c r="W11" s="160" t="e">
        <f>T11-(U11+V11)</f>
        <v>#REF!</v>
      </c>
      <c r="X11" s="92">
        <v>7300</v>
      </c>
      <c r="Y11" s="92">
        <v>7300</v>
      </c>
      <c r="Z11" s="83">
        <f t="shared" si="5"/>
        <v>0</v>
      </c>
      <c r="AA11" s="93"/>
      <c r="AB11" s="93"/>
    </row>
    <row r="12" spans="1:28" ht="45" x14ac:dyDescent="0.2">
      <c r="A12" s="103" t="s">
        <v>133</v>
      </c>
      <c r="B12" s="83">
        <f>2250*0.9</f>
        <v>2025</v>
      </c>
      <c r="C12" s="90">
        <v>1</v>
      </c>
      <c r="D12" s="356"/>
      <c r="E12" s="356"/>
      <c r="F12" s="361">
        <v>1062</v>
      </c>
      <c r="G12" s="83">
        <f>2250*0.8</f>
        <v>1800</v>
      </c>
      <c r="H12" s="90">
        <v>1</v>
      </c>
      <c r="I12" s="356"/>
      <c r="J12" s="356"/>
      <c r="K12" s="83">
        <v>1440</v>
      </c>
      <c r="L12" s="90" t="s">
        <v>161</v>
      </c>
      <c r="M12" s="83">
        <f>800*0.9+100</f>
        <v>820</v>
      </c>
      <c r="N12" s="83" t="e">
        <f>#REF!</f>
        <v>#REF!</v>
      </c>
      <c r="O12" s="84" t="e">
        <f>#REF!</f>
        <v>#REF!</v>
      </c>
      <c r="P12" s="107" t="e">
        <f>#REF!</f>
        <v>#REF!</v>
      </c>
      <c r="Q12" s="83" t="e">
        <f t="shared" si="0"/>
        <v>#REF!</v>
      </c>
      <c r="R12" s="83" t="e">
        <f t="shared" si="3"/>
        <v>#REF!</v>
      </c>
      <c r="S12" s="122" t="e">
        <f t="shared" si="4"/>
        <v>#REF!</v>
      </c>
      <c r="T12" s="160">
        <v>353</v>
      </c>
      <c r="U12" s="160" t="e">
        <f>#REF!</f>
        <v>#REF!</v>
      </c>
      <c r="V12" s="160">
        <v>50</v>
      </c>
      <c r="W12" s="160" t="e">
        <f t="shared" ref="W12:W14" si="6">T12-(U12+V12)</f>
        <v>#REF!</v>
      </c>
      <c r="X12" s="92">
        <v>9200</v>
      </c>
      <c r="Y12" s="92">
        <v>9200</v>
      </c>
      <c r="Z12" s="83">
        <f t="shared" si="5"/>
        <v>0</v>
      </c>
      <c r="AA12" s="93"/>
      <c r="AB12" s="93"/>
    </row>
    <row r="13" spans="1:28" ht="15" x14ac:dyDescent="0.2">
      <c r="A13" s="103" t="s">
        <v>94</v>
      </c>
      <c r="B13" s="83"/>
      <c r="C13" s="90"/>
      <c r="D13" s="356"/>
      <c r="E13" s="356"/>
      <c r="F13" s="362"/>
      <c r="G13" s="83"/>
      <c r="H13" s="84"/>
      <c r="I13" s="356"/>
      <c r="J13" s="356"/>
      <c r="K13" s="83"/>
      <c r="L13" s="90"/>
      <c r="M13" s="83">
        <f>720-100</f>
        <v>620</v>
      </c>
      <c r="N13" s="83" t="e">
        <f>#REF!</f>
        <v>#REF!</v>
      </c>
      <c r="O13" s="84" t="e">
        <f>#REF!</f>
        <v>#REF!</v>
      </c>
      <c r="P13" s="107" t="e">
        <f>#REF!</f>
        <v>#REF!</v>
      </c>
      <c r="Q13" s="83" t="e">
        <f t="shared" si="0"/>
        <v>#REF!</v>
      </c>
      <c r="R13" s="83" t="e">
        <f t="shared" si="3"/>
        <v>#REF!</v>
      </c>
      <c r="S13" s="122" t="e">
        <f t="shared" si="4"/>
        <v>#REF!</v>
      </c>
      <c r="T13" s="160">
        <v>258</v>
      </c>
      <c r="U13" s="160" t="e">
        <f>#REF!</f>
        <v>#REF!</v>
      </c>
      <c r="V13" s="160">
        <f>34</f>
        <v>34</v>
      </c>
      <c r="W13" s="160" t="e">
        <f t="shared" si="6"/>
        <v>#REF!</v>
      </c>
      <c r="X13" s="92">
        <v>6000</v>
      </c>
      <c r="Y13" s="92">
        <v>6000</v>
      </c>
      <c r="Z13" s="83">
        <f t="shared" si="5"/>
        <v>0</v>
      </c>
      <c r="AA13" s="93"/>
      <c r="AB13" s="93"/>
    </row>
    <row r="14" spans="1:28" ht="45" x14ac:dyDescent="0.2">
      <c r="A14" s="103" t="s">
        <v>134</v>
      </c>
      <c r="B14" s="83">
        <f>2500*0.9</f>
        <v>2250</v>
      </c>
      <c r="C14" s="90">
        <v>1</v>
      </c>
      <c r="D14" s="357"/>
      <c r="E14" s="357"/>
      <c r="F14" s="90">
        <v>193</v>
      </c>
      <c r="G14" s="83">
        <f>2250*0.8</f>
        <v>1800</v>
      </c>
      <c r="H14" s="90">
        <v>1</v>
      </c>
      <c r="I14" s="357"/>
      <c r="J14" s="357"/>
      <c r="K14" s="83">
        <v>1700</v>
      </c>
      <c r="L14" s="90" t="s">
        <v>162</v>
      </c>
      <c r="M14" s="83">
        <v>1400</v>
      </c>
      <c r="N14" s="83" t="e">
        <f>#REF!</f>
        <v>#REF!</v>
      </c>
      <c r="O14" s="84" t="e">
        <f>#REF!</f>
        <v>#REF!</v>
      </c>
      <c r="P14" s="107" t="e">
        <f>#REF!</f>
        <v>#REF!</v>
      </c>
      <c r="Q14" s="83" t="e">
        <f t="shared" si="0"/>
        <v>#REF!</v>
      </c>
      <c r="R14" s="83" t="e">
        <f t="shared" si="3"/>
        <v>#REF!</v>
      </c>
      <c r="S14" s="122" t="e">
        <f t="shared" si="4"/>
        <v>#REF!</v>
      </c>
      <c r="T14" s="160">
        <v>261</v>
      </c>
      <c r="U14" s="160" t="e">
        <f>#REF!</f>
        <v>#REF!</v>
      </c>
      <c r="V14" s="160">
        <v>13</v>
      </c>
      <c r="W14" s="160" t="e">
        <f t="shared" si="6"/>
        <v>#REF!</v>
      </c>
      <c r="X14" s="92">
        <v>6850</v>
      </c>
      <c r="Y14" s="92">
        <v>6850</v>
      </c>
      <c r="Z14" s="83">
        <f t="shared" si="5"/>
        <v>0</v>
      </c>
      <c r="AA14" s="67" t="s">
        <v>251</v>
      </c>
      <c r="AB14" s="93"/>
    </row>
    <row r="15" spans="1:28" x14ac:dyDescent="0.2">
      <c r="A15" s="350" t="s">
        <v>0</v>
      </c>
      <c r="B15" s="350"/>
      <c r="C15" s="350"/>
      <c r="D15" s="351"/>
      <c r="E15" s="351"/>
      <c r="F15" s="350"/>
      <c r="G15" s="350"/>
      <c r="H15" s="350"/>
      <c r="I15" s="350"/>
      <c r="J15" s="108"/>
      <c r="K15" s="109">
        <f>SUM(K8:K14)</f>
        <v>11060</v>
      </c>
      <c r="L15" s="110"/>
      <c r="M15" s="105">
        <f>SUM(M8:M14)</f>
        <v>10760</v>
      </c>
      <c r="N15" s="109" t="e">
        <f>SUM(N8:N14)</f>
        <v>#REF!</v>
      </c>
      <c r="O15" s="111" t="e">
        <f>SUM(O8:O14)</f>
        <v>#REF!</v>
      </c>
      <c r="P15" s="109" t="e">
        <f>SUM(P8:P14)</f>
        <v>#REF!</v>
      </c>
      <c r="Q15" s="109" t="e">
        <f>SUM(Q8:Q14)</f>
        <v>#REF!</v>
      </c>
      <c r="R15" s="109"/>
      <c r="S15" s="111"/>
      <c r="T15" s="161">
        <f>SUM(T8:T14)</f>
        <v>1924</v>
      </c>
      <c r="U15" s="161" t="e">
        <f>SUM(U8:U14)</f>
        <v>#REF!</v>
      </c>
      <c r="V15" s="161">
        <f>SUM(V8:V14)</f>
        <v>166</v>
      </c>
      <c r="W15" s="161"/>
      <c r="X15" s="92"/>
      <c r="Y15" s="92"/>
      <c r="Z15" s="92"/>
      <c r="AA15" s="93"/>
      <c r="AB15" s="93"/>
    </row>
    <row r="16" spans="1:28" x14ac:dyDescent="0.2">
      <c r="T16" s="248"/>
      <c r="U16" s="248"/>
      <c r="X16" s="248"/>
    </row>
    <row r="17" spans="20:24" x14ac:dyDescent="0.2">
      <c r="T17" s="248">
        <f>T15</f>
        <v>1924</v>
      </c>
      <c r="U17" s="248" t="e">
        <f>U15+V15</f>
        <v>#REF!</v>
      </c>
      <c r="V17" s="248"/>
      <c r="W17" s="248"/>
      <c r="X17" s="248"/>
    </row>
  </sheetData>
  <mergeCells count="13">
    <mergeCell ref="K7:L7"/>
    <mergeCell ref="A15:I15"/>
    <mergeCell ref="B7:F7"/>
    <mergeCell ref="D8:D10"/>
    <mergeCell ref="D11:D14"/>
    <mergeCell ref="I8:I10"/>
    <mergeCell ref="I11:I14"/>
    <mergeCell ref="E8:E10"/>
    <mergeCell ref="E11:E14"/>
    <mergeCell ref="J8:J10"/>
    <mergeCell ref="J11:J14"/>
    <mergeCell ref="G7:J7"/>
    <mergeCell ref="F12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7FEB-8A96-4F0A-9694-21FB1412EC42}">
  <dimension ref="A1:CA49"/>
  <sheetViews>
    <sheetView topLeftCell="A43" workbookViewId="0">
      <selection activeCell="A49" sqref="A49:BX49"/>
    </sheetView>
  </sheetViews>
  <sheetFormatPr baseColWidth="10" defaultColWidth="9" defaultRowHeight="14" x14ac:dyDescent="0.2"/>
  <cols>
    <col min="2" max="2" width="13.59765625" bestFit="1" customWidth="1"/>
    <col min="3" max="3" width="24.59765625" customWidth="1"/>
    <col min="4" max="4" width="16.796875" customWidth="1"/>
    <col min="5" max="5" width="15.3984375" customWidth="1"/>
    <col min="6" max="6" width="19.3984375" customWidth="1"/>
    <col min="7" max="7" width="16" customWidth="1"/>
    <col min="9" max="9" width="17" customWidth="1"/>
  </cols>
  <sheetData>
    <row r="1" spans="1:78" s="5" customFormat="1" x14ac:dyDescent="0.2">
      <c r="B1" s="7"/>
      <c r="C1" s="291"/>
      <c r="D1" s="291"/>
      <c r="E1" s="291"/>
      <c r="F1" s="11"/>
      <c r="G1" s="11"/>
      <c r="H1" s="11"/>
      <c r="I1" s="11"/>
      <c r="J1" s="3"/>
      <c r="K1" s="12"/>
      <c r="L1" s="9"/>
      <c r="M1" s="9"/>
      <c r="N1" s="9"/>
      <c r="O1" s="13"/>
      <c r="P1" s="13"/>
      <c r="Q1" s="9"/>
      <c r="R1" s="3"/>
      <c r="S1" s="14" t="s">
        <v>9</v>
      </c>
      <c r="T1" s="15"/>
      <c r="U1" s="15">
        <v>0.5</v>
      </c>
      <c r="V1" s="20" t="s">
        <v>74</v>
      </c>
      <c r="W1" s="15"/>
      <c r="X1" s="21" t="e">
        <f>#REF!</f>
        <v>#REF!</v>
      </c>
      <c r="Y1" s="15"/>
      <c r="Z1" s="1" t="s">
        <v>71</v>
      </c>
      <c r="AA1" s="18">
        <v>2.21</v>
      </c>
      <c r="AB1" s="1" t="s">
        <v>72</v>
      </c>
      <c r="AC1" s="22">
        <v>10.35</v>
      </c>
      <c r="AD1" s="2">
        <f>+AA1*(AC1*(30.5*24-AF1)+AF1*20)</f>
        <v>18246.920249999999</v>
      </c>
      <c r="AE1" s="2" t="s">
        <v>73</v>
      </c>
      <c r="AF1" s="19">
        <v>70.5</v>
      </c>
      <c r="AG1" s="15"/>
      <c r="AH1" s="15"/>
      <c r="AI1" s="15"/>
      <c r="AJ1" s="15"/>
      <c r="AK1" s="15"/>
      <c r="AL1" s="15"/>
      <c r="AT1" s="8"/>
      <c r="AU1" s="8"/>
      <c r="AV1" s="8"/>
      <c r="AW1" s="8"/>
    </row>
    <row r="2" spans="1:78" s="5" customFormat="1" ht="15" thickBot="1" x14ac:dyDescent="0.25">
      <c r="B2" s="7"/>
      <c r="C2" s="291"/>
      <c r="D2" s="363" t="s">
        <v>11</v>
      </c>
      <c r="E2" s="363"/>
      <c r="F2" s="364" t="s">
        <v>3</v>
      </c>
      <c r="G2" s="340"/>
      <c r="H2" s="340"/>
      <c r="I2" s="340"/>
      <c r="J2" s="340"/>
      <c r="K2" s="340"/>
      <c r="L2" s="340"/>
      <c r="M2" s="340"/>
      <c r="N2" s="340"/>
      <c r="O2" s="341" t="s">
        <v>12</v>
      </c>
      <c r="P2" s="341"/>
      <c r="Q2" s="341"/>
      <c r="R2" s="341"/>
      <c r="S2" s="342"/>
      <c r="T2" s="341"/>
      <c r="U2" s="341"/>
      <c r="V2" s="341"/>
      <c r="W2" s="341"/>
      <c r="X2" s="341"/>
      <c r="Y2" s="341"/>
      <c r="Z2" s="343" t="s">
        <v>13</v>
      </c>
      <c r="AA2" s="343"/>
      <c r="AB2" s="343"/>
      <c r="AC2" s="343"/>
      <c r="AD2" s="344"/>
      <c r="AE2" s="345" t="s">
        <v>14</v>
      </c>
      <c r="AF2" s="346"/>
      <c r="AG2" s="346"/>
      <c r="AH2" s="346"/>
      <c r="AI2" s="346"/>
      <c r="AJ2" s="346"/>
      <c r="AK2" s="346"/>
      <c r="AL2" s="347"/>
      <c r="AM2" s="348" t="s">
        <v>15</v>
      </c>
      <c r="AN2" s="348"/>
      <c r="AO2" s="348"/>
      <c r="AP2" s="348"/>
      <c r="AQ2" s="348"/>
      <c r="AR2" s="348"/>
      <c r="AS2" s="348"/>
      <c r="AT2" s="337" t="s">
        <v>16</v>
      </c>
      <c r="AU2" s="337"/>
      <c r="AV2" s="337"/>
      <c r="AW2" s="337"/>
    </row>
    <row r="3" spans="1:78" s="5" customFormat="1" ht="195" x14ac:dyDescent="0.2">
      <c r="A3" s="159" t="s">
        <v>141</v>
      </c>
      <c r="B3" s="274" t="s">
        <v>2</v>
      </c>
      <c r="C3" s="292" t="s">
        <v>1</v>
      </c>
      <c r="D3" s="293" t="s">
        <v>17</v>
      </c>
      <c r="E3" s="293" t="s">
        <v>18</v>
      </c>
      <c r="F3" s="287" t="s">
        <v>5</v>
      </c>
      <c r="G3" s="143" t="s">
        <v>19</v>
      </c>
      <c r="H3" s="144" t="s">
        <v>20</v>
      </c>
      <c r="I3" s="143" t="s">
        <v>4</v>
      </c>
      <c r="J3" s="142" t="s">
        <v>6</v>
      </c>
      <c r="K3" s="145" t="s">
        <v>21</v>
      </c>
      <c r="L3" s="143" t="s">
        <v>22</v>
      </c>
      <c r="M3" s="143" t="s">
        <v>23</v>
      </c>
      <c r="N3" s="143" t="s">
        <v>24</v>
      </c>
      <c r="O3" s="146" t="s">
        <v>25</v>
      </c>
      <c r="P3" s="144" t="s">
        <v>20</v>
      </c>
      <c r="Q3" s="144" t="s">
        <v>26</v>
      </c>
      <c r="R3" s="144" t="s">
        <v>27</v>
      </c>
      <c r="S3" s="147" t="s">
        <v>28</v>
      </c>
      <c r="T3" s="143" t="s">
        <v>29</v>
      </c>
      <c r="U3" s="144" t="s">
        <v>30</v>
      </c>
      <c r="V3" s="163" t="s">
        <v>178</v>
      </c>
      <c r="W3" s="148" t="s">
        <v>89</v>
      </c>
      <c r="X3" s="144" t="s">
        <v>31</v>
      </c>
      <c r="Y3" s="144" t="s">
        <v>32</v>
      </c>
      <c r="Z3" s="144" t="s">
        <v>33</v>
      </c>
      <c r="AA3" s="149" t="s">
        <v>34</v>
      </c>
      <c r="AB3" s="150" t="s">
        <v>35</v>
      </c>
      <c r="AC3" s="150" t="s">
        <v>36</v>
      </c>
      <c r="AD3" s="151" t="s">
        <v>37</v>
      </c>
      <c r="AE3" s="151" t="s">
        <v>25</v>
      </c>
      <c r="AF3" s="151" t="s">
        <v>20</v>
      </c>
      <c r="AG3" s="143" t="s">
        <v>4</v>
      </c>
      <c r="AH3" s="142" t="s">
        <v>6</v>
      </c>
      <c r="AI3" s="143" t="s">
        <v>8</v>
      </c>
      <c r="AJ3" s="143" t="s">
        <v>22</v>
      </c>
      <c r="AK3" s="143" t="s">
        <v>29</v>
      </c>
      <c r="AL3" s="143" t="s">
        <v>38</v>
      </c>
      <c r="AM3" s="150" t="s">
        <v>39</v>
      </c>
      <c r="AN3" s="150" t="s">
        <v>40</v>
      </c>
      <c r="AO3" s="150" t="s">
        <v>41</v>
      </c>
      <c r="AP3" s="150" t="s">
        <v>14</v>
      </c>
      <c r="AQ3" s="150" t="s">
        <v>42</v>
      </c>
      <c r="AR3" s="150" t="s">
        <v>43</v>
      </c>
      <c r="AS3" s="150" t="s">
        <v>44</v>
      </c>
      <c r="AT3" s="152" t="s">
        <v>45</v>
      </c>
      <c r="AU3" s="152" t="s">
        <v>46</v>
      </c>
      <c r="AV3" s="152" t="s">
        <v>47</v>
      </c>
      <c r="AW3" s="152" t="s">
        <v>48</v>
      </c>
      <c r="AX3" s="153" t="s">
        <v>49</v>
      </c>
      <c r="AZ3" s="23" t="s">
        <v>50</v>
      </c>
      <c r="BA3" s="23" t="s">
        <v>64</v>
      </c>
      <c r="BB3" s="23" t="s">
        <v>65</v>
      </c>
      <c r="BC3" s="23" t="s">
        <v>66</v>
      </c>
      <c r="BD3" s="23" t="s">
        <v>67</v>
      </c>
      <c r="BE3" s="23"/>
      <c r="BF3" s="23" t="s">
        <v>75</v>
      </c>
      <c r="BG3" s="23" t="s">
        <v>76</v>
      </c>
      <c r="BH3" s="23" t="s">
        <v>77</v>
      </c>
      <c r="BI3" s="23" t="s">
        <v>68</v>
      </c>
      <c r="BJ3" s="23" t="s">
        <v>69</v>
      </c>
      <c r="BK3" s="23" t="s">
        <v>70</v>
      </c>
      <c r="BL3" s="23" t="s">
        <v>78</v>
      </c>
      <c r="BM3" s="23" t="s">
        <v>79</v>
      </c>
      <c r="BN3" s="23" t="s">
        <v>80</v>
      </c>
      <c r="BO3" s="23" t="s">
        <v>81</v>
      </c>
      <c r="BP3" s="23" t="s">
        <v>82</v>
      </c>
      <c r="BQ3" s="24" t="s">
        <v>57</v>
      </c>
      <c r="BR3" s="24"/>
      <c r="BS3" s="23" t="s">
        <v>81</v>
      </c>
      <c r="BT3" s="23" t="s">
        <v>80</v>
      </c>
      <c r="BU3" s="23" t="s">
        <v>83</v>
      </c>
      <c r="BV3" s="23" t="s">
        <v>84</v>
      </c>
      <c r="BW3" s="23" t="s">
        <v>85</v>
      </c>
      <c r="BX3" s="23" t="s">
        <v>86</v>
      </c>
    </row>
    <row r="4" spans="1:78" s="5" customFormat="1" ht="60" x14ac:dyDescent="0.2">
      <c r="A4" s="154" t="s">
        <v>133</v>
      </c>
      <c r="B4" s="275" t="s">
        <v>117</v>
      </c>
      <c r="C4" s="294" t="s">
        <v>63</v>
      </c>
      <c r="D4" s="255" t="s">
        <v>10</v>
      </c>
      <c r="E4" s="256" t="s">
        <v>51</v>
      </c>
      <c r="F4" s="288" t="s">
        <v>7</v>
      </c>
      <c r="G4" s="32" t="s">
        <v>59</v>
      </c>
      <c r="H4" s="30" t="str">
        <f>IF(F4="Rack","No of Racks",(IF(F4="Space","Sq Ft","U Space")))</f>
        <v>No of Racks</v>
      </c>
      <c r="I4" s="32">
        <v>1</v>
      </c>
      <c r="J4" s="32">
        <v>0</v>
      </c>
      <c r="K4" s="34">
        <f>I4-J4</f>
        <v>1</v>
      </c>
      <c r="L4" s="32">
        <v>0</v>
      </c>
      <c r="M4" s="32"/>
      <c r="N4" s="127">
        <f>((5736886/6)/12)*0+(420000+200000)/12</f>
        <v>51666.666666666664</v>
      </c>
      <c r="O4" s="36" t="str">
        <f>D4</f>
        <v>Rated</v>
      </c>
      <c r="P4" s="32" t="s">
        <v>53</v>
      </c>
      <c r="Q4" s="33">
        <v>0</v>
      </c>
      <c r="R4" s="38">
        <v>0</v>
      </c>
      <c r="S4" s="39">
        <f>Q4-R4</f>
        <v>0</v>
      </c>
      <c r="T4" s="33"/>
      <c r="U4" s="33">
        <f>IF(S4&lt;=0,0,(IF(O4="Rated",(S4+T4)*#REF!,(S4+T4))))</f>
        <v>0</v>
      </c>
      <c r="V4" s="33" t="e">
        <f>IF(O4="Rated",Q4*#REF!,Q4)</f>
        <v>#REF!</v>
      </c>
      <c r="W4" s="58">
        <v>0</v>
      </c>
      <c r="X4" s="33">
        <f>IF((S4*-1)&gt;0, (S4*-1), 0)</f>
        <v>0</v>
      </c>
      <c r="Y4" s="40">
        <v>0</v>
      </c>
      <c r="Z4" s="41" t="str">
        <f>E4</f>
        <v>Bundled</v>
      </c>
      <c r="AA4" s="33"/>
      <c r="AB4" s="33"/>
      <c r="AC4" s="42"/>
      <c r="AD4" s="33"/>
      <c r="AE4" s="43"/>
      <c r="AF4" s="44" t="str">
        <f>IF(AE4="No of Seats","No of Seats",(IF(AE4="Space","Sq Ft","")))</f>
        <v/>
      </c>
      <c r="AG4" s="33"/>
      <c r="AH4" s="33"/>
      <c r="AI4" s="33">
        <f>AG4-AH4</f>
        <v>0</v>
      </c>
      <c r="AJ4" s="33"/>
      <c r="AK4" s="33"/>
      <c r="AL4" s="35"/>
      <c r="AM4" s="45">
        <f>N4*L4</f>
        <v>0</v>
      </c>
      <c r="AN4" s="45">
        <f>Y4*X4</f>
        <v>0</v>
      </c>
      <c r="AO4" s="46">
        <f>AD4*AC4*AA4</f>
        <v>0</v>
      </c>
      <c r="AP4" s="45">
        <f>AL4*AJ4</f>
        <v>0</v>
      </c>
      <c r="AQ4" s="47">
        <f>(1923838/6)/12</f>
        <v>26719.972222222223</v>
      </c>
      <c r="AR4" s="48">
        <f>SUBTOTAL(9,AM4:AQ4)</f>
        <v>26719.972222222223</v>
      </c>
      <c r="AS4" s="48"/>
      <c r="AT4" s="55" t="s">
        <v>61</v>
      </c>
      <c r="AU4" s="56"/>
      <c r="AV4" s="57"/>
      <c r="AW4" s="56"/>
      <c r="AX4" s="156"/>
      <c r="AZ4" s="25">
        <f>IF(F4="Rack",AR4/I4,0)+IF(F4="U Space",AR4*40/I4,0)+IF(F4="Space",AR4*30/I4,0)</f>
        <v>26719.972222222223</v>
      </c>
      <c r="BA4" s="25" t="e">
        <f>+AR4/V4</f>
        <v>#REF!</v>
      </c>
      <c r="BB4" s="25" t="e">
        <f t="shared" ref="BB4:BC6" si="0">+($AM4+$AN4+$AO4-BI4)/$V4</f>
        <v>#REF!</v>
      </c>
      <c r="BC4" s="25" t="e">
        <f t="shared" si="0"/>
        <v>#REF!</v>
      </c>
      <c r="BD4" s="25" t="e">
        <f>+($AM4+$AN4+IF(E4="Bundled",0,V4*0.85*AA4*AC4*30.5*24)-BK4)/$V4</f>
        <v>#REF!</v>
      </c>
      <c r="BE4" s="25"/>
      <c r="BF4" s="26">
        <f>+AM4+AN4+AO4</f>
        <v>0</v>
      </c>
      <c r="BG4" s="26" t="e">
        <f>+BF4-BH4</f>
        <v>#REF!</v>
      </c>
      <c r="BH4" s="26" t="e">
        <f>IF(E4="Bundled",MIN(V4*#REF!*(1+#REF!),BF4),AO4)</f>
        <v>#REF!</v>
      </c>
      <c r="BI4" s="27" t="e">
        <f>IF($AD4&gt;0,$AD4*#REF!*#REF!*(1+#REF!*(20/#REF!)/732),#REF!*W4)</f>
        <v>#REF!</v>
      </c>
      <c r="BJ4" s="27" t="e">
        <f>IF($AD4&gt;0,$AD4*#REF!*#REF!*(1+#REF!*(20/#REF!)/732),+#REF!*(W4+U4))</f>
        <v>#REF!</v>
      </c>
      <c r="BK4" s="27" t="e">
        <f>IF(E4="Bundled",#REF!*V4,#REF!*V4*0.85)</f>
        <v>#REF!</v>
      </c>
      <c r="BL4" s="27" t="e">
        <f>+BB4*V4</f>
        <v>#REF!</v>
      </c>
      <c r="BM4" s="27" t="e">
        <f>+#REF!*V4</f>
        <v>#REF!</v>
      </c>
      <c r="BN4" s="27" t="e">
        <f>+BG4-BM4</f>
        <v>#REF!</v>
      </c>
      <c r="BO4" s="27" t="e">
        <f>+BH4-BI4</f>
        <v>#REF!</v>
      </c>
      <c r="BP4" s="27" t="e">
        <f>+BN4+BO4</f>
        <v>#REF!</v>
      </c>
      <c r="BQ4" s="27" t="e">
        <f>+V4</f>
        <v>#REF!</v>
      </c>
      <c r="BR4" s="27" t="e">
        <f>+BB4</f>
        <v>#REF!</v>
      </c>
      <c r="BS4" s="27" t="e">
        <f>IF(E4="Bundled",BK4-BI4,AO4-BI4)</f>
        <v>#REF!</v>
      </c>
      <c r="BT4" s="27" t="e">
        <f>IF(E4="Bundled",+(BD4-#REF!)*V4,(AM4+AN4)-V4*#REF!)</f>
        <v>#REF!</v>
      </c>
      <c r="BU4" s="27" t="e">
        <f>+BS4+BT4</f>
        <v>#REF!</v>
      </c>
      <c r="BV4" s="27" t="e">
        <f t="shared" ref="BV4:BX6" si="1">+BS4/$BQ4</f>
        <v>#REF!</v>
      </c>
      <c r="BW4" s="27" t="e">
        <f t="shared" si="1"/>
        <v>#REF!</v>
      </c>
      <c r="BX4" s="27" t="e">
        <f t="shared" si="1"/>
        <v>#REF!</v>
      </c>
    </row>
    <row r="5" spans="1:78" s="16" customFormat="1" ht="60" x14ac:dyDescent="0.2">
      <c r="A5" s="158" t="s">
        <v>132</v>
      </c>
      <c r="B5" s="276" t="s">
        <v>122</v>
      </c>
      <c r="C5" s="273" t="s">
        <v>90</v>
      </c>
      <c r="D5" s="255" t="s">
        <v>10</v>
      </c>
      <c r="E5" s="256" t="s">
        <v>51</v>
      </c>
      <c r="F5" s="288" t="s">
        <v>7</v>
      </c>
      <c r="G5" s="32" t="s">
        <v>59</v>
      </c>
      <c r="H5" s="30" t="str">
        <f>IF(F5="Rack","No of Racks",(IF(F5="Space","Sq Ft","U Space")))</f>
        <v>No of Racks</v>
      </c>
      <c r="I5" s="32">
        <v>4</v>
      </c>
      <c r="J5" s="32">
        <v>0</v>
      </c>
      <c r="K5" s="34">
        <v>0</v>
      </c>
      <c r="L5" s="32">
        <v>0</v>
      </c>
      <c r="M5" s="32"/>
      <c r="N5" s="35">
        <f>((175000+619000+619000+619000)/4)/12</f>
        <v>42333.333333333336</v>
      </c>
      <c r="O5" s="36" t="str">
        <f>D5</f>
        <v>Rated</v>
      </c>
      <c r="P5" s="32" t="s">
        <v>53</v>
      </c>
      <c r="Q5" s="33">
        <v>0</v>
      </c>
      <c r="R5" s="38">
        <v>0</v>
      </c>
      <c r="S5" s="39">
        <f>Q5-R5</f>
        <v>0</v>
      </c>
      <c r="T5" s="33"/>
      <c r="U5" s="33">
        <f>IF(S5&lt;=0,0,(IF(O5="Rated",(S5+T5)*#REF!,(S5+T5))))</f>
        <v>0</v>
      </c>
      <c r="V5" s="33" t="e">
        <f>IF(O5="Rated",Q5*#REF!,Q5)</f>
        <v>#REF!</v>
      </c>
      <c r="W5" s="58">
        <v>0</v>
      </c>
      <c r="X5" s="33">
        <f>IF((S5*-1)&gt;0, (S5*-1), 0)</f>
        <v>0</v>
      </c>
      <c r="Y5" s="40">
        <f>70000/12</f>
        <v>5833.333333333333</v>
      </c>
      <c r="Z5" s="41" t="str">
        <f>E5</f>
        <v>Bundled</v>
      </c>
      <c r="AA5" s="33"/>
      <c r="AB5" s="33"/>
      <c r="AC5" s="42"/>
      <c r="AD5" s="33"/>
      <c r="AE5" s="43"/>
      <c r="AF5" s="44"/>
      <c r="AG5" s="33"/>
      <c r="AH5" s="33"/>
      <c r="AI5" s="33">
        <f>AG5-AH5</f>
        <v>0</v>
      </c>
      <c r="AJ5" s="33"/>
      <c r="AK5" s="33"/>
      <c r="AL5" s="35">
        <f>(0)/12</f>
        <v>0</v>
      </c>
      <c r="AM5" s="45">
        <f>N5*L5</f>
        <v>0</v>
      </c>
      <c r="AN5" s="45">
        <f>Y5*X5</f>
        <v>0</v>
      </c>
      <c r="AO5" s="46">
        <f>AD5*AC5*AA5</f>
        <v>0</v>
      </c>
      <c r="AP5" s="45">
        <f>AL5*AJ5</f>
        <v>0</v>
      </c>
      <c r="AQ5" s="47">
        <f>(140000+88000+45000)/12</f>
        <v>22750</v>
      </c>
      <c r="AR5" s="48">
        <f>SUBTOTAL(9,AM5:AQ5)</f>
        <v>22750</v>
      </c>
      <c r="AS5" s="48"/>
      <c r="AT5" s="60" t="s">
        <v>93</v>
      </c>
      <c r="AU5" s="61">
        <v>43831</v>
      </c>
      <c r="AV5" s="62">
        <v>1</v>
      </c>
      <c r="AW5" s="61">
        <v>44196</v>
      </c>
      <c r="AX5" s="81"/>
      <c r="AY5" s="5"/>
      <c r="AZ5" s="28">
        <f>IF(F5="Rack",AR5/I5,0)+IF(F5="U Space",AR5*40/I5,0)+IF(F5="Space",AR5*30/I5,0)</f>
        <v>5687.5</v>
      </c>
      <c r="BA5" s="28" t="e">
        <f>+AR5/V5</f>
        <v>#REF!</v>
      </c>
      <c r="BB5" s="25" t="e">
        <f t="shared" si="0"/>
        <v>#REF!</v>
      </c>
      <c r="BC5" s="25" t="e">
        <f t="shared" si="0"/>
        <v>#REF!</v>
      </c>
      <c r="BD5" s="25" t="e">
        <f>+($AM5+$AN5+IF(E5="Bundled",0,V5*0.85*AA5*AC5*30.5*24)-BK5)/$V5</f>
        <v>#REF!</v>
      </c>
      <c r="BE5" s="28"/>
      <c r="BF5" s="26">
        <f>+AM5+AN5+AO5</f>
        <v>0</v>
      </c>
      <c r="BG5" s="26" t="e">
        <f>+BF5-BH5</f>
        <v>#REF!</v>
      </c>
      <c r="BH5" s="26" t="e">
        <f>IF(E5="Bundled",MIN(V5*#REF!*(1+#REF!),BF5),AO5)</f>
        <v>#REF!</v>
      </c>
      <c r="BI5" s="27" t="e">
        <f>IF($AD5&gt;0,$AD5*#REF!*#REF!*(1+#REF!*(20/#REF!)/732),#REF!*W5)</f>
        <v>#REF!</v>
      </c>
      <c r="BJ5" s="27" t="e">
        <f>IF($AD5&gt;0,$AD5*#REF!*#REF!*(1+#REF!*(20/#REF!)/732),+#REF!*(W5+U5))</f>
        <v>#REF!</v>
      </c>
      <c r="BK5" s="27" t="e">
        <f>IF(E5="Bundled",#REF!*V5,#REF!*V5*0.85)</f>
        <v>#REF!</v>
      </c>
      <c r="BL5" s="27" t="e">
        <f>+BB5*V5</f>
        <v>#REF!</v>
      </c>
      <c r="BM5" s="27" t="e">
        <f>+#REF!*V5</f>
        <v>#REF!</v>
      </c>
      <c r="BN5" s="27" t="e">
        <f>+BG5-BM5</f>
        <v>#REF!</v>
      </c>
      <c r="BO5" s="27" t="e">
        <f>+BH5-BI5</f>
        <v>#REF!</v>
      </c>
      <c r="BP5" s="27" t="e">
        <f>+BN5+BO5</f>
        <v>#REF!</v>
      </c>
      <c r="BQ5" s="27" t="e">
        <f>+V5</f>
        <v>#REF!</v>
      </c>
      <c r="BR5" s="27" t="e">
        <f>+BB5</f>
        <v>#REF!</v>
      </c>
      <c r="BS5" s="27" t="e">
        <f>IF(E5="Bundled",BK5-BI5,AO5-BI5)</f>
        <v>#REF!</v>
      </c>
      <c r="BT5" s="27" t="e">
        <f>IF(E5="Bundled",+(BD5-#REF!)*V5,(AM5+AN5)-V5*#REF!)</f>
        <v>#REF!</v>
      </c>
      <c r="BU5" s="27" t="e">
        <f>+BS5+BT5</f>
        <v>#REF!</v>
      </c>
      <c r="BV5" s="27" t="e">
        <f t="shared" si="1"/>
        <v>#REF!</v>
      </c>
      <c r="BW5" s="27" t="e">
        <f t="shared" si="1"/>
        <v>#REF!</v>
      </c>
      <c r="BX5" s="27" t="e">
        <f t="shared" si="1"/>
        <v>#REF!</v>
      </c>
    </row>
    <row r="6" spans="1:78" s="16" customFormat="1" ht="30" x14ac:dyDescent="0.2">
      <c r="A6" s="158" t="s">
        <v>133</v>
      </c>
      <c r="B6" s="275" t="s">
        <v>119</v>
      </c>
      <c r="C6" s="254" t="s">
        <v>190</v>
      </c>
      <c r="D6" s="255" t="s">
        <v>10</v>
      </c>
      <c r="E6" s="256" t="s">
        <v>51</v>
      </c>
      <c r="F6" s="288" t="s">
        <v>7</v>
      </c>
      <c r="G6" s="32" t="s">
        <v>59</v>
      </c>
      <c r="H6" s="30" t="str">
        <f>IF(F6="Rack","No of Racks",(IF(F6="Space","Sq Ft","U Space")))</f>
        <v>No of Racks</v>
      </c>
      <c r="I6" s="32">
        <v>2</v>
      </c>
      <c r="J6" s="32">
        <v>0</v>
      </c>
      <c r="K6" s="34">
        <v>0</v>
      </c>
      <c r="L6" s="32">
        <v>0</v>
      </c>
      <c r="M6" s="32"/>
      <c r="N6" s="35">
        <f>800000/12</f>
        <v>66666.666666666672</v>
      </c>
      <c r="O6" s="36" t="str">
        <f>D6</f>
        <v>Rated</v>
      </c>
      <c r="P6" s="126" t="s">
        <v>53</v>
      </c>
      <c r="Q6" s="33">
        <v>0</v>
      </c>
      <c r="R6" s="38">
        <v>0</v>
      </c>
      <c r="S6" s="39">
        <f>Q6-R6</f>
        <v>0</v>
      </c>
      <c r="T6" s="33"/>
      <c r="U6" s="33">
        <f>IF(S6&lt;=0,0,(IF(O6="Rated",(S6+T6)*#REF!,(S6+T6))))</f>
        <v>0</v>
      </c>
      <c r="V6" s="33" t="e">
        <f>IF(O6="Rated",Q6*#REF!,Q6)</f>
        <v>#REF!</v>
      </c>
      <c r="W6" s="58">
        <v>0</v>
      </c>
      <c r="X6" s="33">
        <f>IF((S6*-1)&gt;0, (S6*-1), 0)</f>
        <v>0</v>
      </c>
      <c r="Y6" s="40">
        <f>80000/12</f>
        <v>6666.666666666667</v>
      </c>
      <c r="Z6" s="41" t="str">
        <f>E6</f>
        <v>Bundled</v>
      </c>
      <c r="AA6" s="33"/>
      <c r="AB6" s="33"/>
      <c r="AC6" s="42"/>
      <c r="AD6" s="33"/>
      <c r="AE6" s="43" t="s">
        <v>54</v>
      </c>
      <c r="AF6" s="44" t="str">
        <f>IF(AE6="No of Seats","No of Seats",(IF(AE6="Space","Sq Ft","")))</f>
        <v>No of Seats</v>
      </c>
      <c r="AG6" s="33">
        <v>0</v>
      </c>
      <c r="AH6" s="33">
        <v>0</v>
      </c>
      <c r="AI6" s="33">
        <f>AG6-AH6</f>
        <v>0</v>
      </c>
      <c r="AJ6" s="33">
        <v>0</v>
      </c>
      <c r="AK6" s="33"/>
      <c r="AL6" s="35">
        <v>0</v>
      </c>
      <c r="AM6" s="45">
        <f>N6*L6</f>
        <v>0</v>
      </c>
      <c r="AN6" s="45">
        <f>Y6*X6</f>
        <v>0</v>
      </c>
      <c r="AO6" s="46">
        <f>AD6*AC6*AA6</f>
        <v>0</v>
      </c>
      <c r="AP6" s="45">
        <f>AL6*AJ6</f>
        <v>0</v>
      </c>
      <c r="AQ6" s="47"/>
      <c r="AR6" s="48">
        <f>SUBTOTAL(9,AM6:AQ6)</f>
        <v>0</v>
      </c>
      <c r="AS6" s="48"/>
      <c r="AT6" s="60">
        <v>721004949</v>
      </c>
      <c r="AU6" s="50"/>
      <c r="AV6" s="51"/>
      <c r="AW6" s="50"/>
      <c r="AX6" s="157"/>
      <c r="AZ6" s="25">
        <f>IF(F6="Rack",AR6/I6,0)+IF(F6="U Space",AR6*40/I6,0)+IF(F6="Space",AR6*30/I6,0)</f>
        <v>0</v>
      </c>
      <c r="BA6" s="25" t="e">
        <f>+AR6/V6</f>
        <v>#REF!</v>
      </c>
      <c r="BB6" s="25" t="e">
        <f t="shared" si="0"/>
        <v>#REF!</v>
      </c>
      <c r="BC6" s="25" t="e">
        <f t="shared" si="0"/>
        <v>#REF!</v>
      </c>
      <c r="BD6" s="25" t="e">
        <f>+($AM6+$AN6+IF(E6="Bundled",0,V6*0.85*AA6*AC6*30.5*24)-BK6)/$V6</f>
        <v>#REF!</v>
      </c>
      <c r="BE6" s="25"/>
      <c r="BF6" s="26">
        <f>+AM6+AN6+AO6</f>
        <v>0</v>
      </c>
      <c r="BG6" s="26" t="e">
        <f>+BF6-BH6</f>
        <v>#REF!</v>
      </c>
      <c r="BH6" s="26" t="e">
        <f>IF(E6="Bundled",MIN(V6*#REF!*(1+#REF!),BF6),AO6)</f>
        <v>#REF!</v>
      </c>
      <c r="BI6" s="27" t="e">
        <f>IF($AD6&gt;0,$AD6*#REF!*#REF!*(1+#REF!*(20/#REF!)/732),#REF!*W6)</f>
        <v>#REF!</v>
      </c>
      <c r="BJ6" s="27" t="e">
        <f>IF($AD6&gt;0,$AD6*#REF!*#REF!*(1+#REF!*(20/#REF!)/732),+#REF!*(W6+U6))</f>
        <v>#REF!</v>
      </c>
      <c r="BK6" s="27" t="e">
        <f>IF(E6="Bundled",#REF!*V6,#REF!*V6*0.85)</f>
        <v>#REF!</v>
      </c>
      <c r="BL6" s="27" t="e">
        <f>+BB6*V6</f>
        <v>#REF!</v>
      </c>
      <c r="BM6" s="27" t="e">
        <f>+#REF!*V6</f>
        <v>#REF!</v>
      </c>
      <c r="BN6" s="27" t="e">
        <f>+BG6-BM6</f>
        <v>#REF!</v>
      </c>
      <c r="BO6" s="27" t="e">
        <f>+BH6-BI6</f>
        <v>#REF!</v>
      </c>
      <c r="BP6" s="27" t="e">
        <f>+BN6+BO6</f>
        <v>#REF!</v>
      </c>
      <c r="BQ6" s="27" t="e">
        <f>+V6</f>
        <v>#REF!</v>
      </c>
      <c r="BR6" s="27" t="e">
        <f>+BB6</f>
        <v>#REF!</v>
      </c>
      <c r="BS6" s="27" t="e">
        <f>IF(E6="Bundled",BK6-BI6,AO6-BI6)</f>
        <v>#REF!</v>
      </c>
      <c r="BT6" s="27" t="e">
        <f>IF(E6="Bundled",+(BD6-#REF!)*V6,(AM6+AN6)-V6*#REF!)</f>
        <v>#REF!</v>
      </c>
      <c r="BU6" s="27" t="e">
        <f>+BS6+BT6</f>
        <v>#REF!</v>
      </c>
      <c r="BV6" s="27" t="e">
        <f t="shared" si="1"/>
        <v>#REF!</v>
      </c>
      <c r="BW6" s="27" t="e">
        <f t="shared" si="1"/>
        <v>#REF!</v>
      </c>
      <c r="BX6" s="27" t="e">
        <f t="shared" si="1"/>
        <v>#REF!</v>
      </c>
    </row>
    <row r="7" spans="1:78" s="16" customFormat="1" ht="15" x14ac:dyDescent="0.2">
      <c r="A7" s="158" t="s">
        <v>132</v>
      </c>
      <c r="B7" s="277" t="s">
        <v>204</v>
      </c>
      <c r="C7" s="273" t="s">
        <v>99</v>
      </c>
      <c r="D7" s="255" t="s">
        <v>10</v>
      </c>
      <c r="E7" s="256" t="s">
        <v>51</v>
      </c>
      <c r="F7" s="288" t="s">
        <v>58</v>
      </c>
      <c r="G7" s="32" t="s">
        <v>59</v>
      </c>
      <c r="H7" s="30" t="str">
        <f t="shared" ref="H7:H9" si="2">IF(F7="Rack","No of Racks",(IF(F7="Space","Sq Ft","U Space")))</f>
        <v>U Space</v>
      </c>
      <c r="I7" s="32">
        <v>2</v>
      </c>
      <c r="J7" s="32">
        <v>0</v>
      </c>
      <c r="K7" s="34">
        <f t="shared" ref="K7:K9" si="3">I7-J7</f>
        <v>2</v>
      </c>
      <c r="L7" s="32">
        <v>0</v>
      </c>
      <c r="M7" s="32"/>
      <c r="N7" s="35">
        <f>55000/12/2</f>
        <v>2291.6666666666665</v>
      </c>
      <c r="O7" s="36" t="str">
        <f t="shared" ref="O7:O9" si="4">D7</f>
        <v>Rated</v>
      </c>
      <c r="P7" s="32" t="s">
        <v>53</v>
      </c>
      <c r="Q7" s="33">
        <v>0</v>
      </c>
      <c r="R7" s="38">
        <v>0</v>
      </c>
      <c r="S7" s="39">
        <f t="shared" ref="S7:S9" si="5">Q7-R7</f>
        <v>0</v>
      </c>
      <c r="T7" s="33"/>
      <c r="U7" s="33">
        <f>IF(S7&lt;=0,0,(IF(O7="Rated",(S7+T7)*$U$1,(S7+T7))))</f>
        <v>0</v>
      </c>
      <c r="V7" s="33">
        <f>IF(O7="Rated",Q7*$U$1,Q7)</f>
        <v>0</v>
      </c>
      <c r="W7"/>
      <c r="X7" s="33">
        <f t="shared" ref="X7:X9" si="6">IF((S7*-1)&gt;0, (S7*-1), 0)</f>
        <v>0</v>
      </c>
      <c r="Y7" s="40">
        <f>90000/12</f>
        <v>7500</v>
      </c>
      <c r="Z7" s="41" t="str">
        <f t="shared" ref="Z7:Z9" si="7">E7</f>
        <v>Bundled</v>
      </c>
      <c r="AA7" s="33"/>
      <c r="AB7" s="33"/>
      <c r="AC7" s="42"/>
      <c r="AD7" s="33"/>
      <c r="AE7" s="43"/>
      <c r="AF7" s="44"/>
      <c r="AG7" s="33"/>
      <c r="AH7" s="33"/>
      <c r="AI7" s="33">
        <f t="shared" ref="AI7:AI9" si="8">AG7-AH7</f>
        <v>0</v>
      </c>
      <c r="AJ7" s="33"/>
      <c r="AK7" s="33"/>
      <c r="AL7" s="35">
        <f t="shared" ref="AL7" si="9">(0)/12</f>
        <v>0</v>
      </c>
      <c r="AM7" s="45">
        <f t="shared" ref="AM7:AM9" si="10">N7*L7</f>
        <v>0</v>
      </c>
      <c r="AN7" s="45">
        <f t="shared" ref="AN7:AN9" si="11">Y7*X7</f>
        <v>0</v>
      </c>
      <c r="AO7" s="46">
        <f t="shared" ref="AO7:AO9" si="12">AD7*AC7*AA7</f>
        <v>0</v>
      </c>
      <c r="AP7" s="45">
        <f t="shared" ref="AP7:AP9" si="13">AL7*AJ7</f>
        <v>0</v>
      </c>
      <c r="AQ7" s="47">
        <f t="shared" ref="AQ7" si="14">0/12</f>
        <v>0</v>
      </c>
      <c r="AR7" s="48">
        <f t="shared" ref="AR7:AR9" si="15">SUBTOTAL(9,AM7:AQ7)</f>
        <v>0</v>
      </c>
      <c r="AS7" s="48"/>
      <c r="AT7" s="60"/>
      <c r="AU7" s="61"/>
      <c r="AV7" s="62"/>
      <c r="AW7" s="61"/>
      <c r="AX7" s="81"/>
      <c r="AY7" s="5"/>
      <c r="AZ7" s="28">
        <f t="shared" ref="AZ7:AZ9" si="16">IF(F7="Rack",AR7/I7,0)+IF(F7="U Space",AR7*40/I7,0)+IF(F7="Space",AR7*30/I7,0)</f>
        <v>0</v>
      </c>
      <c r="BA7" s="28" t="e">
        <f t="shared" ref="BA7:BA9" si="17">+AR7/V7</f>
        <v>#DIV/0!</v>
      </c>
      <c r="BB7" s="25" t="e">
        <f t="shared" ref="BB7:BC9" si="18">+($AM7+$AN7+$AO7-BI7)/$V7</f>
        <v>#DIV/0!</v>
      </c>
      <c r="BC7" s="25" t="e">
        <f t="shared" si="18"/>
        <v>#DIV/0!</v>
      </c>
      <c r="BD7" s="25" t="e">
        <f t="shared" ref="BD7:BD9" si="19">+($AM7+$AN7+IF(E7="Bundled",0,V7*0.85*AA7*AC7*30.5*24)-BK7)/$V7</f>
        <v>#DIV/0!</v>
      </c>
      <c r="BE7" s="28"/>
      <c r="BF7" s="26">
        <f t="shared" ref="BF7:BF9" si="20">+AM7+AN7+AO7</f>
        <v>0</v>
      </c>
      <c r="BG7" s="26" t="e">
        <f t="shared" ref="BG7:BG9" si="21">+BF7-BH7</f>
        <v>#REF!</v>
      </c>
      <c r="BH7" s="26" t="e">
        <f>IF(E7="Bundled",MIN(V7*$AD$1*(1+#REF!),BF7),AO7)</f>
        <v>#REF!</v>
      </c>
      <c r="BI7" s="27">
        <f>IF($AD7&gt;0,$AD7*$AA$1*$AC$1*(1+$AF$1*(20/$AC$1)/732),$AD$1*W7)</f>
        <v>0</v>
      </c>
      <c r="BJ7" s="27">
        <f>IF($AD7&gt;0,$AD7*$AA$1*$AC$1*(1+$AF$1*(20/$AC$1)/732),+$AD$1*(W7+U7))</f>
        <v>0</v>
      </c>
      <c r="BK7" s="27">
        <f>IF(E7="Bundled",$AD$1*V7,$AD$1*V7*0.85)</f>
        <v>0</v>
      </c>
      <c r="BL7" s="27" t="e">
        <f t="shared" ref="BL7:BL9" si="22">+BB7*V7</f>
        <v>#DIV/0!</v>
      </c>
      <c r="BM7" s="27" t="e">
        <f>+#REF!*V7</f>
        <v>#REF!</v>
      </c>
      <c r="BN7" s="27" t="e">
        <f t="shared" ref="BN7:BN9" si="23">+BG7-BM7</f>
        <v>#REF!</v>
      </c>
      <c r="BO7" s="27" t="e">
        <f t="shared" ref="BO7:BO9" si="24">+BH7-BI7</f>
        <v>#REF!</v>
      </c>
      <c r="BP7" s="27" t="e">
        <f t="shared" ref="BP7:BP9" si="25">+BN7+BO7</f>
        <v>#REF!</v>
      </c>
      <c r="BQ7" s="27">
        <f t="shared" ref="BQ7:BQ9" si="26">+V7</f>
        <v>0</v>
      </c>
      <c r="BR7" s="27" t="e">
        <f t="shared" ref="BR7:BR9" si="27">+BB7</f>
        <v>#DIV/0!</v>
      </c>
      <c r="BS7" s="27">
        <f t="shared" ref="BS7:BS9" si="28">IF(E7="Bundled",BK7-BI7,AO7-BI7)</f>
        <v>0</v>
      </c>
      <c r="BT7" s="27" t="e">
        <f>IF(E7="Bundled",+(BD7-#REF!)*V7,(AM7+AN7)-V7*#REF!)</f>
        <v>#DIV/0!</v>
      </c>
      <c r="BU7" s="27" t="e">
        <f t="shared" ref="BU7:BU9" si="29">+BS7+BT7</f>
        <v>#DIV/0!</v>
      </c>
      <c r="BV7" s="27" t="e">
        <f t="shared" ref="BV7:BX9" si="30">+BS7/$BQ7</f>
        <v>#DIV/0!</v>
      </c>
      <c r="BW7" s="27" t="e">
        <f t="shared" si="30"/>
        <v>#DIV/0!</v>
      </c>
      <c r="BX7" s="27" t="e">
        <f t="shared" si="30"/>
        <v>#DIV/0!</v>
      </c>
    </row>
    <row r="8" spans="1:78" s="16" customFormat="1" ht="15" x14ac:dyDescent="0.2">
      <c r="A8" s="158" t="s">
        <v>94</v>
      </c>
      <c r="B8" s="277" t="s">
        <v>203</v>
      </c>
      <c r="C8" s="273" t="s">
        <v>110</v>
      </c>
      <c r="D8" s="255" t="s">
        <v>10</v>
      </c>
      <c r="E8" s="256" t="s">
        <v>51</v>
      </c>
      <c r="F8" s="288" t="s">
        <v>58</v>
      </c>
      <c r="G8" s="32" t="s">
        <v>59</v>
      </c>
      <c r="H8" s="30" t="str">
        <f t="shared" si="2"/>
        <v>U Space</v>
      </c>
      <c r="I8" s="32">
        <v>2</v>
      </c>
      <c r="J8" s="32">
        <v>2</v>
      </c>
      <c r="K8" s="34">
        <f t="shared" si="3"/>
        <v>0</v>
      </c>
      <c r="L8" s="32">
        <v>2</v>
      </c>
      <c r="M8" s="32"/>
      <c r="N8" s="35">
        <f>(35000)/12</f>
        <v>2916.6666666666665</v>
      </c>
      <c r="O8" s="36" t="str">
        <f t="shared" si="4"/>
        <v>Rated</v>
      </c>
      <c r="P8" s="37" t="s">
        <v>53</v>
      </c>
      <c r="Q8" s="33">
        <v>0.5</v>
      </c>
      <c r="R8" s="38">
        <v>0.28000000000000003</v>
      </c>
      <c r="S8" s="39">
        <f t="shared" si="5"/>
        <v>0.21999999999999997</v>
      </c>
      <c r="T8" s="33"/>
      <c r="U8" s="33">
        <f>IF(S8&lt;=0,0,(IF(O8="Rated",(S8+T8)*$U$1,(S8+T8))))</f>
        <v>0.10999999999999999</v>
      </c>
      <c r="V8" s="33">
        <f>IF(O8="Rated",Q8*$U$1,Q8)</f>
        <v>0.25</v>
      </c>
      <c r="W8"/>
      <c r="X8" s="33">
        <f t="shared" si="6"/>
        <v>0</v>
      </c>
      <c r="Y8" s="40">
        <f>99000/12</f>
        <v>8250</v>
      </c>
      <c r="Z8" s="41" t="str">
        <f t="shared" si="7"/>
        <v>Bundled</v>
      </c>
      <c r="AA8" s="33"/>
      <c r="AB8" s="33"/>
      <c r="AC8" s="42"/>
      <c r="AD8" s="33"/>
      <c r="AE8" s="43"/>
      <c r="AF8" s="44" t="str">
        <f t="shared" ref="AF8" si="31">IF(AE8="No of Seats","No of Seats",(IF(AE8="Space","Sq Ft","")))</f>
        <v/>
      </c>
      <c r="AG8" s="33"/>
      <c r="AH8" s="33"/>
      <c r="AI8" s="33">
        <f t="shared" si="8"/>
        <v>0</v>
      </c>
      <c r="AJ8" s="33"/>
      <c r="AK8" s="33"/>
      <c r="AL8" s="35"/>
      <c r="AM8" s="45">
        <f t="shared" si="10"/>
        <v>5833.333333333333</v>
      </c>
      <c r="AN8" s="45">
        <f t="shared" si="11"/>
        <v>0</v>
      </c>
      <c r="AO8" s="46">
        <f t="shared" si="12"/>
        <v>0</v>
      </c>
      <c r="AP8" s="45">
        <f t="shared" si="13"/>
        <v>0</v>
      </c>
      <c r="AQ8" s="47">
        <v>0</v>
      </c>
      <c r="AR8" s="48">
        <f t="shared" si="15"/>
        <v>5833.333333333333</v>
      </c>
      <c r="AS8" s="48"/>
      <c r="AT8" s="49"/>
      <c r="AU8" s="50"/>
      <c r="AV8" s="51"/>
      <c r="AW8" s="50"/>
      <c r="AX8" s="157"/>
      <c r="AY8" s="5"/>
      <c r="AZ8" s="25">
        <f t="shared" si="16"/>
        <v>116666.66666666666</v>
      </c>
      <c r="BA8" s="25">
        <f t="shared" si="17"/>
        <v>23333.333333333332</v>
      </c>
      <c r="BB8" s="25">
        <f t="shared" si="18"/>
        <v>23333.333333333332</v>
      </c>
      <c r="BC8" s="25">
        <f t="shared" si="18"/>
        <v>15304.688423333333</v>
      </c>
      <c r="BD8" s="25">
        <f t="shared" si="19"/>
        <v>5086.4130833333329</v>
      </c>
      <c r="BE8" s="25"/>
      <c r="BF8" s="26">
        <f t="shared" si="20"/>
        <v>5833.333333333333</v>
      </c>
      <c r="BG8" s="26" t="e">
        <f t="shared" si="21"/>
        <v>#REF!</v>
      </c>
      <c r="BH8" s="26" t="e">
        <f>IF(E8="Bundled",MIN(V8*$AD$1*(1+#REF!),BF8),AO8)</f>
        <v>#REF!</v>
      </c>
      <c r="BI8" s="27">
        <f>IF($AD8&gt;0,$AD8*$AA$1*$AC$1*(1+$AF$1*(20/$AC$1)/732),$AD$1*W8)</f>
        <v>0</v>
      </c>
      <c r="BJ8" s="27">
        <f>IF($AD8&gt;0,$AD8*$AA$1*$AC$1*(1+$AF$1*(20/$AC$1)/732),+$AD$1*(W8+U8))</f>
        <v>2007.1612274999998</v>
      </c>
      <c r="BK8" s="27">
        <f>IF(E8="Bundled",$AD$1*V8,$AD$1*V8*0.85)</f>
        <v>4561.7300624999998</v>
      </c>
      <c r="BL8" s="27">
        <f t="shared" si="22"/>
        <v>5833.333333333333</v>
      </c>
      <c r="BM8" s="27" t="e">
        <f>+#REF!*V8</f>
        <v>#REF!</v>
      </c>
      <c r="BN8" s="27" t="e">
        <f t="shared" si="23"/>
        <v>#REF!</v>
      </c>
      <c r="BO8" s="27" t="e">
        <f t="shared" si="24"/>
        <v>#REF!</v>
      </c>
      <c r="BP8" s="27" t="e">
        <f t="shared" si="25"/>
        <v>#REF!</v>
      </c>
      <c r="BQ8" s="27">
        <f t="shared" si="26"/>
        <v>0.25</v>
      </c>
      <c r="BR8" s="27">
        <f t="shared" si="27"/>
        <v>23333.333333333332</v>
      </c>
      <c r="BS8" s="27">
        <f t="shared" si="28"/>
        <v>4561.7300624999998</v>
      </c>
      <c r="BT8" s="27" t="e">
        <f>IF(E8="Bundled",+(BD8-#REF!)*V8,(AM8+AN8)-V8*#REF!)</f>
        <v>#REF!</v>
      </c>
      <c r="BU8" s="27" t="e">
        <f t="shared" si="29"/>
        <v>#REF!</v>
      </c>
      <c r="BV8" s="27">
        <f t="shared" si="30"/>
        <v>18246.920249999999</v>
      </c>
      <c r="BW8" s="27" t="e">
        <f t="shared" si="30"/>
        <v>#REF!</v>
      </c>
      <c r="BX8" s="27" t="e">
        <f t="shared" si="30"/>
        <v>#REF!</v>
      </c>
    </row>
    <row r="9" spans="1:78" s="16" customFormat="1" ht="30" x14ac:dyDescent="0.2">
      <c r="A9" s="240" t="s">
        <v>94</v>
      </c>
      <c r="B9" s="275" t="s">
        <v>123</v>
      </c>
      <c r="C9" s="273" t="s">
        <v>113</v>
      </c>
      <c r="D9" s="255" t="s">
        <v>10</v>
      </c>
      <c r="E9" s="256" t="s">
        <v>51</v>
      </c>
      <c r="F9" s="288" t="s">
        <v>7</v>
      </c>
      <c r="G9" s="32" t="s">
        <v>59</v>
      </c>
      <c r="H9" s="30" t="str">
        <f t="shared" si="2"/>
        <v>No of Racks</v>
      </c>
      <c r="I9" s="32">
        <v>2</v>
      </c>
      <c r="J9" s="32">
        <v>0</v>
      </c>
      <c r="K9" s="34">
        <f t="shared" si="3"/>
        <v>2</v>
      </c>
      <c r="L9" s="32">
        <v>0</v>
      </c>
      <c r="M9" s="32"/>
      <c r="N9" s="35">
        <f>(580000)/12</f>
        <v>48333.333333333336</v>
      </c>
      <c r="O9" s="36" t="str">
        <f t="shared" si="4"/>
        <v>Rated</v>
      </c>
      <c r="P9" s="32" t="s">
        <v>53</v>
      </c>
      <c r="Q9" s="33">
        <v>0</v>
      </c>
      <c r="R9" s="38">
        <v>0</v>
      </c>
      <c r="S9" s="39">
        <f t="shared" si="5"/>
        <v>0</v>
      </c>
      <c r="T9" s="33"/>
      <c r="U9" s="33">
        <f>IF(S9&lt;=0,0,(IF(O9="Rated",(S9+T9)*$U$1,(S9+T9))))</f>
        <v>0</v>
      </c>
      <c r="V9" s="33">
        <f>IF(O9="Rated",Q9*$U$1,Q9)</f>
        <v>0</v>
      </c>
      <c r="W9" s="58">
        <v>0</v>
      </c>
      <c r="X9" s="33">
        <f t="shared" si="6"/>
        <v>0</v>
      </c>
      <c r="Y9" s="40">
        <f>110000/12</f>
        <v>9166.6666666666661</v>
      </c>
      <c r="Z9" s="41" t="str">
        <f t="shared" si="7"/>
        <v>Bundled</v>
      </c>
      <c r="AA9" s="33"/>
      <c r="AB9" s="33"/>
      <c r="AC9" s="42"/>
      <c r="AD9" s="33"/>
      <c r="AE9" s="43"/>
      <c r="AF9" s="44"/>
      <c r="AG9" s="33"/>
      <c r="AH9" s="33"/>
      <c r="AI9" s="33">
        <f t="shared" si="8"/>
        <v>0</v>
      </c>
      <c r="AJ9" s="33"/>
      <c r="AK9" s="33"/>
      <c r="AL9" s="35">
        <f t="shared" ref="AL9" si="32">(0)/12</f>
        <v>0</v>
      </c>
      <c r="AM9" s="45">
        <f t="shared" si="10"/>
        <v>0</v>
      </c>
      <c r="AN9" s="45">
        <f t="shared" si="11"/>
        <v>0</v>
      </c>
      <c r="AO9" s="46">
        <f t="shared" si="12"/>
        <v>0</v>
      </c>
      <c r="AP9" s="45">
        <f t="shared" si="13"/>
        <v>0</v>
      </c>
      <c r="AQ9" s="47">
        <f>0/12</f>
        <v>0</v>
      </c>
      <c r="AR9" s="48">
        <f t="shared" si="15"/>
        <v>0</v>
      </c>
      <c r="AS9" s="48"/>
      <c r="AT9" s="60"/>
      <c r="AU9" s="61"/>
      <c r="AV9" s="62"/>
      <c r="AW9" s="61"/>
      <c r="AX9" s="81"/>
      <c r="AY9" s="5"/>
      <c r="AZ9" s="28">
        <f t="shared" si="16"/>
        <v>0</v>
      </c>
      <c r="BA9" s="28" t="e">
        <f t="shared" si="17"/>
        <v>#DIV/0!</v>
      </c>
      <c r="BB9" s="25" t="e">
        <f t="shared" si="18"/>
        <v>#DIV/0!</v>
      </c>
      <c r="BC9" s="25" t="e">
        <f t="shared" si="18"/>
        <v>#DIV/0!</v>
      </c>
      <c r="BD9" s="25" t="e">
        <f t="shared" si="19"/>
        <v>#DIV/0!</v>
      </c>
      <c r="BE9" s="28"/>
      <c r="BF9" s="26">
        <f t="shared" si="20"/>
        <v>0</v>
      </c>
      <c r="BG9" s="26" t="e">
        <f t="shared" si="21"/>
        <v>#REF!</v>
      </c>
      <c r="BH9" s="26" t="e">
        <f>IF(E9="Bundled",MIN(V9*$AD$1*(1+#REF!),BF9),AO9)</f>
        <v>#REF!</v>
      </c>
      <c r="BI9" s="27">
        <f>IF($AD9&gt;0,$AD9*$AA$1*$AC$1*(1+$AF$1*(20/$AC$1)/732),$AD$1*W9)</f>
        <v>0</v>
      </c>
      <c r="BJ9" s="27">
        <f>IF($AD9&gt;0,$AD9*$AA$1*$AC$1*(1+$AF$1*(20/$AC$1)/732),+$AD$1*(W9+U9))</f>
        <v>0</v>
      </c>
      <c r="BK9" s="27">
        <f>IF(E9="Bundled",$AD$1*V9,$AD$1*V9*0.85)</f>
        <v>0</v>
      </c>
      <c r="BL9" s="27" t="e">
        <f t="shared" si="22"/>
        <v>#DIV/0!</v>
      </c>
      <c r="BM9" s="27" t="e">
        <f>+#REF!*V9</f>
        <v>#REF!</v>
      </c>
      <c r="BN9" s="27" t="e">
        <f t="shared" si="23"/>
        <v>#REF!</v>
      </c>
      <c r="BO9" s="27" t="e">
        <f t="shared" si="24"/>
        <v>#REF!</v>
      </c>
      <c r="BP9" s="27" t="e">
        <f t="shared" si="25"/>
        <v>#REF!</v>
      </c>
      <c r="BQ9" s="27">
        <f t="shared" si="26"/>
        <v>0</v>
      </c>
      <c r="BR9" s="27" t="e">
        <f t="shared" si="27"/>
        <v>#DIV/0!</v>
      </c>
      <c r="BS9" s="27">
        <f t="shared" si="28"/>
        <v>0</v>
      </c>
      <c r="BT9" s="27" t="e">
        <f>IF(E9="Bundled",+(BD9-#REF!)*V9,(AM9+AN9)-V9*#REF!)</f>
        <v>#DIV/0!</v>
      </c>
      <c r="BU9" s="27" t="e">
        <f t="shared" si="29"/>
        <v>#DIV/0!</v>
      </c>
      <c r="BV9" s="27" t="e">
        <f t="shared" si="30"/>
        <v>#DIV/0!</v>
      </c>
      <c r="BW9" s="27" t="e">
        <f t="shared" si="30"/>
        <v>#DIV/0!</v>
      </c>
      <c r="BX9" s="27" t="e">
        <f t="shared" si="30"/>
        <v>#DIV/0!</v>
      </c>
    </row>
    <row r="10" spans="1:78" s="5" customFormat="1" ht="30" x14ac:dyDescent="0.2">
      <c r="A10" s="63" t="s">
        <v>133</v>
      </c>
      <c r="B10" s="278" t="s">
        <v>95</v>
      </c>
      <c r="C10" s="254" t="s">
        <v>194</v>
      </c>
      <c r="D10" s="255" t="s">
        <v>10</v>
      </c>
      <c r="E10" s="256" t="s">
        <v>51</v>
      </c>
      <c r="F10" s="288" t="s">
        <v>58</v>
      </c>
      <c r="G10" s="32" t="s">
        <v>59</v>
      </c>
      <c r="H10" s="30" t="str">
        <f t="shared" ref="H10:H12" si="33">IF(F10="Rack","No of Racks",(IF(F10="Space","Sq Ft","U Space")))</f>
        <v>U Space</v>
      </c>
      <c r="I10" s="32">
        <v>5</v>
      </c>
      <c r="J10" s="32">
        <v>5</v>
      </c>
      <c r="K10" s="34">
        <f t="shared" ref="K10:K12" si="34">I10-J10</f>
        <v>0</v>
      </c>
      <c r="L10" s="32">
        <v>5</v>
      </c>
      <c r="M10" s="32"/>
      <c r="N10" s="35">
        <f>(150000/5)/12</f>
        <v>2500</v>
      </c>
      <c r="O10" s="36" t="str">
        <f t="shared" ref="O10:O12" si="35">D10</f>
        <v>Rated</v>
      </c>
      <c r="P10" s="37" t="s">
        <v>53</v>
      </c>
      <c r="Q10" s="33">
        <v>1.25</v>
      </c>
      <c r="R10" s="38">
        <v>1.01</v>
      </c>
      <c r="S10" s="39">
        <f t="shared" ref="S10:S12" si="36">Q10-R10</f>
        <v>0.24</v>
      </c>
      <c r="T10" s="33"/>
      <c r="U10" s="33" t="e">
        <f t="shared" ref="U10:U12" si="37">IF(S10&lt;=0,0,(IF(O10="Rated",(S10+T10)*$V$1,(S10+T10))))</f>
        <v>#VALUE!</v>
      </c>
      <c r="V10" s="33" t="e">
        <f t="shared" ref="V10:V12" si="38">IF(O10="Rated",Q10*$V$1,Q10)</f>
        <v>#VALUE!</v>
      </c>
      <c r="W10"/>
      <c r="X10" s="33">
        <f t="shared" ref="X10:X12" si="39">IF((S10*-1)&gt;0, (S10*-1), 0)</f>
        <v>0</v>
      </c>
      <c r="Y10" s="40">
        <f>105000/12</f>
        <v>8750</v>
      </c>
      <c r="Z10" s="41" t="str">
        <f t="shared" ref="Z10:Z12" si="40">E10</f>
        <v>Bundled</v>
      </c>
      <c r="AA10" s="33"/>
      <c r="AB10" s="33"/>
      <c r="AC10" s="42"/>
      <c r="AD10" s="33"/>
      <c r="AE10" s="43"/>
      <c r="AF10" s="44" t="str">
        <f t="shared" ref="AF10" si="41">IF(AE10="No of Seats","No of Seats",(IF(AE10="Space","Sq Ft","")))</f>
        <v/>
      </c>
      <c r="AG10" s="33"/>
      <c r="AH10" s="33"/>
      <c r="AI10" s="33">
        <f t="shared" ref="AI10:AI12" si="42">AG10-AH10</f>
        <v>0</v>
      </c>
      <c r="AJ10" s="33"/>
      <c r="AK10" s="33"/>
      <c r="AL10" s="35"/>
      <c r="AM10" s="45">
        <f t="shared" ref="AM10:AM12" si="43">N10*L10</f>
        <v>12500</v>
      </c>
      <c r="AN10" s="45">
        <f t="shared" ref="AN10:AN12" si="44">Y10*X10</f>
        <v>0</v>
      </c>
      <c r="AO10" s="46">
        <f t="shared" ref="AO10:AO12" si="45">AD10*AC10*AA10</f>
        <v>0</v>
      </c>
      <c r="AP10" s="45">
        <f>AL10*AJ10</f>
        <v>0</v>
      </c>
      <c r="AQ10" s="47">
        <f>(90000)/12</f>
        <v>7500</v>
      </c>
      <c r="AR10" s="48">
        <f t="shared" ref="AR10:AR12" si="46">SUBTOTAL(9,AM10:AQ10)</f>
        <v>20000</v>
      </c>
      <c r="AS10" s="48"/>
      <c r="AT10" s="55">
        <v>121001215</v>
      </c>
      <c r="AU10" s="56"/>
      <c r="AV10" s="57"/>
      <c r="AW10" s="56"/>
      <c r="AX10" s="156"/>
      <c r="AZ10" s="25">
        <f t="shared" ref="AZ10:AZ12" si="47">IF(F10="Rack",AR10/I10,0)+IF(F10="U Space",AR10*40/I10,0)+IF(F10="Space",AR10*30/I10,0)</f>
        <v>160000</v>
      </c>
      <c r="BA10" s="25" t="e">
        <f t="shared" ref="BA10:BA12" si="48">+AR10/V10</f>
        <v>#VALUE!</v>
      </c>
      <c r="BB10" s="25" t="e">
        <f t="shared" ref="BB10:BC12" si="49">+($AM10+$AN10+$AO10-BI10)/$V10</f>
        <v>#VALUE!</v>
      </c>
      <c r="BC10" s="25" t="e">
        <f t="shared" si="49"/>
        <v>#VALUE!</v>
      </c>
      <c r="BD10" s="25" t="e">
        <f>+($AM10+$AN10+IF(E10="Bundled",0,V10*0.85*AA10*AC10*30.5*24)-BK10)/$V10</f>
        <v>#VALUE!</v>
      </c>
      <c r="BE10" s="25"/>
      <c r="BF10" s="26">
        <f t="shared" ref="BF10:BF12" si="50">+AM10+AN10+AO10</f>
        <v>12500</v>
      </c>
      <c r="BG10" s="26" t="e">
        <f t="shared" ref="BG10:BG12" si="51">+BF10-BH10</f>
        <v>#VALUE!</v>
      </c>
      <c r="BH10" s="26" t="e">
        <f>IF(E10="Bundled",MIN(V10*$AE$1*(1+#REF!),BF10),AO10)</f>
        <v>#VALUE!</v>
      </c>
      <c r="BI10" s="27" t="e">
        <f>IF($AD10&gt;0,$AD10*$AB$1*$AD$1*(1+$AG$1*(20/$AD$1)/732),$AE$1*W10)</f>
        <v>#VALUE!</v>
      </c>
      <c r="BJ10" s="27" t="e">
        <f>IF($AD10&gt;0,$AD10*$AB$1*$AD$1*(1+$AG$1*(20/$AD$1)/732),+$AE$1*(W10+U10))</f>
        <v>#VALUE!</v>
      </c>
      <c r="BK10" s="27" t="e">
        <f t="shared" ref="BK10:BK12" si="52">IF(E10="Bundled",$AE$1*V10,$AE$1*V10*0.85)</f>
        <v>#VALUE!</v>
      </c>
      <c r="BL10" s="27" t="e">
        <f t="shared" ref="BL10:BL12" si="53">+BB10*V10</f>
        <v>#VALUE!</v>
      </c>
      <c r="BM10" s="27" t="e">
        <f>+#REF!*V10</f>
        <v>#REF!</v>
      </c>
      <c r="BN10" s="27" t="e">
        <f t="shared" ref="BN10:BN12" si="54">+BG10-BM10</f>
        <v>#VALUE!</v>
      </c>
      <c r="BO10" s="27" t="e">
        <f t="shared" ref="BO10:BO12" si="55">+BH10-BI10</f>
        <v>#VALUE!</v>
      </c>
      <c r="BP10" s="27" t="e">
        <f t="shared" ref="BP10:BP12" si="56">+BN10+BO10</f>
        <v>#VALUE!</v>
      </c>
      <c r="BQ10" s="27" t="e">
        <f t="shared" ref="BQ10:BQ12" si="57">+V10</f>
        <v>#VALUE!</v>
      </c>
      <c r="BR10" s="27" t="e">
        <f t="shared" ref="BR10:BR12" si="58">+BB10</f>
        <v>#VALUE!</v>
      </c>
      <c r="BS10" s="27" t="e">
        <f t="shared" ref="BS10:BS12" si="59">IF(E10="Bundled",BK10-BI10,AO10-BI10)</f>
        <v>#VALUE!</v>
      </c>
      <c r="BT10" s="27" t="e">
        <f>IF(E10="Bundled",+(BD10-#REF!)*V10,(AM10+AN10)-V10*#REF!)</f>
        <v>#VALUE!</v>
      </c>
      <c r="BU10" s="27" t="e">
        <f t="shared" ref="BU10:BU12" si="60">+BS10+BT10</f>
        <v>#VALUE!</v>
      </c>
      <c r="BV10" s="27" t="e">
        <f t="shared" ref="BV10:BX12" si="61">+BS10/$BQ10</f>
        <v>#VALUE!</v>
      </c>
      <c r="BW10" s="27" t="e">
        <f t="shared" si="61"/>
        <v>#VALUE!</v>
      </c>
      <c r="BX10" s="27" t="e">
        <f t="shared" si="61"/>
        <v>#VALUE!</v>
      </c>
    </row>
    <row r="11" spans="1:78" s="16" customFormat="1" ht="30" x14ac:dyDescent="0.2">
      <c r="A11" s="240" t="s">
        <v>132</v>
      </c>
      <c r="B11" s="279" t="s">
        <v>97</v>
      </c>
      <c r="C11" s="273" t="s">
        <v>111</v>
      </c>
      <c r="D11" s="255" t="s">
        <v>10</v>
      </c>
      <c r="E11" s="256" t="s">
        <v>51</v>
      </c>
      <c r="F11" s="288" t="s">
        <v>58</v>
      </c>
      <c r="G11" s="32" t="s">
        <v>59</v>
      </c>
      <c r="H11" s="30" t="str">
        <f t="shared" si="33"/>
        <v>U Space</v>
      </c>
      <c r="I11" s="32">
        <v>6</v>
      </c>
      <c r="J11" s="32">
        <v>6</v>
      </c>
      <c r="K11" s="34">
        <f t="shared" si="34"/>
        <v>0</v>
      </c>
      <c r="L11" s="32">
        <v>6</v>
      </c>
      <c r="M11" s="32"/>
      <c r="N11" s="35">
        <f>(230000/6)/12</f>
        <v>3194.4444444444448</v>
      </c>
      <c r="O11" s="36" t="str">
        <f t="shared" si="35"/>
        <v>Rated</v>
      </c>
      <c r="P11" s="32" t="s">
        <v>53</v>
      </c>
      <c r="Q11" s="33">
        <f>500/900</f>
        <v>0.55555555555555558</v>
      </c>
      <c r="R11" s="38">
        <v>1.1100000000000001</v>
      </c>
      <c r="S11" s="39">
        <f t="shared" si="36"/>
        <v>-0.55444444444444452</v>
      </c>
      <c r="T11" s="33"/>
      <c r="U11" s="33">
        <f t="shared" si="37"/>
        <v>0</v>
      </c>
      <c r="V11" s="33" t="e">
        <f t="shared" si="38"/>
        <v>#VALUE!</v>
      </c>
      <c r="W11"/>
      <c r="X11" s="33">
        <f t="shared" si="39"/>
        <v>0.55444444444444452</v>
      </c>
      <c r="Y11" s="40">
        <f>99000/12</f>
        <v>8250</v>
      </c>
      <c r="Z11" s="41" t="str">
        <f t="shared" si="40"/>
        <v>Bundled</v>
      </c>
      <c r="AA11" s="33"/>
      <c r="AB11" s="33"/>
      <c r="AC11" s="42"/>
      <c r="AD11" s="33"/>
      <c r="AE11" s="43"/>
      <c r="AF11" s="44"/>
      <c r="AG11" s="33"/>
      <c r="AH11" s="33"/>
      <c r="AI11" s="33">
        <f t="shared" si="42"/>
        <v>0</v>
      </c>
      <c r="AJ11" s="33"/>
      <c r="AK11" s="33"/>
      <c r="AL11" s="35">
        <f t="shared" ref="AL11" si="62">(0)/12</f>
        <v>0</v>
      </c>
      <c r="AM11" s="45">
        <f t="shared" si="43"/>
        <v>19166.666666666668</v>
      </c>
      <c r="AN11" s="45">
        <f t="shared" si="44"/>
        <v>4574.166666666667</v>
      </c>
      <c r="AO11" s="46">
        <f t="shared" si="45"/>
        <v>0</v>
      </c>
      <c r="AP11" s="45">
        <f t="shared" ref="AP11:AP12" si="63">AL11*AJ11</f>
        <v>0</v>
      </c>
      <c r="AQ11" s="47">
        <f t="shared" ref="AQ11" si="64">0/12</f>
        <v>0</v>
      </c>
      <c r="AR11" s="48">
        <f t="shared" si="46"/>
        <v>23740.833333333336</v>
      </c>
      <c r="AS11" s="48"/>
      <c r="AT11" s="60"/>
      <c r="AU11" s="61"/>
      <c r="AV11" s="62"/>
      <c r="AW11" s="61"/>
      <c r="AX11" s="81"/>
      <c r="AY11" s="5"/>
      <c r="AZ11" s="28">
        <f t="shared" si="47"/>
        <v>158272.22222222225</v>
      </c>
      <c r="BA11" s="28" t="e">
        <f t="shared" si="48"/>
        <v>#VALUE!</v>
      </c>
      <c r="BB11" s="25" t="e">
        <f t="shared" si="49"/>
        <v>#VALUE!</v>
      </c>
      <c r="BC11" s="25" t="e">
        <f t="shared" si="49"/>
        <v>#VALUE!</v>
      </c>
      <c r="BD11" s="25" t="e">
        <f>+($AM11+$AN11+IF(E11="Bundled",0,V11*0.85*AA11*AC11*30.5*24)-BK11)/$V11</f>
        <v>#VALUE!</v>
      </c>
      <c r="BE11" s="28"/>
      <c r="BF11" s="26">
        <f t="shared" si="50"/>
        <v>23740.833333333336</v>
      </c>
      <c r="BG11" s="26" t="e">
        <f t="shared" si="51"/>
        <v>#VALUE!</v>
      </c>
      <c r="BH11" s="26" t="e">
        <f>IF(E11="Bundled",MIN(V11*$AE$1*(1+#REF!),BF11),AO11)</f>
        <v>#VALUE!</v>
      </c>
      <c r="BI11" s="27" t="e">
        <f>IF($AD11&gt;0,$AD11*$AB$1*$AD$1*(1+$AG$1*(20/$AD$1)/732),$AE$1*W11)</f>
        <v>#VALUE!</v>
      </c>
      <c r="BJ11" s="27" t="e">
        <f>IF($AD11&gt;0,$AD11*$AB$1*$AD$1*(1+$AG$1*(20/$AD$1)/732),+$AE$1*(W11+U11))</f>
        <v>#VALUE!</v>
      </c>
      <c r="BK11" s="27" t="e">
        <f t="shared" si="52"/>
        <v>#VALUE!</v>
      </c>
      <c r="BL11" s="27" t="e">
        <f t="shared" si="53"/>
        <v>#VALUE!</v>
      </c>
      <c r="BM11" s="27" t="e">
        <f>+#REF!*V11</f>
        <v>#REF!</v>
      </c>
      <c r="BN11" s="27" t="e">
        <f t="shared" si="54"/>
        <v>#VALUE!</v>
      </c>
      <c r="BO11" s="27" t="e">
        <f t="shared" si="55"/>
        <v>#VALUE!</v>
      </c>
      <c r="BP11" s="27" t="e">
        <f t="shared" si="56"/>
        <v>#VALUE!</v>
      </c>
      <c r="BQ11" s="27" t="e">
        <f t="shared" si="57"/>
        <v>#VALUE!</v>
      </c>
      <c r="BR11" s="27" t="e">
        <f t="shared" si="58"/>
        <v>#VALUE!</v>
      </c>
      <c r="BS11" s="27" t="e">
        <f t="shared" si="59"/>
        <v>#VALUE!</v>
      </c>
      <c r="BT11" s="27" t="e">
        <f>IF(E11="Bundled",+(BD11-#REF!)*V11,(AM11+AN11)-V11*#REF!)</f>
        <v>#VALUE!</v>
      </c>
      <c r="BU11" s="27" t="e">
        <f t="shared" si="60"/>
        <v>#VALUE!</v>
      </c>
      <c r="BV11" s="27" t="e">
        <f t="shared" si="61"/>
        <v>#VALUE!</v>
      </c>
      <c r="BW11" s="27" t="e">
        <f t="shared" si="61"/>
        <v>#VALUE!</v>
      </c>
      <c r="BX11" s="27" t="e">
        <f t="shared" si="61"/>
        <v>#VALUE!</v>
      </c>
    </row>
    <row r="12" spans="1:78" s="16" customFormat="1" ht="30" x14ac:dyDescent="0.2">
      <c r="A12" s="240" t="s">
        <v>94</v>
      </c>
      <c r="B12" s="279" t="s">
        <v>105</v>
      </c>
      <c r="C12" s="273" t="s">
        <v>201</v>
      </c>
      <c r="D12" s="255" t="s">
        <v>10</v>
      </c>
      <c r="E12" s="256" t="s">
        <v>51</v>
      </c>
      <c r="F12" s="288" t="s">
        <v>58</v>
      </c>
      <c r="G12" s="32" t="s">
        <v>59</v>
      </c>
      <c r="H12" s="30" t="str">
        <f t="shared" si="33"/>
        <v>U Space</v>
      </c>
      <c r="I12" s="32">
        <v>21</v>
      </c>
      <c r="J12" s="32">
        <v>21</v>
      </c>
      <c r="K12" s="34">
        <f t="shared" si="34"/>
        <v>0</v>
      </c>
      <c r="L12" s="32">
        <v>21</v>
      </c>
      <c r="M12" s="32"/>
      <c r="N12" s="35">
        <f>(350000/21)/12</f>
        <v>1388.8888888888889</v>
      </c>
      <c r="O12" s="36" t="str">
        <f t="shared" si="35"/>
        <v>Rated</v>
      </c>
      <c r="P12" s="37" t="s">
        <v>53</v>
      </c>
      <c r="Q12" s="33">
        <v>1.5</v>
      </c>
      <c r="R12" s="38">
        <v>3.38</v>
      </c>
      <c r="S12" s="39">
        <f t="shared" si="36"/>
        <v>-1.88</v>
      </c>
      <c r="T12" s="33"/>
      <c r="U12" s="33">
        <f t="shared" si="37"/>
        <v>0</v>
      </c>
      <c r="V12" s="33" t="e">
        <f t="shared" si="38"/>
        <v>#VALUE!</v>
      </c>
      <c r="W12"/>
      <c r="X12" s="33">
        <f t="shared" si="39"/>
        <v>1.88</v>
      </c>
      <c r="Y12" s="40">
        <f>100000/12</f>
        <v>8333.3333333333339</v>
      </c>
      <c r="Z12" s="41" t="str">
        <f t="shared" si="40"/>
        <v>Bundled</v>
      </c>
      <c r="AA12" s="33"/>
      <c r="AB12" s="33"/>
      <c r="AC12" s="42"/>
      <c r="AD12" s="33"/>
      <c r="AE12" s="43"/>
      <c r="AF12" s="44" t="str">
        <f t="shared" ref="AF12" si="65">IF(AE12="No of Seats","No of Seats",(IF(AE12="Space","Sq Ft","")))</f>
        <v/>
      </c>
      <c r="AG12" s="33"/>
      <c r="AH12" s="33"/>
      <c r="AI12" s="33">
        <f t="shared" si="42"/>
        <v>0</v>
      </c>
      <c r="AJ12" s="33"/>
      <c r="AK12" s="33"/>
      <c r="AL12" s="35"/>
      <c r="AM12" s="45">
        <f t="shared" si="43"/>
        <v>29166.666666666668</v>
      </c>
      <c r="AN12" s="45">
        <f t="shared" si="44"/>
        <v>15666.666666666666</v>
      </c>
      <c r="AO12" s="46">
        <f t="shared" si="45"/>
        <v>0</v>
      </c>
      <c r="AP12" s="45">
        <f t="shared" si="63"/>
        <v>0</v>
      </c>
      <c r="AQ12" s="47">
        <v>0</v>
      </c>
      <c r="AR12" s="48">
        <f t="shared" si="46"/>
        <v>44833.333333333336</v>
      </c>
      <c r="AS12" s="48"/>
      <c r="AT12" s="49"/>
      <c r="AU12" s="50"/>
      <c r="AV12" s="51"/>
      <c r="AW12" s="50"/>
      <c r="AX12" s="157"/>
      <c r="AY12" s="5"/>
      <c r="AZ12" s="25">
        <f t="shared" si="47"/>
        <v>85396.825396825399</v>
      </c>
      <c r="BA12" s="25" t="e">
        <f t="shared" si="48"/>
        <v>#VALUE!</v>
      </c>
      <c r="BB12" s="25" t="e">
        <f t="shared" si="49"/>
        <v>#VALUE!</v>
      </c>
      <c r="BC12" s="25" t="e">
        <f t="shared" si="49"/>
        <v>#VALUE!</v>
      </c>
      <c r="BD12" s="25" t="e">
        <f>+($AM12+$AN12+IF(E12="Bundled",0,V12*0.85*AA12*AC12*30.5*24)-BK12)/$V12</f>
        <v>#VALUE!</v>
      </c>
      <c r="BE12" s="25"/>
      <c r="BF12" s="26">
        <f t="shared" si="50"/>
        <v>44833.333333333336</v>
      </c>
      <c r="BG12" s="26" t="e">
        <f t="shared" si="51"/>
        <v>#VALUE!</v>
      </c>
      <c r="BH12" s="26" t="e">
        <f>IF(E12="Bundled",MIN(V12*$AE$1*(1+#REF!),BF12),AO12)</f>
        <v>#VALUE!</v>
      </c>
      <c r="BI12" s="27" t="e">
        <f>IF($AD12&gt;0,$AD12*$AB$1*$AD$1*(1+$AG$1*(20/$AD$1)/732),$AE$1*W12)</f>
        <v>#VALUE!</v>
      </c>
      <c r="BJ12" s="27" t="e">
        <f>IF($AD12&gt;0,$AD12*$AB$1*$AD$1*(1+$AG$1*(20/$AD$1)/732),+$AE$1*(W12+U12))</f>
        <v>#VALUE!</v>
      </c>
      <c r="BK12" s="27" t="e">
        <f t="shared" si="52"/>
        <v>#VALUE!</v>
      </c>
      <c r="BL12" s="27" t="e">
        <f t="shared" si="53"/>
        <v>#VALUE!</v>
      </c>
      <c r="BM12" s="27" t="e">
        <f>+#REF!*V12</f>
        <v>#REF!</v>
      </c>
      <c r="BN12" s="27" t="e">
        <f t="shared" si="54"/>
        <v>#VALUE!</v>
      </c>
      <c r="BO12" s="27" t="e">
        <f t="shared" si="55"/>
        <v>#VALUE!</v>
      </c>
      <c r="BP12" s="27" t="e">
        <f t="shared" si="56"/>
        <v>#VALUE!</v>
      </c>
      <c r="BQ12" s="27" t="e">
        <f t="shared" si="57"/>
        <v>#VALUE!</v>
      </c>
      <c r="BR12" s="27" t="e">
        <f t="shared" si="58"/>
        <v>#VALUE!</v>
      </c>
      <c r="BS12" s="27" t="e">
        <f t="shared" si="59"/>
        <v>#VALUE!</v>
      </c>
      <c r="BT12" s="27" t="e">
        <f>IF(E12="Bundled",+(BD12-#REF!)*V12,(AM12+AN12)-V12*#REF!)</f>
        <v>#VALUE!</v>
      </c>
      <c r="BU12" s="27" t="e">
        <f t="shared" si="60"/>
        <v>#VALUE!</v>
      </c>
      <c r="BV12" s="27" t="e">
        <f t="shared" si="61"/>
        <v>#VALUE!</v>
      </c>
      <c r="BW12" s="27" t="e">
        <f t="shared" si="61"/>
        <v>#VALUE!</v>
      </c>
      <c r="BX12" s="27" t="e">
        <f t="shared" si="61"/>
        <v>#VALUE!</v>
      </c>
    </row>
    <row r="13" spans="1:78" s="16" customFormat="1" ht="30" x14ac:dyDescent="0.2">
      <c r="A13" s="158" t="s">
        <v>94</v>
      </c>
      <c r="B13" s="279" t="s">
        <v>106</v>
      </c>
      <c r="C13" s="254" t="s">
        <v>197</v>
      </c>
      <c r="D13" s="255" t="s">
        <v>10</v>
      </c>
      <c r="E13" s="256" t="s">
        <v>51</v>
      </c>
      <c r="F13" s="288" t="s">
        <v>58</v>
      </c>
      <c r="G13" s="32" t="s">
        <v>59</v>
      </c>
      <c r="H13" s="30" t="str">
        <f t="shared" ref="H13:H15" si="66">IF(F13="Rack","No of Racks",(IF(F13="Space","Sq Ft","U Space")))</f>
        <v>U Space</v>
      </c>
      <c r="I13" s="32">
        <v>6</v>
      </c>
      <c r="J13" s="32">
        <v>6</v>
      </c>
      <c r="K13" s="34">
        <f t="shared" ref="K13:K15" si="67">I13-J13</f>
        <v>0</v>
      </c>
      <c r="L13" s="32">
        <v>6</v>
      </c>
      <c r="M13" s="32"/>
      <c r="N13" s="35">
        <f>29000/12</f>
        <v>2416.6666666666665</v>
      </c>
      <c r="O13" s="36" t="str">
        <f t="shared" ref="O13:O15" si="68">D13</f>
        <v>Rated</v>
      </c>
      <c r="P13" s="37" t="s">
        <v>53</v>
      </c>
      <c r="Q13" s="33">
        <v>1.5</v>
      </c>
      <c r="R13" s="38">
        <v>2.67</v>
      </c>
      <c r="S13" s="39">
        <f t="shared" ref="S13:S15" si="69">Q13-R13</f>
        <v>-1.17</v>
      </c>
      <c r="T13" s="33"/>
      <c r="U13" s="33">
        <f t="shared" ref="U13:U15" si="70">IF(S13&lt;=0,0,(IF(O13="Rated",(S13+T13)*$V$1,(S13+T13))))</f>
        <v>0</v>
      </c>
      <c r="V13" s="33" t="e">
        <f t="shared" ref="V13:V15" si="71">IF(O13="Rated",Q13*$V$1,Q13)</f>
        <v>#VALUE!</v>
      </c>
      <c r="W13"/>
      <c r="X13" s="33">
        <f t="shared" ref="X13:X15" si="72">IF((S13*-1)&gt;0, (S13*-1), 0)</f>
        <v>1.17</v>
      </c>
      <c r="Y13" s="40"/>
      <c r="Z13" s="41" t="str">
        <f t="shared" ref="Z13:Z15" si="73">E13</f>
        <v>Bundled</v>
      </c>
      <c r="AA13" s="33"/>
      <c r="AB13" s="33"/>
      <c r="AC13" s="42"/>
      <c r="AD13" s="33"/>
      <c r="AE13" s="43"/>
      <c r="AF13" s="44" t="str">
        <f t="shared" ref="AF13" si="74">IF(AE13="No of Seats","No of Seats",(IF(AE13="Space","Sq Ft","")))</f>
        <v/>
      </c>
      <c r="AG13" s="33"/>
      <c r="AH13" s="33"/>
      <c r="AI13" s="33">
        <f t="shared" ref="AI13:AI14" si="75">AG13-AH13</f>
        <v>0</v>
      </c>
      <c r="AJ13" s="33"/>
      <c r="AK13" s="33"/>
      <c r="AL13" s="35"/>
      <c r="AM13" s="45">
        <f t="shared" ref="AM13:AM14" si="76">N13*L13</f>
        <v>14500</v>
      </c>
      <c r="AN13" s="45">
        <f t="shared" ref="AN13:AN14" si="77">Y13*X13</f>
        <v>0</v>
      </c>
      <c r="AO13" s="46">
        <f t="shared" ref="AO13:AO14" si="78">AD13*AC13*AA13</f>
        <v>0</v>
      </c>
      <c r="AP13" s="45">
        <f t="shared" ref="AP13:AP14" si="79">AL13*AJ13</f>
        <v>0</v>
      </c>
      <c r="AQ13" s="47">
        <v>0</v>
      </c>
      <c r="AR13" s="48">
        <f t="shared" ref="AR13:AR14" si="80">SUBTOTAL(9,AM13:AQ13)</f>
        <v>14500</v>
      </c>
      <c r="AS13" s="48"/>
      <c r="AT13" s="49"/>
      <c r="AU13" s="50"/>
      <c r="AV13" s="51"/>
      <c r="AW13" s="50"/>
      <c r="AX13" s="157"/>
      <c r="AY13" s="5"/>
      <c r="AZ13" s="25">
        <f t="shared" ref="AZ13:AZ14" si="81">IF(F13="Rack",AR13/I13,0)+IF(F13="U Space",AR13*40/I13,0)+IF(F13="Space",AR13*30/I13,0)</f>
        <v>96666.666666666672</v>
      </c>
      <c r="BA13" s="25" t="e">
        <f t="shared" ref="BA13:BA14" si="82">+AR13/V13</f>
        <v>#VALUE!</v>
      </c>
      <c r="BB13" s="25" t="e">
        <f>+($AM13+$AN13+$AO13-BI13)/$V13</f>
        <v>#VALUE!</v>
      </c>
      <c r="BC13" s="25" t="e">
        <f>+($AM13+$AN13+$AO13-BJ13)/$V13</f>
        <v>#VALUE!</v>
      </c>
      <c r="BD13" s="25" t="e">
        <f>+($AM13+$AN13+IF(E13="Bundled",0,V13*0.85*AA13*AC13*30.5*24)-BK13)/$V13</f>
        <v>#VALUE!</v>
      </c>
      <c r="BE13" s="25"/>
      <c r="BF13" s="26">
        <f t="shared" ref="BF13:BF14" si="83">+AM13+AN13+AO13</f>
        <v>14500</v>
      </c>
      <c r="BG13" s="26" t="e">
        <f t="shared" ref="BG13:BG14" si="84">+BF13-BH13</f>
        <v>#VALUE!</v>
      </c>
      <c r="BH13" s="26" t="e">
        <f>IF(E13="Bundled",MIN(V13*$AE$1*(1+#REF!),BF13),AO13)</f>
        <v>#VALUE!</v>
      </c>
      <c r="BI13" s="27" t="e">
        <f>IF($AD13&gt;0,$AD13*$AB$1*$AD$1*(1+$AG$1*(20/$AD$1)/732),$AE$1*W13)</f>
        <v>#VALUE!</v>
      </c>
      <c r="BJ13" s="27" t="e">
        <f>IF($AD13&gt;0,$AD13*$AB$1*$AD$1*(1+$AG$1*(20/$AD$1)/732),+$AE$1*(W13+U13))</f>
        <v>#VALUE!</v>
      </c>
      <c r="BK13" s="27" t="e">
        <f t="shared" ref="BK13:BK15" si="85">IF(E13="Bundled",$AE$1*V13,$AE$1*V13*0.85)</f>
        <v>#VALUE!</v>
      </c>
      <c r="BL13" s="27" t="e">
        <f t="shared" ref="BL13:BL14" si="86">+BB13*V13</f>
        <v>#VALUE!</v>
      </c>
      <c r="BM13" s="27" t="e">
        <f>+#REF!*V13</f>
        <v>#REF!</v>
      </c>
      <c r="BN13" s="27" t="e">
        <f t="shared" ref="BN13:BN14" si="87">+BG13-BM13</f>
        <v>#VALUE!</v>
      </c>
      <c r="BO13" s="27" t="e">
        <f t="shared" ref="BO13:BO14" si="88">+BH13-BI13</f>
        <v>#VALUE!</v>
      </c>
      <c r="BP13" s="27" t="e">
        <f t="shared" ref="BP13:BP14" si="89">+BN13+BO13</f>
        <v>#VALUE!</v>
      </c>
      <c r="BQ13" s="27" t="e">
        <f t="shared" ref="BQ13:BQ15" si="90">+V13</f>
        <v>#VALUE!</v>
      </c>
      <c r="BR13" s="27" t="e">
        <f t="shared" ref="BR13:BR14" si="91">+BB13</f>
        <v>#VALUE!</v>
      </c>
      <c r="BS13" s="27" t="e">
        <f t="shared" ref="BS13:BS14" si="92">IF(E13="Bundled",BK13-BI13,AO13-BI13)</f>
        <v>#VALUE!</v>
      </c>
      <c r="BT13" s="27" t="e">
        <f>IF(E13="Bundled",+(BD13-#REF!)*V13,(AM13+AN13)-V13*#REF!)</f>
        <v>#VALUE!</v>
      </c>
      <c r="BU13" s="27" t="e">
        <f t="shared" ref="BU13:BU14" si="93">+BS13+BT13</f>
        <v>#VALUE!</v>
      </c>
      <c r="BV13" s="27" t="e">
        <f t="shared" ref="BV13:BX14" si="94">+BS13/$BQ13</f>
        <v>#VALUE!</v>
      </c>
      <c r="BW13" s="27" t="e">
        <f t="shared" si="94"/>
        <v>#VALUE!</v>
      </c>
      <c r="BX13" s="27" t="e">
        <f t="shared" si="94"/>
        <v>#VALUE!</v>
      </c>
    </row>
    <row r="14" spans="1:78" s="16" customFormat="1" ht="30" x14ac:dyDescent="0.2">
      <c r="A14" s="158" t="s">
        <v>132</v>
      </c>
      <c r="B14" s="279" t="s">
        <v>97</v>
      </c>
      <c r="C14" s="254" t="s">
        <v>199</v>
      </c>
      <c r="D14" s="255" t="s">
        <v>10</v>
      </c>
      <c r="E14" s="256" t="s">
        <v>51</v>
      </c>
      <c r="F14" s="288" t="s">
        <v>58</v>
      </c>
      <c r="G14" s="32" t="s">
        <v>59</v>
      </c>
      <c r="H14" s="30" t="str">
        <f t="shared" si="66"/>
        <v>U Space</v>
      </c>
      <c r="I14" s="32">
        <v>3</v>
      </c>
      <c r="J14" s="32">
        <v>3</v>
      </c>
      <c r="K14" s="34">
        <f t="shared" si="67"/>
        <v>0</v>
      </c>
      <c r="L14" s="32">
        <v>3</v>
      </c>
      <c r="M14" s="32"/>
      <c r="N14" s="35">
        <f>(35000)/12</f>
        <v>2916.6666666666665</v>
      </c>
      <c r="O14" s="36" t="str">
        <f t="shared" si="68"/>
        <v>Rated</v>
      </c>
      <c r="P14" s="32" t="s">
        <v>53</v>
      </c>
      <c r="Q14" s="33">
        <v>0.75</v>
      </c>
      <c r="R14" s="38">
        <v>0.61</v>
      </c>
      <c r="S14" s="39">
        <f t="shared" si="69"/>
        <v>0.14000000000000001</v>
      </c>
      <c r="T14" s="33"/>
      <c r="U14" s="33" t="e">
        <f t="shared" si="70"/>
        <v>#VALUE!</v>
      </c>
      <c r="V14" s="33" t="e">
        <f t="shared" si="71"/>
        <v>#VALUE!</v>
      </c>
      <c r="W14"/>
      <c r="X14" s="33">
        <f t="shared" si="72"/>
        <v>0</v>
      </c>
      <c r="Y14" s="40">
        <f>90000/12</f>
        <v>7500</v>
      </c>
      <c r="Z14" s="41" t="str">
        <f t="shared" si="73"/>
        <v>Bundled</v>
      </c>
      <c r="AA14" s="33"/>
      <c r="AB14" s="33"/>
      <c r="AC14" s="42"/>
      <c r="AD14" s="33"/>
      <c r="AE14" s="43"/>
      <c r="AF14" s="44"/>
      <c r="AG14" s="33"/>
      <c r="AH14" s="33"/>
      <c r="AI14" s="33">
        <f t="shared" si="75"/>
        <v>0</v>
      </c>
      <c r="AJ14" s="33"/>
      <c r="AK14" s="33"/>
      <c r="AL14" s="35">
        <f t="shared" ref="AL14" si="95">(0)/12</f>
        <v>0</v>
      </c>
      <c r="AM14" s="45">
        <f t="shared" si="76"/>
        <v>8750</v>
      </c>
      <c r="AN14" s="45">
        <f t="shared" si="77"/>
        <v>0</v>
      </c>
      <c r="AO14" s="46">
        <f t="shared" si="78"/>
        <v>0</v>
      </c>
      <c r="AP14" s="45">
        <f t="shared" si="79"/>
        <v>0</v>
      </c>
      <c r="AQ14" s="47">
        <f t="shared" ref="AQ14" si="96">0/12</f>
        <v>0</v>
      </c>
      <c r="AR14" s="48">
        <f t="shared" si="80"/>
        <v>8750</v>
      </c>
      <c r="AS14" s="48"/>
      <c r="AT14" s="60"/>
      <c r="AU14" s="61"/>
      <c r="AV14" s="62"/>
      <c r="AW14" s="61"/>
      <c r="AX14" s="81"/>
      <c r="AY14" s="5"/>
      <c r="AZ14" s="28">
        <f t="shared" si="81"/>
        <v>116666.66666666667</v>
      </c>
      <c r="BA14" s="28" t="e">
        <f t="shared" si="82"/>
        <v>#VALUE!</v>
      </c>
      <c r="BB14" s="25" t="e">
        <f>+($AM14+$AN14+$AO14-BI14)/$V14</f>
        <v>#VALUE!</v>
      </c>
      <c r="BC14" s="25" t="e">
        <f>+($AM14+$AN14+$AO14-BJ14)/$V14</f>
        <v>#VALUE!</v>
      </c>
      <c r="BD14" s="25" t="e">
        <f>+($AM14+$AN14+IF(E14="Bundled",0,V14*0.85*AA14*AC14*30.5*24)-BK14)/$V14</f>
        <v>#VALUE!</v>
      </c>
      <c r="BE14" s="28"/>
      <c r="BF14" s="26">
        <f t="shared" si="83"/>
        <v>8750</v>
      </c>
      <c r="BG14" s="26" t="e">
        <f t="shared" si="84"/>
        <v>#VALUE!</v>
      </c>
      <c r="BH14" s="26" t="e">
        <f>IF(E14="Bundled",MIN(V14*$AE$1*(1+#REF!),BF14),AO14)</f>
        <v>#VALUE!</v>
      </c>
      <c r="BI14" s="27" t="e">
        <f>IF($AD14&gt;0,$AD14*$AB$1*$AD$1*(1+$AG$1*(20/$AD$1)/732),$AE$1*W14)</f>
        <v>#VALUE!</v>
      </c>
      <c r="BJ14" s="27" t="e">
        <f>IF($AD14&gt;0,$AD14*$AB$1*$AD$1*(1+$AG$1*(20/$AD$1)/732),+$AE$1*(W14+U14))</f>
        <v>#VALUE!</v>
      </c>
      <c r="BK14" s="27" t="e">
        <f t="shared" si="85"/>
        <v>#VALUE!</v>
      </c>
      <c r="BL14" s="27" t="e">
        <f t="shared" si="86"/>
        <v>#VALUE!</v>
      </c>
      <c r="BM14" s="27" t="e">
        <f>+#REF!*V14</f>
        <v>#REF!</v>
      </c>
      <c r="BN14" s="27" t="e">
        <f t="shared" si="87"/>
        <v>#VALUE!</v>
      </c>
      <c r="BO14" s="27" t="e">
        <f t="shared" si="88"/>
        <v>#VALUE!</v>
      </c>
      <c r="BP14" s="27" t="e">
        <f t="shared" si="89"/>
        <v>#VALUE!</v>
      </c>
      <c r="BQ14" s="27" t="e">
        <f t="shared" si="90"/>
        <v>#VALUE!</v>
      </c>
      <c r="BR14" s="27" t="e">
        <f t="shared" si="91"/>
        <v>#VALUE!</v>
      </c>
      <c r="BS14" s="27" t="e">
        <f t="shared" si="92"/>
        <v>#VALUE!</v>
      </c>
      <c r="BT14" s="27" t="e">
        <f>IF(E14="Bundled",+(BD14-#REF!)*V14,(AM14+AN14)-V14*#REF!)</f>
        <v>#VALUE!</v>
      </c>
      <c r="BU14" s="27" t="e">
        <f t="shared" si="93"/>
        <v>#VALUE!</v>
      </c>
      <c r="BV14" s="27" t="e">
        <f t="shared" si="94"/>
        <v>#VALUE!</v>
      </c>
      <c r="BW14" s="27" t="e">
        <f t="shared" si="94"/>
        <v>#VALUE!</v>
      </c>
      <c r="BX14" s="27" t="e">
        <f t="shared" si="94"/>
        <v>#VALUE!</v>
      </c>
    </row>
    <row r="15" spans="1:78" s="16" customFormat="1" ht="30" x14ac:dyDescent="0.2">
      <c r="A15" s="158" t="s">
        <v>133</v>
      </c>
      <c r="B15" s="279" t="s">
        <v>98</v>
      </c>
      <c r="C15" s="273" t="s">
        <v>174</v>
      </c>
      <c r="D15" s="255" t="s">
        <v>10</v>
      </c>
      <c r="E15" s="256" t="s">
        <v>51</v>
      </c>
      <c r="F15" s="288" t="s">
        <v>58</v>
      </c>
      <c r="G15" s="32" t="s">
        <v>59</v>
      </c>
      <c r="H15" s="30" t="str">
        <f t="shared" si="66"/>
        <v>U Space</v>
      </c>
      <c r="I15" s="32">
        <v>11</v>
      </c>
      <c r="J15" s="32">
        <v>11</v>
      </c>
      <c r="K15" s="34">
        <f t="shared" si="67"/>
        <v>0</v>
      </c>
      <c r="L15" s="32">
        <v>11</v>
      </c>
      <c r="M15" s="32"/>
      <c r="N15" s="35">
        <f>(120000)/11/12</f>
        <v>909.09090909090912</v>
      </c>
      <c r="O15" s="36" t="str">
        <f t="shared" si="68"/>
        <v>Rated</v>
      </c>
      <c r="P15" s="37" t="s">
        <v>53</v>
      </c>
      <c r="Q15" s="33">
        <v>1</v>
      </c>
      <c r="R15" s="38">
        <v>2.1</v>
      </c>
      <c r="S15" s="39">
        <f t="shared" si="69"/>
        <v>-1.1000000000000001</v>
      </c>
      <c r="T15" s="33"/>
      <c r="U15" s="33">
        <f t="shared" si="70"/>
        <v>0</v>
      </c>
      <c r="V15" s="33" t="e">
        <f t="shared" si="71"/>
        <v>#VALUE!</v>
      </c>
      <c r="W15"/>
      <c r="X15" s="33">
        <f t="shared" si="72"/>
        <v>1.1000000000000001</v>
      </c>
      <c r="Y15" s="40"/>
      <c r="Z15" s="41" t="str">
        <f t="shared" si="73"/>
        <v>Bundled</v>
      </c>
      <c r="AA15" s="33"/>
      <c r="AB15" s="33"/>
      <c r="AC15" s="42"/>
      <c r="AD15" s="33"/>
      <c r="AE15" s="43"/>
      <c r="AF15" s="44"/>
      <c r="AG15" s="33"/>
      <c r="AH15" s="33"/>
      <c r="AI15" s="33"/>
      <c r="AJ15" s="33"/>
      <c r="AK15" s="33"/>
      <c r="AL15" s="35"/>
      <c r="AM15" s="45"/>
      <c r="AN15" s="45"/>
      <c r="AO15" s="46"/>
      <c r="AP15" s="45"/>
      <c r="AQ15" s="47"/>
      <c r="AR15" s="48"/>
      <c r="AS15" s="48"/>
      <c r="AT15" s="49"/>
      <c r="AU15" s="50"/>
      <c r="AV15" s="51"/>
      <c r="AW15" s="50"/>
      <c r="AX15" s="157"/>
      <c r="AY15" s="5"/>
      <c r="AZ15" s="52"/>
      <c r="BA15" s="52"/>
      <c r="BB15" s="52"/>
      <c r="BC15" s="52"/>
      <c r="BD15" s="52"/>
      <c r="BE15" s="52"/>
      <c r="BF15" s="53"/>
      <c r="BG15" s="53"/>
      <c r="BH15" s="53"/>
      <c r="BI15" s="54"/>
      <c r="BJ15" s="54"/>
      <c r="BK15" s="54" t="e">
        <f t="shared" si="85"/>
        <v>#VALUE!</v>
      </c>
      <c r="BL15" s="54"/>
      <c r="BM15" s="54"/>
      <c r="BN15" s="54"/>
      <c r="BO15" s="54"/>
      <c r="BP15" s="54"/>
      <c r="BQ15" s="54" t="e">
        <f t="shared" si="90"/>
        <v>#VALUE!</v>
      </c>
      <c r="BR15" s="54"/>
      <c r="BS15" s="54"/>
      <c r="BT15" s="54"/>
      <c r="BU15" s="54"/>
      <c r="BV15" s="54"/>
      <c r="BW15" s="54"/>
      <c r="BX15" s="54"/>
      <c r="BY15" s="5"/>
      <c r="BZ15" s="5"/>
    </row>
    <row r="16" spans="1:78" s="16" customFormat="1" ht="15" x14ac:dyDescent="0.2">
      <c r="A16" s="158" t="s">
        <v>134</v>
      </c>
      <c r="B16" s="280" t="s">
        <v>125</v>
      </c>
      <c r="C16" s="295" t="s">
        <v>124</v>
      </c>
      <c r="D16" s="255" t="s">
        <v>10</v>
      </c>
      <c r="E16" s="256" t="s">
        <v>51</v>
      </c>
      <c r="F16" s="288" t="s">
        <v>7</v>
      </c>
      <c r="G16" s="32" t="s">
        <v>59</v>
      </c>
      <c r="H16" s="30" t="str">
        <f>IF(F16="Rack","No of Racks",(IF(F16="Space","Sq Ft","U Space")))</f>
        <v>No of Racks</v>
      </c>
      <c r="I16" s="32">
        <v>1</v>
      </c>
      <c r="J16" s="137">
        <v>1</v>
      </c>
      <c r="K16" s="138">
        <f>I16-J16</f>
        <v>0</v>
      </c>
      <c r="L16" s="137">
        <v>1</v>
      </c>
      <c r="M16" s="137"/>
      <c r="N16" s="139">
        <f>(450000)/12</f>
        <v>37500</v>
      </c>
      <c r="O16" s="36" t="str">
        <f>D16</f>
        <v>Rated</v>
      </c>
      <c r="P16" s="32" t="s">
        <v>53</v>
      </c>
      <c r="Q16" s="33">
        <v>3</v>
      </c>
      <c r="R16" s="38">
        <v>0</v>
      </c>
      <c r="S16" s="39">
        <f>Q16-R16</f>
        <v>3</v>
      </c>
      <c r="T16" s="33"/>
      <c r="U16" s="33" t="e">
        <f>IF(S16&lt;=0,0,(IF(O16="Rated",(S16+T16)*#REF!,(S16+T16))))</f>
        <v>#REF!</v>
      </c>
      <c r="V16" s="33" t="e">
        <f>IF(O16="Rated",Q16*#REF!,Q16)</f>
        <v>#REF!</v>
      </c>
      <c r="W16" s="58">
        <f>AD16/31/24</f>
        <v>0</v>
      </c>
      <c r="X16" s="33">
        <f>IF((S16*-1)&gt;0, (S16*-1), 0)</f>
        <v>0</v>
      </c>
      <c r="Y16" s="40"/>
      <c r="Z16" s="41" t="str">
        <f>E16</f>
        <v>Bundled</v>
      </c>
      <c r="AA16" s="33"/>
      <c r="AB16" s="33"/>
      <c r="AC16" s="42"/>
      <c r="AD16" s="33"/>
      <c r="AE16" s="43"/>
      <c r="AF16" s="44"/>
      <c r="AG16" s="33"/>
      <c r="AH16" s="33"/>
      <c r="AI16" s="33">
        <f>AG16-AH16</f>
        <v>0</v>
      </c>
      <c r="AJ16" s="33"/>
      <c r="AK16" s="33"/>
      <c r="AL16" s="35">
        <f>(0)/12</f>
        <v>0</v>
      </c>
      <c r="AM16" s="45">
        <f>N16*L16</f>
        <v>37500</v>
      </c>
      <c r="AN16" s="45">
        <f>Y16*X16</f>
        <v>0</v>
      </c>
      <c r="AO16" s="46">
        <f>AD16*AC16*AA16</f>
        <v>0</v>
      </c>
      <c r="AP16" s="45">
        <f>AL16*AJ16</f>
        <v>0</v>
      </c>
      <c r="AQ16" s="47">
        <f>0/12</f>
        <v>0</v>
      </c>
      <c r="AR16" s="48">
        <f>SUBTOTAL(9,AM16:AQ16)</f>
        <v>37500</v>
      </c>
      <c r="AS16" s="48"/>
      <c r="AT16" s="60"/>
      <c r="AU16" s="61"/>
      <c r="AV16" s="62"/>
      <c r="AW16" s="61"/>
      <c r="AX16" s="81"/>
      <c r="AY16" s="5"/>
      <c r="AZ16" s="28">
        <f>IF(F16="Rack",AR16/I16,0)+IF(F16="U Space",AR16*40/I16,0)+IF(F16="Space",AR16*30/I16,0)</f>
        <v>37500</v>
      </c>
      <c r="BA16" s="28" t="e">
        <f>+AR16/V16</f>
        <v>#REF!</v>
      </c>
      <c r="BB16" s="25" t="e">
        <f t="shared" ref="BB16:BC18" si="97">+($AM16+$AN16+$AO16-BI16)/$V16</f>
        <v>#REF!</v>
      </c>
      <c r="BC16" s="25" t="e">
        <f t="shared" si="97"/>
        <v>#REF!</v>
      </c>
      <c r="BD16" s="25" t="e">
        <f>+($AM16+$AN16+IF(E16="Bundled",0,V16*0.85*AA16*AC16*30.5*24)-BK16)/$V16</f>
        <v>#REF!</v>
      </c>
      <c r="BE16" s="28"/>
      <c r="BF16" s="26">
        <f>+AM16+AN16+AO16</f>
        <v>37500</v>
      </c>
      <c r="BG16" s="26" t="e">
        <f>+BF16-BH16</f>
        <v>#REF!</v>
      </c>
      <c r="BH16" s="26" t="e">
        <f>IF(E16="Bundled",MIN(V16*#REF!*(1+#REF!),BF16),AO16)</f>
        <v>#REF!</v>
      </c>
      <c r="BI16" s="27" t="e">
        <f>IF($AD16&gt;0,$AD16*#REF!*#REF!*(1+#REF!*(20/#REF!)/732),#REF!*W16)</f>
        <v>#REF!</v>
      </c>
      <c r="BJ16" s="27" t="e">
        <f>IF($AD16&gt;0,$AD16*#REF!*#REF!*(1+#REF!*(20/#REF!)/732),+#REF!*(W16+U16))</f>
        <v>#REF!</v>
      </c>
      <c r="BK16" s="27" t="e">
        <f>IF(E16="Bundled",#REF!*V16,#REF!*V16*0.85)</f>
        <v>#REF!</v>
      </c>
      <c r="BL16" s="27" t="e">
        <f>+BB16*V16</f>
        <v>#REF!</v>
      </c>
      <c r="BM16" s="27" t="e">
        <f>+#REF!*V16</f>
        <v>#REF!</v>
      </c>
      <c r="BN16" s="27" t="e">
        <f>+BG16-BM16</f>
        <v>#REF!</v>
      </c>
      <c r="BO16" s="27" t="e">
        <f>+BH16-BI16</f>
        <v>#REF!</v>
      </c>
      <c r="BP16" s="27" t="e">
        <f>+BN16+BO16</f>
        <v>#REF!</v>
      </c>
      <c r="BQ16" s="27" t="e">
        <f>+V16</f>
        <v>#REF!</v>
      </c>
      <c r="BR16" s="27" t="e">
        <f>+BB16</f>
        <v>#REF!</v>
      </c>
      <c r="BS16" s="27" t="e">
        <f>IF(E16="Bundled",BK16-BI16,AO16-BI16)</f>
        <v>#REF!</v>
      </c>
      <c r="BT16" s="27" t="e">
        <f>IF(E16="Bundled",+(BD16-#REF!)*V16,(AM16+AN16)-V16*#REF!)</f>
        <v>#REF!</v>
      </c>
      <c r="BU16" s="27" t="e">
        <f>+BS16+BT16</f>
        <v>#REF!</v>
      </c>
      <c r="BV16" s="27" t="e">
        <f t="shared" ref="BV16:BX18" si="98">+BS16/$BQ16</f>
        <v>#REF!</v>
      </c>
      <c r="BW16" s="27" t="e">
        <f t="shared" si="98"/>
        <v>#REF!</v>
      </c>
      <c r="BX16" s="27" t="e">
        <f t="shared" si="98"/>
        <v>#REF!</v>
      </c>
    </row>
    <row r="17" spans="1:78" s="5" customFormat="1" ht="75" x14ac:dyDescent="0.2">
      <c r="A17" s="154" t="s">
        <v>133</v>
      </c>
      <c r="B17" s="275" t="s">
        <v>115</v>
      </c>
      <c r="C17" s="255" t="s">
        <v>92</v>
      </c>
      <c r="D17" s="255" t="s">
        <v>10</v>
      </c>
      <c r="E17" s="256" t="s">
        <v>51</v>
      </c>
      <c r="F17" s="288" t="s">
        <v>7</v>
      </c>
      <c r="G17" s="32" t="s">
        <v>59</v>
      </c>
      <c r="H17" s="30" t="str">
        <f>IF(F17="Rack","No of Racks",(IF(F17="Space","Sq Ft","U Space")))</f>
        <v>No of Racks</v>
      </c>
      <c r="I17" s="32">
        <v>6</v>
      </c>
      <c r="J17" s="32">
        <v>6</v>
      </c>
      <c r="K17" s="34">
        <f>I17-J17</f>
        <v>0</v>
      </c>
      <c r="L17" s="32">
        <v>6</v>
      </c>
      <c r="M17" s="32"/>
      <c r="N17" s="35">
        <f>((3601628+672384)/6)/12</f>
        <v>59361.277777777781</v>
      </c>
      <c r="O17" s="36" t="str">
        <f>D17</f>
        <v>Rated</v>
      </c>
      <c r="P17" s="32" t="s">
        <v>53</v>
      </c>
      <c r="Q17" s="33">
        <v>84.65</v>
      </c>
      <c r="R17" s="38">
        <v>84.65</v>
      </c>
      <c r="S17" s="39">
        <f>Q17-R17</f>
        <v>0</v>
      </c>
      <c r="T17" s="33"/>
      <c r="U17" s="33">
        <f>IF(S17&lt;=0,0,(IF(O17="Rated",(S17+T17)*#REF!,(S17+T17))))</f>
        <v>0</v>
      </c>
      <c r="V17" s="33" t="e">
        <f>IF(O17="Rated",Q17*#REF!,Q17)</f>
        <v>#REF!</v>
      </c>
      <c r="W17" s="58">
        <v>14.66</v>
      </c>
      <c r="X17" s="33">
        <f>IF((S17*-1)&gt;0, (S17*-1), 0)</f>
        <v>0</v>
      </c>
      <c r="Y17" s="40">
        <f>92700/12</f>
        <v>7725</v>
      </c>
      <c r="Z17" s="41" t="str">
        <f>E17</f>
        <v>Bundled</v>
      </c>
      <c r="AA17" s="33"/>
      <c r="AB17" s="33"/>
      <c r="AC17" s="42"/>
      <c r="AD17" s="33"/>
      <c r="AE17" s="43"/>
      <c r="AF17" s="44" t="str">
        <f>IF(AE17="No of Seats","No of Seats",(IF(AE17="Space","Sq Ft","")))</f>
        <v/>
      </c>
      <c r="AG17" s="33"/>
      <c r="AH17" s="33"/>
      <c r="AI17" s="33">
        <f>AG17-AH17</f>
        <v>0</v>
      </c>
      <c r="AJ17" s="33"/>
      <c r="AK17" s="33"/>
      <c r="AL17" s="35"/>
      <c r="AM17" s="45">
        <f>N17*L17</f>
        <v>356167.66666666669</v>
      </c>
      <c r="AN17" s="45">
        <f>Y17*X17</f>
        <v>0</v>
      </c>
      <c r="AO17" s="46">
        <f>AD17*AC17*AA17</f>
        <v>0</v>
      </c>
      <c r="AP17" s="45">
        <f>AL17*AJ17</f>
        <v>0</v>
      </c>
      <c r="AQ17" s="47"/>
      <c r="AR17" s="48">
        <f>SUBTOTAL(9,AM17:AQ17)</f>
        <v>356167.66666666669</v>
      </c>
      <c r="AS17" s="48"/>
      <c r="AT17" s="125" t="s">
        <v>88</v>
      </c>
      <c r="AU17" s="56">
        <v>43922</v>
      </c>
      <c r="AV17" s="57">
        <v>1</v>
      </c>
      <c r="AW17" s="56">
        <v>44286</v>
      </c>
      <c r="AX17" s="157"/>
      <c r="AZ17" s="25">
        <f>IF(F17="Rack",AR17/I17,0)+IF(F17="U Space",AR17*40/I17,0)+IF(F17="Space",AR17*30/I17,0)</f>
        <v>59361.277777777781</v>
      </c>
      <c r="BA17" s="25" t="e">
        <f>+AR17/V17</f>
        <v>#REF!</v>
      </c>
      <c r="BB17" s="25" t="e">
        <f t="shared" si="97"/>
        <v>#REF!</v>
      </c>
      <c r="BC17" s="25" t="e">
        <f t="shared" si="97"/>
        <v>#REF!</v>
      </c>
      <c r="BD17" s="25" t="e">
        <f>+($AM17+$AN17+IF(E17="Bundled",0,V17*0.85*AA17*AC17*30.5*24)-BK17)/$V17</f>
        <v>#REF!</v>
      </c>
      <c r="BE17" s="25"/>
      <c r="BF17" s="26">
        <f>+AM17+AN17+AO17</f>
        <v>356167.66666666669</v>
      </c>
      <c r="BG17" s="26" t="e">
        <f>+BF17-BH17</f>
        <v>#REF!</v>
      </c>
      <c r="BH17" s="26" t="e">
        <f>IF(E17="Bundled",MIN(V17*#REF!*(1+#REF!),BF17),AO17)</f>
        <v>#REF!</v>
      </c>
      <c r="BI17" s="27" t="e">
        <f>IF($AD17&gt;0,$AD17*#REF!*#REF!*(1+#REF!*(20/#REF!)/732),#REF!*W17)</f>
        <v>#REF!</v>
      </c>
      <c r="BJ17" s="27" t="e">
        <f>IF($AD17&gt;0,$AD17*#REF!*#REF!*(1+#REF!*(20/#REF!)/732),+#REF!*(W17+U17))</f>
        <v>#REF!</v>
      </c>
      <c r="BK17" s="27" t="e">
        <f>IF(E17="Bundled",#REF!*V17,#REF!*V17*0.85)</f>
        <v>#REF!</v>
      </c>
      <c r="BL17" s="27" t="e">
        <f>+BB17*V17</f>
        <v>#REF!</v>
      </c>
      <c r="BM17" s="27" t="e">
        <f>+#REF!*V17</f>
        <v>#REF!</v>
      </c>
      <c r="BN17" s="27" t="e">
        <f>+BG17-BM17</f>
        <v>#REF!</v>
      </c>
      <c r="BO17" s="27" t="e">
        <f>+BH17-BI17</f>
        <v>#REF!</v>
      </c>
      <c r="BP17" s="27" t="e">
        <f>+BN17+BO17</f>
        <v>#REF!</v>
      </c>
      <c r="BQ17" s="27" t="e">
        <f>+V17</f>
        <v>#REF!</v>
      </c>
      <c r="BR17" s="27" t="e">
        <f>+BB17</f>
        <v>#REF!</v>
      </c>
      <c r="BS17" s="27" t="e">
        <f>IF(E17="Bundled",BK17-BI17,AO17-BI17)</f>
        <v>#REF!</v>
      </c>
      <c r="BT17" s="27" t="e">
        <f>IF(E17="Bundled",+(BD17-#REF!)*V17,(AM17+AN17)-V17*#REF!)</f>
        <v>#REF!</v>
      </c>
      <c r="BU17" s="27" t="e">
        <f>+BS17+BT17</f>
        <v>#REF!</v>
      </c>
      <c r="BV17" s="27" t="e">
        <f t="shared" si="98"/>
        <v>#REF!</v>
      </c>
      <c r="BW17" s="27" t="e">
        <f t="shared" si="98"/>
        <v>#REF!</v>
      </c>
      <c r="BX17" s="27" t="e">
        <f t="shared" si="98"/>
        <v>#REF!</v>
      </c>
    </row>
    <row r="18" spans="1:78" s="16" customFormat="1" ht="30" x14ac:dyDescent="0.2">
      <c r="A18" s="215" t="s">
        <v>94</v>
      </c>
      <c r="B18" s="281" t="s">
        <v>108</v>
      </c>
      <c r="C18" s="254" t="s">
        <v>191</v>
      </c>
      <c r="D18" s="255" t="s">
        <v>10</v>
      </c>
      <c r="E18" s="256" t="s">
        <v>51</v>
      </c>
      <c r="F18" s="289" t="s">
        <v>7</v>
      </c>
      <c r="G18" s="216" t="s">
        <v>59</v>
      </c>
      <c r="H18" s="218" t="str">
        <f>IF(F18="Rack","No of Racks",(IF(F18="Space","Sq Ft","U Space")))</f>
        <v>No of Racks</v>
      </c>
      <c r="I18" s="216">
        <v>1</v>
      </c>
      <c r="J18" s="216">
        <v>1</v>
      </c>
      <c r="K18" s="219">
        <f>I18-J18</f>
        <v>0</v>
      </c>
      <c r="L18" s="216">
        <v>1</v>
      </c>
      <c r="M18" s="216"/>
      <c r="N18" s="220">
        <f>(442500)/12</f>
        <v>36875</v>
      </c>
      <c r="O18" s="221" t="str">
        <f>D18</f>
        <v>Rated</v>
      </c>
      <c r="P18" s="216" t="s">
        <v>53</v>
      </c>
      <c r="Q18" s="217">
        <v>3.5</v>
      </c>
      <c r="R18" s="244">
        <v>3.33</v>
      </c>
      <c r="S18" s="222">
        <f>Q18-R18</f>
        <v>0.16999999999999993</v>
      </c>
      <c r="T18" s="217"/>
      <c r="U18" s="217" t="e">
        <f>IF(S18&lt;=0,0,(IF(O18="Rated",(S18+T18)*#REF!,(S18+T18))))</f>
        <v>#REF!</v>
      </c>
      <c r="V18" s="217" t="e">
        <f>IF(O18="Rated",Q18*#REF!,Q18)</f>
        <v>#REF!</v>
      </c>
      <c r="W18" s="223">
        <v>2.41</v>
      </c>
      <c r="X18" s="217">
        <f>IF((S18*-1)&gt;0, (S18*-1), 0)</f>
        <v>0</v>
      </c>
      <c r="Y18" s="224">
        <f>90000/12</f>
        <v>7500</v>
      </c>
      <c r="Z18" s="225" t="str">
        <f>E18</f>
        <v>Bundled</v>
      </c>
      <c r="AA18" s="217"/>
      <c r="AB18" s="217"/>
      <c r="AC18" s="226"/>
      <c r="AD18" s="217"/>
      <c r="AE18" s="227"/>
      <c r="AF18" s="228" t="str">
        <f>IF(AE18="No of Seats","No of Seats",(IF(AE18="Space","Sq Ft","")))</f>
        <v/>
      </c>
      <c r="AG18" s="217"/>
      <c r="AH18" s="217"/>
      <c r="AI18" s="217">
        <f>AG18-AH18</f>
        <v>0</v>
      </c>
      <c r="AJ18" s="217"/>
      <c r="AK18" s="217"/>
      <c r="AL18" s="220"/>
      <c r="AM18" s="229">
        <f>N18*L18</f>
        <v>36875</v>
      </c>
      <c r="AN18" s="229">
        <f>Y18*X18</f>
        <v>0</v>
      </c>
      <c r="AO18" s="230">
        <f>AD18*AC18*AA18</f>
        <v>0</v>
      </c>
      <c r="AP18" s="229">
        <f>AL18*AJ18</f>
        <v>0</v>
      </c>
      <c r="AQ18" s="231"/>
      <c r="AR18" s="232">
        <f>SUBTOTAL(9,AM18:AQ18)</f>
        <v>36875</v>
      </c>
      <c r="AS18" s="232"/>
      <c r="AT18" s="233"/>
      <c r="AU18" s="245"/>
      <c r="AV18" s="246"/>
      <c r="AW18" s="245"/>
      <c r="AX18" s="247"/>
      <c r="AZ18" s="237">
        <f>IF(F18="Rack",AR18/I18,0)+IF(F18="U Space",AR18*40/I18,0)+IF(F18="Space",AR18*30/I18,0)</f>
        <v>36875</v>
      </c>
      <c r="BA18" s="237" t="e">
        <f>+AR18/V18</f>
        <v>#REF!</v>
      </c>
      <c r="BB18" s="237" t="e">
        <f t="shared" si="97"/>
        <v>#REF!</v>
      </c>
      <c r="BC18" s="237" t="e">
        <f t="shared" si="97"/>
        <v>#REF!</v>
      </c>
      <c r="BD18" s="237" t="e">
        <f>+($AM18+$AN18+IF(E18="Bundled",0,V18*0.85*AA18*AC18*30.5*24)-BK18)/$V18</f>
        <v>#REF!</v>
      </c>
      <c r="BE18" s="237"/>
      <c r="BF18" s="238">
        <f>+AM18+AN18+AO18</f>
        <v>36875</v>
      </c>
      <c r="BG18" s="238" t="e">
        <f>+BF18-BH18</f>
        <v>#REF!</v>
      </c>
      <c r="BH18" s="238" t="e">
        <f>IF(E18="Bundled",MIN(V18*#REF!*(1+#REF!),BF18),AO18)</f>
        <v>#REF!</v>
      </c>
      <c r="BI18" s="239" t="e">
        <f>IF($AD18&gt;0,$AD18*#REF!*#REF!*(1+#REF!*(20/#REF!)/732),#REF!*W18)</f>
        <v>#REF!</v>
      </c>
      <c r="BJ18" s="239" t="e">
        <f>IF($AD18&gt;0,$AD18*#REF!*#REF!*(1+#REF!*(20/#REF!)/732),+#REF!*(W18+U18))</f>
        <v>#REF!</v>
      </c>
      <c r="BK18" s="239" t="e">
        <f>IF(E18="Bundled",#REF!*V18,#REF!*V18*0.85)</f>
        <v>#REF!</v>
      </c>
      <c r="BL18" s="239" t="e">
        <f>+BB18*V18</f>
        <v>#REF!</v>
      </c>
      <c r="BM18" s="239" t="e">
        <f>+#REF!*V18</f>
        <v>#REF!</v>
      </c>
      <c r="BN18" s="239" t="e">
        <f>+BG18-BM18</f>
        <v>#REF!</v>
      </c>
      <c r="BO18" s="239" t="e">
        <f>+BH18-BI18</f>
        <v>#REF!</v>
      </c>
      <c r="BP18" s="239" t="e">
        <f>+BN18+BO18</f>
        <v>#REF!</v>
      </c>
      <c r="BQ18" s="239" t="e">
        <f>+V18</f>
        <v>#REF!</v>
      </c>
      <c r="BR18" s="239" t="e">
        <f>+BB18</f>
        <v>#REF!</v>
      </c>
      <c r="BS18" s="239" t="e">
        <f>IF(E18="Bundled",BK18-BI18,AO18-BI18)</f>
        <v>#REF!</v>
      </c>
      <c r="BT18" s="239" t="e">
        <f>IF(E18="Bundled",+(BD18-#REF!)*V18,(AM18+AN18)-V18*#REF!)</f>
        <v>#REF!</v>
      </c>
      <c r="BU18" s="239" t="e">
        <f>+BS18+BT18</f>
        <v>#REF!</v>
      </c>
      <c r="BV18" s="239" t="e">
        <f t="shared" si="98"/>
        <v>#REF!</v>
      </c>
      <c r="BW18" s="239" t="e">
        <f t="shared" si="98"/>
        <v>#REF!</v>
      </c>
      <c r="BX18" s="239" t="e">
        <f t="shared" si="98"/>
        <v>#REF!</v>
      </c>
    </row>
    <row r="19" spans="1:78" s="16" customFormat="1" ht="30" x14ac:dyDescent="0.2">
      <c r="A19" s="240" t="s">
        <v>94</v>
      </c>
      <c r="B19" s="282" t="s">
        <v>109</v>
      </c>
      <c r="C19" s="254" t="s">
        <v>184</v>
      </c>
      <c r="D19" s="255" t="s">
        <v>55</v>
      </c>
      <c r="E19" s="256" t="s">
        <v>56</v>
      </c>
      <c r="F19" s="288" t="s">
        <v>7</v>
      </c>
      <c r="G19" s="32" t="s">
        <v>59</v>
      </c>
      <c r="H19" s="30" t="str">
        <f>IF(F19="Rack","No of Racks",(IF(F19="Space","Sq Ft","U Space")))</f>
        <v>No of Racks</v>
      </c>
      <c r="I19" s="32">
        <v>1</v>
      </c>
      <c r="J19" s="32">
        <v>1</v>
      </c>
      <c r="K19" s="34">
        <f>I19-J19</f>
        <v>0</v>
      </c>
      <c r="L19" s="32">
        <v>1</v>
      </c>
      <c r="M19" s="32"/>
      <c r="N19" s="35">
        <f>(270000)/12</f>
        <v>22500</v>
      </c>
      <c r="O19" s="36" t="str">
        <f>D19</f>
        <v>Subscribed</v>
      </c>
      <c r="P19" s="32" t="s">
        <v>57</v>
      </c>
      <c r="Q19" s="33">
        <v>3</v>
      </c>
      <c r="R19" s="59">
        <f>W19</f>
        <v>3.7634408602150539E-2</v>
      </c>
      <c r="S19" s="39">
        <f>Q19-R19</f>
        <v>2.9623655913978495</v>
      </c>
      <c r="T19" s="33"/>
      <c r="U19" s="33">
        <f>IF(S19&lt;=0,0,(IF(O19="Rated",(S19+T19)*#REF!,(S19+T19))))</f>
        <v>2.9623655913978495</v>
      </c>
      <c r="V19" s="33">
        <f>IF(O19="Rated",Q19*#REF!,Q19)</f>
        <v>3</v>
      </c>
      <c r="W19" s="58">
        <f>AD19/31/24</f>
        <v>3.7634408602150539E-2</v>
      </c>
      <c r="X19" s="33">
        <f>IF((S19*-1)&gt;0, (S19*-1), 0)</f>
        <v>0</v>
      </c>
      <c r="Y19" s="40">
        <f>95000/12</f>
        <v>7916.666666666667</v>
      </c>
      <c r="Z19" s="41" t="str">
        <f>E19</f>
        <v>Metered</v>
      </c>
      <c r="AA19" s="33">
        <v>1</v>
      </c>
      <c r="AB19" s="33" t="s">
        <v>60</v>
      </c>
      <c r="AC19" s="42">
        <v>17</v>
      </c>
      <c r="AD19" s="33">
        <v>28</v>
      </c>
      <c r="AE19" s="43"/>
      <c r="AF19" s="44"/>
      <c r="AG19" s="33"/>
      <c r="AH19" s="33"/>
      <c r="AI19" s="33">
        <f>AG19-AH19</f>
        <v>0</v>
      </c>
      <c r="AJ19" s="33"/>
      <c r="AK19" s="33"/>
      <c r="AL19" s="35">
        <f>(0)/12</f>
        <v>0</v>
      </c>
      <c r="AM19" s="45">
        <f>N19*L19</f>
        <v>22500</v>
      </c>
      <c r="AN19" s="45">
        <f>Y19*X19</f>
        <v>0</v>
      </c>
      <c r="AO19" s="46">
        <f>AD19*AC19*AA19</f>
        <v>476</v>
      </c>
      <c r="AP19" s="45">
        <f>AL19*AJ19</f>
        <v>0</v>
      </c>
      <c r="AQ19" s="47">
        <f>0/12</f>
        <v>0</v>
      </c>
      <c r="AR19" s="48">
        <f>SUBTOTAL(9,AM19:AQ19)</f>
        <v>22976</v>
      </c>
      <c r="AS19" s="48"/>
      <c r="AT19" s="60"/>
      <c r="AU19" s="61"/>
      <c r="AV19" s="62"/>
      <c r="AW19" s="61"/>
      <c r="AX19" s="63"/>
      <c r="AY19" s="63"/>
      <c r="AZ19" s="52">
        <f>IF(F19="Rack",AR19/I19,0)+IF(F19="U Space",AR19*40/I19,0)+IF(F19="Space",AR19*30/I19,0)</f>
        <v>22976</v>
      </c>
      <c r="BA19" s="52">
        <f>+AR19/V19</f>
        <v>7658.666666666667</v>
      </c>
      <c r="BB19" s="52" t="e">
        <f>+($AM19+$AN19+$AO19-BI19)/$V19</f>
        <v>#REF!</v>
      </c>
      <c r="BC19" s="52" t="e">
        <f>+($AM19+$AN19+$AO19-BJ19)/$V19</f>
        <v>#REF!</v>
      </c>
      <c r="BD19" s="52" t="e">
        <f>+($AM19+$AN19+IF(E19="Bundled",0,V19*0.85*AA19*AC19*30.5*24)-BK19)/$V19</f>
        <v>#REF!</v>
      </c>
      <c r="BE19" s="52"/>
      <c r="BF19" s="53">
        <f>+AM19+AN19+AO19</f>
        <v>22976</v>
      </c>
      <c r="BG19" s="53">
        <f>+BF19-BH19</f>
        <v>22500</v>
      </c>
      <c r="BH19" s="53">
        <f>IF(E19="Bundled",MIN(V19*#REF!*(1+#REF!),BF19),AO19)</f>
        <v>476</v>
      </c>
      <c r="BI19" s="54" t="e">
        <f>IF($AD19&gt;0,$AD19*#REF!*#REF!*(1+#REF!*(20/#REF!)/732),#REF!*W19)</f>
        <v>#REF!</v>
      </c>
      <c r="BJ19" s="54" t="e">
        <f>IF($AD19&gt;0,$AD19*#REF!*#REF!*(1+#REF!*(20/#REF!)/732),+#REF!*(W19+U19))</f>
        <v>#REF!</v>
      </c>
      <c r="BK19" s="54" t="e">
        <f>IF(E19="Bundled",#REF!*V19,#REF!*V19*0.85)</f>
        <v>#REF!</v>
      </c>
      <c r="BL19" s="54" t="e">
        <f>+BB19*V19</f>
        <v>#REF!</v>
      </c>
      <c r="BM19" s="54" t="e">
        <f>+#REF!*V19</f>
        <v>#REF!</v>
      </c>
      <c r="BN19" s="54" t="e">
        <f>+BG19-BM19</f>
        <v>#REF!</v>
      </c>
      <c r="BO19" s="54" t="e">
        <f>+BH19-BI19</f>
        <v>#REF!</v>
      </c>
      <c r="BP19" s="54" t="e">
        <f>+BN19+BO19</f>
        <v>#REF!</v>
      </c>
      <c r="BQ19" s="54">
        <f>+V19</f>
        <v>3</v>
      </c>
      <c r="BR19" s="54" t="e">
        <f>+BB19</f>
        <v>#REF!</v>
      </c>
      <c r="BS19" s="54" t="e">
        <f>IF(E19="Bundled",BK19-BI19,AO19-BI19)</f>
        <v>#REF!</v>
      </c>
      <c r="BT19" s="54" t="e">
        <f>IF(E19="Bundled",+(BD19-#REF!)*V19,(AM19+AN19)-V19*#REF!)</f>
        <v>#REF!</v>
      </c>
      <c r="BU19" s="54" t="e">
        <f>+BS19+BT19</f>
        <v>#REF!</v>
      </c>
      <c r="BV19" s="54" t="e">
        <f t="shared" ref="BV19:BX20" si="99">+BS19/$BQ19</f>
        <v>#REF!</v>
      </c>
      <c r="BW19" s="54" t="e">
        <f t="shared" si="99"/>
        <v>#REF!</v>
      </c>
      <c r="BX19" s="54" t="e">
        <f t="shared" si="99"/>
        <v>#REF!</v>
      </c>
    </row>
    <row r="20" spans="1:78" s="16" customFormat="1" ht="30" x14ac:dyDescent="0.2">
      <c r="A20" s="240" t="s">
        <v>134</v>
      </c>
      <c r="B20" s="282" t="s">
        <v>206</v>
      </c>
      <c r="C20" s="296" t="s">
        <v>186</v>
      </c>
      <c r="D20" s="255" t="s">
        <v>55</v>
      </c>
      <c r="E20" s="256" t="s">
        <v>56</v>
      </c>
      <c r="F20" s="288" t="s">
        <v>7</v>
      </c>
      <c r="G20" s="32" t="s">
        <v>59</v>
      </c>
      <c r="H20" s="30" t="str">
        <f>IF(F20="Rack","No of Racks",(IF(F20="Space","Sq Ft","U Space")))</f>
        <v>No of Racks</v>
      </c>
      <c r="I20" s="32">
        <v>4</v>
      </c>
      <c r="J20" s="137">
        <v>4</v>
      </c>
      <c r="K20" s="138">
        <f>I20-J20</f>
        <v>0</v>
      </c>
      <c r="L20" s="137">
        <v>4</v>
      </c>
      <c r="M20" s="137"/>
      <c r="N20" s="139">
        <f>(31100)</f>
        <v>31100</v>
      </c>
      <c r="O20" s="36" t="str">
        <f>D20</f>
        <v>Subscribed</v>
      </c>
      <c r="P20" s="32" t="s">
        <v>57</v>
      </c>
      <c r="Q20" s="33">
        <v>16.600000000000001</v>
      </c>
      <c r="R20" s="59">
        <f>W20</f>
        <v>6.8954166666666659</v>
      </c>
      <c r="S20" s="39">
        <f>Q20-R20</f>
        <v>9.7045833333333356</v>
      </c>
      <c r="T20" s="33"/>
      <c r="U20" s="33">
        <f>IF(S20&lt;=0,0,(IF(O20="Rated",(S20+T20)*#REF!,(S20+T20))))</f>
        <v>9.7045833333333356</v>
      </c>
      <c r="V20" s="33">
        <f>IF(O20="Rated",Q20*#REF!,Q20)</f>
        <v>16.600000000000001</v>
      </c>
      <c r="W20" s="58">
        <f>AD20/30/24</f>
        <v>6.8954166666666659</v>
      </c>
      <c r="X20" s="33">
        <f>IF((S20*-1)&gt;0, (S20*-1), 0)</f>
        <v>0</v>
      </c>
      <c r="Y20" s="40">
        <f>0/12</f>
        <v>0</v>
      </c>
      <c r="Z20" s="41" t="str">
        <f>E20</f>
        <v>Metered</v>
      </c>
      <c r="AA20" s="33">
        <v>1</v>
      </c>
      <c r="AB20" s="33" t="s">
        <v>60</v>
      </c>
      <c r="AC20" s="42">
        <v>0</v>
      </c>
      <c r="AD20" s="140">
        <v>4964.7</v>
      </c>
      <c r="AE20" s="43"/>
      <c r="AF20" s="44"/>
      <c r="AG20" s="33"/>
      <c r="AH20" s="33"/>
      <c r="AI20" s="33">
        <f>AG20-AH20</f>
        <v>0</v>
      </c>
      <c r="AJ20" s="33"/>
      <c r="AK20" s="33"/>
      <c r="AL20" s="35">
        <f>(0)/12</f>
        <v>0</v>
      </c>
      <c r="AM20" s="45">
        <f>N20*L20</f>
        <v>124400</v>
      </c>
      <c r="AN20" s="45">
        <f>Y20*X20</f>
        <v>0</v>
      </c>
      <c r="AO20" s="46">
        <f>AD20*AC20*AA20</f>
        <v>0</v>
      </c>
      <c r="AP20" s="45">
        <f>AL20*AJ20</f>
        <v>0</v>
      </c>
      <c r="AQ20" s="47">
        <f>0/12</f>
        <v>0</v>
      </c>
      <c r="AR20" s="48">
        <f>SUBTOTAL(9,AM20:AQ20)</f>
        <v>124400</v>
      </c>
      <c r="AS20" s="48"/>
      <c r="AT20" s="60"/>
      <c r="AU20" s="61"/>
      <c r="AV20" s="62"/>
      <c r="AW20" s="61"/>
      <c r="AX20" s="63"/>
      <c r="AY20" s="63"/>
      <c r="AZ20" s="52">
        <f>IF(F20="Rack",AR20/I20,0)+IF(F20="U Space",AR20*40/I20,0)+IF(F20="Space",AR20*30/I20,0)</f>
        <v>31100</v>
      </c>
      <c r="BA20" s="52">
        <f>+AR20/V20</f>
        <v>7493.9759036144569</v>
      </c>
      <c r="BB20" s="52" t="e">
        <f>+($AM20+$AN20+$AO20-BI20)/$V20</f>
        <v>#REF!</v>
      </c>
      <c r="BC20" s="52" t="e">
        <f>+($AM20+$AN20+$AO20-BJ20)/$V20</f>
        <v>#REF!</v>
      </c>
      <c r="BD20" s="52" t="e">
        <f>+($AM20+$AN20+IF(E20="Bundled",0,V20*0.85*AA20*AC20*30.5*24)-BK20)/$V20</f>
        <v>#REF!</v>
      </c>
      <c r="BE20" s="52"/>
      <c r="BF20" s="53">
        <f>+AM20+AN20+AO20</f>
        <v>124400</v>
      </c>
      <c r="BG20" s="53">
        <f>+BF20-BH20</f>
        <v>124400</v>
      </c>
      <c r="BH20" s="53">
        <f>IF(E20="Bundled",MIN(V20*#REF!*(1+#REF!),BF20),AO20)</f>
        <v>0</v>
      </c>
      <c r="BI20" s="54" t="e">
        <f>IF($AD20&gt;0,$AD20*#REF!*#REF!*(1+#REF!*(20/#REF!)/732),#REF!*W20)</f>
        <v>#REF!</v>
      </c>
      <c r="BJ20" s="54" t="e">
        <f>IF($AD20&gt;0,$AD20*#REF!*#REF!*(1+#REF!*(20/#REF!)/732),+#REF!*(W20+U20))</f>
        <v>#REF!</v>
      </c>
      <c r="BK20" s="54" t="e">
        <f>IF(E20="Bundled",#REF!*V20,#REF!*V20*0.85)</f>
        <v>#REF!</v>
      </c>
      <c r="BL20" s="54" t="e">
        <f>+BB20*V20</f>
        <v>#REF!</v>
      </c>
      <c r="BM20" s="54" t="e">
        <f>+#REF!*V20</f>
        <v>#REF!</v>
      </c>
      <c r="BN20" s="54" t="e">
        <f>+BG20-BM20</f>
        <v>#REF!</v>
      </c>
      <c r="BO20" s="54" t="e">
        <f>+BH20-BI20</f>
        <v>#REF!</v>
      </c>
      <c r="BP20" s="54" t="e">
        <f>+BN20+BO20</f>
        <v>#REF!</v>
      </c>
      <c r="BQ20" s="54">
        <f>+V20</f>
        <v>16.600000000000001</v>
      </c>
      <c r="BR20" s="54" t="e">
        <f>+BB20</f>
        <v>#REF!</v>
      </c>
      <c r="BS20" s="54" t="e">
        <f>IF(E20="Bundled",BK20-BI20,AO20-BI20)</f>
        <v>#REF!</v>
      </c>
      <c r="BT20" s="54" t="e">
        <f>IF(E20="Bundled",+(BD20-#REF!)*V20,(AM20+AN20)-V20*#REF!)</f>
        <v>#REF!</v>
      </c>
      <c r="BU20" s="54" t="e">
        <f>+BS20+BT20</f>
        <v>#REF!</v>
      </c>
      <c r="BV20" s="54" t="e">
        <f t="shared" si="99"/>
        <v>#REF!</v>
      </c>
      <c r="BW20" s="54" t="e">
        <f t="shared" si="99"/>
        <v>#REF!</v>
      </c>
      <c r="BX20" s="54" t="e">
        <f t="shared" si="99"/>
        <v>#REF!</v>
      </c>
    </row>
    <row r="21" spans="1:78" s="16" customFormat="1" ht="30" x14ac:dyDescent="0.2">
      <c r="A21" s="240" t="s">
        <v>133</v>
      </c>
      <c r="B21" s="279" t="s">
        <v>98</v>
      </c>
      <c r="C21" s="273" t="s">
        <v>215</v>
      </c>
      <c r="D21" s="255" t="s">
        <v>10</v>
      </c>
      <c r="E21" s="256" t="s">
        <v>51</v>
      </c>
      <c r="F21" s="288" t="s">
        <v>58</v>
      </c>
      <c r="G21" s="32" t="s">
        <v>59</v>
      </c>
      <c r="H21" s="30" t="str">
        <f t="shared" ref="H21" si="100">IF(F21="Rack","No of Racks",(IF(F21="Space","Sq Ft","U Space")))</f>
        <v>U Space</v>
      </c>
      <c r="I21" s="32">
        <v>6</v>
      </c>
      <c r="J21" s="32">
        <v>6</v>
      </c>
      <c r="K21" s="34">
        <f t="shared" ref="K21:K23" si="101">I21-J21</f>
        <v>0</v>
      </c>
      <c r="L21" s="32">
        <v>6</v>
      </c>
      <c r="M21" s="32"/>
      <c r="N21" s="35">
        <f>120000/12/6</f>
        <v>1666.6666666666667</v>
      </c>
      <c r="O21" s="36" t="str">
        <f t="shared" ref="O21:O23" si="102">D21</f>
        <v>Rated</v>
      </c>
      <c r="P21" s="37" t="s">
        <v>53</v>
      </c>
      <c r="Q21" s="33">
        <v>1</v>
      </c>
      <c r="R21" s="38">
        <v>0.05</v>
      </c>
      <c r="S21" s="39">
        <f t="shared" ref="S21:S23" si="103">Q21-R21</f>
        <v>0.95</v>
      </c>
      <c r="T21" s="33"/>
      <c r="U21" s="33">
        <f>IF(S21&lt;=0,0,(IF(O21="Rated",(S21+T21)*$S$20,(S21+T21))))</f>
        <v>9.219354166666669</v>
      </c>
      <c r="V21" s="33">
        <f>IF(O21="Rated",Q21*$S$20,Q21)</f>
        <v>9.7045833333333356</v>
      </c>
      <c r="W21" s="241"/>
      <c r="X21" s="33">
        <f t="shared" ref="X21:X23" si="104">IF((S21*-1)&gt;0, (S21*-1), 0)</f>
        <v>0</v>
      </c>
      <c r="Y21" s="40">
        <f>110000/12</f>
        <v>9166.6666666666661</v>
      </c>
      <c r="Z21" s="41" t="str">
        <f t="shared" ref="Z21:Z23" si="105">E21</f>
        <v>Bundled</v>
      </c>
      <c r="AA21" s="33"/>
      <c r="AB21" s="33"/>
      <c r="AC21" s="42"/>
      <c r="AD21" s="33"/>
      <c r="AE21" s="43"/>
      <c r="AF21" s="44" t="str">
        <f t="shared" ref="AF21" si="106">IF(AE21="No of Seats","No of Seats",(IF(AE21="Space","Sq Ft","")))</f>
        <v/>
      </c>
      <c r="AG21" s="33"/>
      <c r="AH21" s="33"/>
      <c r="AI21" s="33">
        <f t="shared" ref="AI21:AI23" si="107">AG21-AH21</f>
        <v>0</v>
      </c>
      <c r="AJ21" s="33"/>
      <c r="AK21" s="33"/>
      <c r="AL21" s="35"/>
      <c r="AM21" s="45">
        <f t="shared" ref="AM21:AM23" si="108">N21*L21</f>
        <v>10000</v>
      </c>
      <c r="AN21" s="45">
        <f t="shared" ref="AN21:AN23" si="109">Y21*X21</f>
        <v>0</v>
      </c>
      <c r="AO21" s="46">
        <f t="shared" ref="AO21:AO23" si="110">AD21*AC21*AA21</f>
        <v>0</v>
      </c>
      <c r="AP21" s="45">
        <f t="shared" ref="AP21:AP23" si="111">AL21*AJ21</f>
        <v>0</v>
      </c>
      <c r="AQ21" s="47">
        <v>0</v>
      </c>
      <c r="AR21" s="48">
        <f t="shared" ref="AR21:AR23" si="112">SUBTOTAL(9,AM21:AQ21)</f>
        <v>10000</v>
      </c>
      <c r="AS21" s="48"/>
      <c r="AT21" s="49"/>
      <c r="AU21" s="50"/>
      <c r="AV21" s="51"/>
      <c r="AW21" s="50"/>
      <c r="AX21" s="243"/>
      <c r="AY21" s="63"/>
      <c r="AZ21" s="52">
        <f t="shared" ref="AZ21:AZ23" si="113">IF(F21="Rack",AR21/I21,0)+IF(F21="U Space",AR21*40/I21,0)+IF(F21="Space",AR21*30/I21,0)</f>
        <v>66666.666666666672</v>
      </c>
      <c r="BA21" s="52">
        <f t="shared" ref="BA21:BA23" si="114">+AR21/V21</f>
        <v>1030.4409428534625</v>
      </c>
      <c r="BB21" s="52" t="e">
        <f>+($AK21+$AL21+$AM21-BI21)/$T21</f>
        <v>#VALUE!</v>
      </c>
      <c r="BC21" s="52" t="e">
        <f>+($AK21+$AL21+$AM21-BJ21)/$T21</f>
        <v>#VALUE!</v>
      </c>
      <c r="BD21" s="52" t="e">
        <f>+($AK21+$AL21+IF(E21="Bundled",0,V21*0.85*AA21*AC21*30.5*24)-BK21)/$T21</f>
        <v>#VALUE!</v>
      </c>
      <c r="BE21" s="52"/>
      <c r="BF21" s="53">
        <f t="shared" ref="BF21:BF23" si="115">+AM21+AN21+AO21</f>
        <v>10000</v>
      </c>
      <c r="BG21" s="53" t="e">
        <f t="shared" ref="BG21:BG23" si="116">+BF21-BH21</f>
        <v>#VALUE!</v>
      </c>
      <c r="BH21" s="53" t="e">
        <f>IF(E21="Bundled",MIN(V21*$AB$20*(1+$K$2),BF21),AO21)</f>
        <v>#VALUE!</v>
      </c>
      <c r="BI21" s="54" t="e">
        <f>IF($AB21&gt;0,$AB21*$Y$20*$AA$20*(1+$AD$20*(20/$AA$20)/732),$AB$20*W21)</f>
        <v>#VALUE!</v>
      </c>
      <c r="BJ21" s="54" t="e">
        <f>IF($AB21&gt;0,$AB21*$Y$20*$AA$20*(1+$AD$20*(20/$AA$20)/732),+$AB$20*(W21+U21))</f>
        <v>#VALUE!</v>
      </c>
      <c r="BK21" s="54" t="e">
        <f>IF(E21="Bundled",$AB$20*V21,$AB$20*V21*0.85)</f>
        <v>#VALUE!</v>
      </c>
      <c r="BL21" s="54" t="e">
        <f t="shared" ref="BL21:BL23" si="117">+BB21*V21</f>
        <v>#VALUE!</v>
      </c>
      <c r="BM21" s="54">
        <f t="shared" ref="BM21" si="118">+$J$2*V21</f>
        <v>0</v>
      </c>
      <c r="BN21" s="54" t="e">
        <f t="shared" ref="BN21:BN23" si="119">+BG21-BM21</f>
        <v>#VALUE!</v>
      </c>
      <c r="BO21" s="54" t="e">
        <f t="shared" ref="BO21:BO23" si="120">+BH21-BI21</f>
        <v>#VALUE!</v>
      </c>
      <c r="BP21" s="54" t="e">
        <f t="shared" ref="BP21:BP23" si="121">+BN21+BO21</f>
        <v>#VALUE!</v>
      </c>
      <c r="BQ21" s="54">
        <f t="shared" ref="BQ21:BQ23" si="122">+V21</f>
        <v>9.7045833333333356</v>
      </c>
      <c r="BR21" s="54" t="e">
        <f t="shared" ref="BR21:BR23" si="123">+BB21</f>
        <v>#VALUE!</v>
      </c>
      <c r="BS21" s="54" t="e">
        <f t="shared" ref="BS21:BS23" si="124">IF(E21="Bundled",BK21-BI21,AO21-BI21)</f>
        <v>#VALUE!</v>
      </c>
      <c r="BT21" s="54" t="e">
        <f t="shared" ref="BT21" si="125">IF(E21="Bundled",+(BD21-$J$2)*V21,(AM21+AN21)-V21*$J$2)</f>
        <v>#VALUE!</v>
      </c>
      <c r="BU21" s="54" t="e">
        <f t="shared" ref="BU21:BU23" si="126">+BS21+BT21</f>
        <v>#VALUE!</v>
      </c>
      <c r="BV21" s="54" t="e">
        <f>+BS21/$BO21</f>
        <v>#VALUE!</v>
      </c>
      <c r="BW21" s="54" t="e">
        <f>+BT21/$BO21</f>
        <v>#VALUE!</v>
      </c>
      <c r="BX21" s="54" t="e">
        <f>+BU21/$BO21</f>
        <v>#VALUE!</v>
      </c>
      <c r="BY21" s="5"/>
      <c r="BZ21" s="5"/>
    </row>
    <row r="22" spans="1:78" ht="30" x14ac:dyDescent="0.2">
      <c r="A22" s="158" t="s">
        <v>132</v>
      </c>
      <c r="B22" s="276" t="s">
        <v>103</v>
      </c>
      <c r="C22" s="273" t="s">
        <v>91</v>
      </c>
      <c r="D22" s="255" t="s">
        <v>55</v>
      </c>
      <c r="E22" s="256" t="s">
        <v>51</v>
      </c>
      <c r="F22" s="290" t="s">
        <v>7</v>
      </c>
      <c r="G22" s="203" t="s">
        <v>59</v>
      </c>
      <c r="H22" s="204" t="str">
        <f>IF(F22="Rack","No of Racks",(IF(F22="Space","Sq Ft","U Space")))</f>
        <v>No of Racks</v>
      </c>
      <c r="I22" s="203">
        <v>2</v>
      </c>
      <c r="J22" s="32">
        <v>2</v>
      </c>
      <c r="K22" s="34">
        <f t="shared" si="101"/>
        <v>0</v>
      </c>
      <c r="L22" s="32">
        <v>2</v>
      </c>
      <c r="M22" s="32"/>
      <c r="N22" s="135">
        <v>1840</v>
      </c>
      <c r="O22" s="36" t="str">
        <f t="shared" si="102"/>
        <v>Subscribed</v>
      </c>
      <c r="P22" s="32" t="s">
        <v>53</v>
      </c>
      <c r="Q22" s="33">
        <v>14.36</v>
      </c>
      <c r="R22" s="59">
        <f>W22/0.9</f>
        <v>8.0506327160493836</v>
      </c>
      <c r="S22" s="39">
        <f t="shared" si="103"/>
        <v>6.3093672839506159</v>
      </c>
      <c r="T22" s="33"/>
      <c r="U22" s="33">
        <f t="shared" ref="U22:U23" si="127">IF(S22&lt;=0,0,(IF(O22="Rated",(S22+T22)*$V$1,(S22+T22))))</f>
        <v>6.3093672839506159</v>
      </c>
      <c r="V22" s="33">
        <f t="shared" ref="V22:V23" si="128">IF(O22="Rated",Q22*$V$1,Q22)</f>
        <v>14.36</v>
      </c>
      <c r="W22" s="58">
        <f t="shared" ref="W22" si="129">AD22/30/24</f>
        <v>7.2455694444444454</v>
      </c>
      <c r="X22" s="33">
        <f t="shared" si="104"/>
        <v>0</v>
      </c>
      <c r="Y22" s="135">
        <v>250</v>
      </c>
      <c r="Z22" s="41" t="str">
        <f t="shared" si="105"/>
        <v>Bundled</v>
      </c>
      <c r="AA22" s="33">
        <v>1</v>
      </c>
      <c r="AB22" s="33" t="s">
        <v>60</v>
      </c>
      <c r="AC22" s="42">
        <v>0</v>
      </c>
      <c r="AD22" s="33">
        <v>5216.8100000000004</v>
      </c>
      <c r="AE22" s="43"/>
      <c r="AF22" s="44"/>
      <c r="AG22" s="33"/>
      <c r="AH22" s="33"/>
      <c r="AI22" s="33">
        <f t="shared" si="107"/>
        <v>0</v>
      </c>
      <c r="AJ22" s="33"/>
      <c r="AK22" s="33"/>
      <c r="AL22" s="35"/>
      <c r="AM22" s="135">
        <f t="shared" si="108"/>
        <v>3680</v>
      </c>
      <c r="AN22" s="135">
        <f t="shared" si="109"/>
        <v>0</v>
      </c>
      <c r="AO22" s="46">
        <f t="shared" si="110"/>
        <v>0</v>
      </c>
      <c r="AP22" s="135">
        <f t="shared" si="111"/>
        <v>0</v>
      </c>
      <c r="AQ22" s="135">
        <v>0</v>
      </c>
      <c r="AR22" s="136">
        <f t="shared" si="112"/>
        <v>3680</v>
      </c>
      <c r="AS22" s="48"/>
      <c r="AT22" s="60">
        <v>121000084</v>
      </c>
      <c r="AU22" s="61"/>
      <c r="AV22" s="62"/>
      <c r="AW22" s="61"/>
      <c r="AX22" s="81"/>
      <c r="AY22" s="5"/>
      <c r="AZ22" s="28">
        <f t="shared" si="113"/>
        <v>1840</v>
      </c>
      <c r="BA22" s="28">
        <f t="shared" si="114"/>
        <v>256.26740947075211</v>
      </c>
      <c r="BB22" s="25" t="e">
        <f t="shared" ref="BB22:BC23" si="130">+($AN22+$AO22+$AP22-BI22)/$W22</f>
        <v>#VALUE!</v>
      </c>
      <c r="BC22" s="25" t="e">
        <f t="shared" si="130"/>
        <v>#VALUE!</v>
      </c>
      <c r="BD22" s="25" t="e">
        <f t="shared" ref="BD22:BD23" si="131">+($AN22+$AO22+IF(E22="Bundled",0,V22*0.85*AA22*AC22*30.5*24)-BK22)/$W22</f>
        <v>#VALUE!</v>
      </c>
      <c r="BE22" s="28"/>
      <c r="BF22" s="26">
        <f t="shared" si="115"/>
        <v>3680</v>
      </c>
      <c r="BG22" s="26" t="e">
        <f t="shared" si="116"/>
        <v>#VALUE!</v>
      </c>
      <c r="BH22" s="26" t="e">
        <f>IF(E22="Bundled",MIN(V22*$AE$1*(1+#REF!),BF22),AO22)</f>
        <v>#VALUE!</v>
      </c>
      <c r="BI22" s="27" t="e">
        <f t="shared" ref="BI22:BI23" si="132">IF($AE22&gt;0,$AE22*$AB$1*$AD$1*(1+$AG$1*(20/$AD$1)/732),$AE$1*W22)</f>
        <v>#VALUE!</v>
      </c>
      <c r="BJ22" s="27" t="e">
        <f t="shared" ref="BJ22:BJ23" si="133">IF($AE22&gt;0,$AE22*$AB$1*$AD$1*(1+$AG$1*(20/$AD$1)/732),+$AE$1*(W22+U22))</f>
        <v>#VALUE!</v>
      </c>
      <c r="BK22" s="27" t="e">
        <f t="shared" ref="BK22:BK23" si="134">IF(E22="Bundled",$AE$1*V22,$AE$1*V22*0.85)</f>
        <v>#VALUE!</v>
      </c>
      <c r="BL22" s="27" t="e">
        <f t="shared" si="117"/>
        <v>#VALUE!</v>
      </c>
      <c r="BM22" s="27" t="e">
        <f>+#REF!*V22</f>
        <v>#REF!</v>
      </c>
      <c r="BN22" s="27" t="e">
        <f t="shared" si="119"/>
        <v>#VALUE!</v>
      </c>
      <c r="BO22" s="27" t="e">
        <f t="shared" si="120"/>
        <v>#VALUE!</v>
      </c>
      <c r="BP22" s="27" t="e">
        <f t="shared" si="121"/>
        <v>#VALUE!</v>
      </c>
      <c r="BQ22" s="27">
        <f t="shared" si="122"/>
        <v>14.36</v>
      </c>
      <c r="BR22" s="27" t="e">
        <f t="shared" si="123"/>
        <v>#VALUE!</v>
      </c>
      <c r="BS22" s="27" t="e">
        <f t="shared" si="124"/>
        <v>#VALUE!</v>
      </c>
      <c r="BT22" s="27" t="e">
        <f>IF(E22="Bundled",+(BD22-#REF!)*V22,(AM22+AN22)-V22*#REF!)</f>
        <v>#VALUE!</v>
      </c>
      <c r="BU22" s="27" t="e">
        <f t="shared" si="126"/>
        <v>#VALUE!</v>
      </c>
      <c r="BV22" s="27" t="e">
        <f t="shared" ref="BV22:BX23" si="135">+BS22/$BR22</f>
        <v>#VALUE!</v>
      </c>
      <c r="BW22" s="27" t="e">
        <f t="shared" si="135"/>
        <v>#VALUE!</v>
      </c>
      <c r="BX22" s="27" t="e">
        <f t="shared" si="135"/>
        <v>#VALUE!</v>
      </c>
    </row>
    <row r="23" spans="1:78" ht="30" x14ac:dyDescent="0.2">
      <c r="A23" s="158" t="s">
        <v>94</v>
      </c>
      <c r="B23" s="282" t="s">
        <v>107</v>
      </c>
      <c r="C23" s="255" t="s">
        <v>104</v>
      </c>
      <c r="D23" s="255" t="s">
        <v>55</v>
      </c>
      <c r="E23" s="256" t="s">
        <v>51</v>
      </c>
      <c r="F23" s="288" t="s">
        <v>7</v>
      </c>
      <c r="G23" s="32" t="s">
        <v>59</v>
      </c>
      <c r="H23" s="30" t="str">
        <f t="shared" ref="H23" si="136">IF(F23="Rack","No of Racks",(IF(F23="Space","Sq Ft","U Space")))</f>
        <v>No of Racks</v>
      </c>
      <c r="I23" s="32">
        <v>2</v>
      </c>
      <c r="J23" s="32">
        <v>2</v>
      </c>
      <c r="K23" s="34">
        <f t="shared" si="101"/>
        <v>0</v>
      </c>
      <c r="L23" s="32">
        <v>2</v>
      </c>
      <c r="M23" s="32"/>
      <c r="N23" s="135">
        <v>1840</v>
      </c>
      <c r="O23" s="36" t="str">
        <f t="shared" si="102"/>
        <v>Subscribed</v>
      </c>
      <c r="P23" s="32" t="s">
        <v>57</v>
      </c>
      <c r="Q23" s="33">
        <v>13</v>
      </c>
      <c r="R23" s="59">
        <f>W23</f>
        <v>0</v>
      </c>
      <c r="S23" s="39">
        <f t="shared" si="103"/>
        <v>13</v>
      </c>
      <c r="T23" s="33"/>
      <c r="U23" s="33">
        <f t="shared" si="127"/>
        <v>13</v>
      </c>
      <c r="V23" s="33">
        <f t="shared" si="128"/>
        <v>13</v>
      </c>
      <c r="W23" s="58">
        <f>AD23/31/24</f>
        <v>0</v>
      </c>
      <c r="X23" s="33">
        <f t="shared" si="104"/>
        <v>0</v>
      </c>
      <c r="Y23" s="135">
        <v>283</v>
      </c>
      <c r="Z23" s="41" t="str">
        <f t="shared" si="105"/>
        <v>Bundled</v>
      </c>
      <c r="AA23" s="33">
        <v>1</v>
      </c>
      <c r="AB23" s="33" t="s">
        <v>60</v>
      </c>
      <c r="AC23" s="42">
        <v>0</v>
      </c>
      <c r="AD23" s="33">
        <v>0</v>
      </c>
      <c r="AE23" s="43"/>
      <c r="AF23" s="44"/>
      <c r="AG23" s="33"/>
      <c r="AH23" s="33"/>
      <c r="AI23" s="33">
        <f t="shared" si="107"/>
        <v>0</v>
      </c>
      <c r="AJ23" s="33"/>
      <c r="AK23" s="33"/>
      <c r="AL23" s="35"/>
      <c r="AM23" s="135">
        <f t="shared" si="108"/>
        <v>3680</v>
      </c>
      <c r="AN23" s="135">
        <f t="shared" si="109"/>
        <v>0</v>
      </c>
      <c r="AO23" s="46">
        <f t="shared" si="110"/>
        <v>0</v>
      </c>
      <c r="AP23" s="135">
        <f t="shared" si="111"/>
        <v>0</v>
      </c>
      <c r="AQ23" s="135">
        <v>0</v>
      </c>
      <c r="AR23" s="136">
        <f t="shared" si="112"/>
        <v>3680</v>
      </c>
      <c r="AS23" s="48"/>
      <c r="AT23" s="60"/>
      <c r="AU23" s="61"/>
      <c r="AV23" s="62"/>
      <c r="AW23" s="61"/>
      <c r="AX23" s="81"/>
      <c r="AY23" s="5"/>
      <c r="AZ23" s="28">
        <f t="shared" si="113"/>
        <v>1840</v>
      </c>
      <c r="BA23" s="28">
        <f t="shared" si="114"/>
        <v>283.07692307692309</v>
      </c>
      <c r="BB23" s="25" t="e">
        <f t="shared" si="130"/>
        <v>#VALUE!</v>
      </c>
      <c r="BC23" s="25" t="e">
        <f t="shared" si="130"/>
        <v>#VALUE!</v>
      </c>
      <c r="BD23" s="25" t="e">
        <f t="shared" si="131"/>
        <v>#VALUE!</v>
      </c>
      <c r="BE23" s="28"/>
      <c r="BF23" s="26">
        <f t="shared" si="115"/>
        <v>3680</v>
      </c>
      <c r="BG23" s="26" t="e">
        <f t="shared" si="116"/>
        <v>#VALUE!</v>
      </c>
      <c r="BH23" s="26" t="e">
        <f>IF(E23="Bundled",MIN(V23*$AE$1*(1+#REF!),BF23),AO23)</f>
        <v>#VALUE!</v>
      </c>
      <c r="BI23" s="27" t="e">
        <f t="shared" si="132"/>
        <v>#VALUE!</v>
      </c>
      <c r="BJ23" s="27" t="e">
        <f t="shared" si="133"/>
        <v>#VALUE!</v>
      </c>
      <c r="BK23" s="27" t="e">
        <f t="shared" si="134"/>
        <v>#VALUE!</v>
      </c>
      <c r="BL23" s="27" t="e">
        <f t="shared" si="117"/>
        <v>#VALUE!</v>
      </c>
      <c r="BM23" s="27" t="e">
        <f>+#REF!*V23</f>
        <v>#REF!</v>
      </c>
      <c r="BN23" s="27" t="e">
        <f t="shared" si="119"/>
        <v>#VALUE!</v>
      </c>
      <c r="BO23" s="27" t="e">
        <f t="shared" si="120"/>
        <v>#VALUE!</v>
      </c>
      <c r="BP23" s="27" t="e">
        <f t="shared" si="121"/>
        <v>#VALUE!</v>
      </c>
      <c r="BQ23" s="27">
        <f t="shared" si="122"/>
        <v>13</v>
      </c>
      <c r="BR23" s="27" t="e">
        <f t="shared" si="123"/>
        <v>#VALUE!</v>
      </c>
      <c r="BS23" s="27" t="e">
        <f t="shared" si="124"/>
        <v>#VALUE!</v>
      </c>
      <c r="BT23" s="27" t="e">
        <f>IF(E23="Bundled",+(BD23-#REF!)*V23,(AM23+AN23)-V23*#REF!)</f>
        <v>#VALUE!</v>
      </c>
      <c r="BU23" s="27" t="e">
        <f t="shared" si="126"/>
        <v>#VALUE!</v>
      </c>
      <c r="BV23" s="27" t="e">
        <f t="shared" si="135"/>
        <v>#VALUE!</v>
      </c>
      <c r="BW23" s="27" t="e">
        <f t="shared" si="135"/>
        <v>#VALUE!</v>
      </c>
      <c r="BX23" s="27" t="e">
        <f t="shared" si="135"/>
        <v>#VALUE!</v>
      </c>
    </row>
    <row r="24" spans="1:78" s="16" customFormat="1" ht="60" x14ac:dyDescent="0.2">
      <c r="A24" s="158" t="s">
        <v>132</v>
      </c>
      <c r="B24" s="276" t="s">
        <v>121</v>
      </c>
      <c r="C24" s="273" t="s">
        <v>182</v>
      </c>
      <c r="D24" s="255" t="s">
        <v>10</v>
      </c>
      <c r="E24" s="256" t="s">
        <v>56</v>
      </c>
      <c r="F24" s="288" t="s">
        <v>7</v>
      </c>
      <c r="G24" s="32" t="s">
        <v>59</v>
      </c>
      <c r="H24" s="30" t="str">
        <f t="shared" ref="H24" si="137">IF(F24="Rack","No of Racks",(IF(F24="Space","Sq Ft","U Space")))</f>
        <v>No of Racks</v>
      </c>
      <c r="I24" s="32">
        <v>1</v>
      </c>
      <c r="J24" s="32">
        <v>1</v>
      </c>
      <c r="K24" s="34">
        <f t="shared" ref="K24" si="138">I24-J24</f>
        <v>0</v>
      </c>
      <c r="L24" s="32">
        <v>1</v>
      </c>
      <c r="M24" s="32"/>
      <c r="N24" s="35">
        <f>(360000)/12</f>
        <v>30000</v>
      </c>
      <c r="O24" s="36" t="str">
        <f t="shared" ref="O24" si="139">D24</f>
        <v>Rated</v>
      </c>
      <c r="P24" s="32" t="s">
        <v>53</v>
      </c>
      <c r="Q24" s="33">
        <v>9</v>
      </c>
      <c r="R24" s="38">
        <v>9</v>
      </c>
      <c r="S24" s="39">
        <f t="shared" ref="S24" si="140">Q24-R24</f>
        <v>0</v>
      </c>
      <c r="T24" s="33"/>
      <c r="U24" s="33">
        <f t="shared" ref="U24" si="141">IF(S24&lt;=0,0,(IF(O24="Rated",(S24+T24)*$V$1,(S24+T24))))</f>
        <v>0</v>
      </c>
      <c r="V24" s="33" t="e">
        <f t="shared" ref="V24" si="142">IF(O24="Rated",Q24*$V$1,Q24)</f>
        <v>#VALUE!</v>
      </c>
      <c r="W24" s="58">
        <f>AD24/31/24</f>
        <v>0.81201612903225806</v>
      </c>
      <c r="X24" s="33">
        <f t="shared" ref="X24" si="143">IF((S24*-1)&gt;0, (S24*-1), 0)</f>
        <v>0</v>
      </c>
      <c r="Y24" s="40">
        <v>0</v>
      </c>
      <c r="Z24" s="41" t="str">
        <f t="shared" ref="Z24" si="144">E24</f>
        <v>Metered</v>
      </c>
      <c r="AA24" s="33">
        <v>1</v>
      </c>
      <c r="AB24" s="33" t="s">
        <v>60</v>
      </c>
      <c r="AC24" s="42">
        <v>17</v>
      </c>
      <c r="AD24" s="33">
        <v>604.14</v>
      </c>
      <c r="AE24" s="43"/>
      <c r="AF24" s="44" t="str">
        <f t="shared" ref="AF24" si="145">IF(AE24="No of Seats","No of Seats",(IF(AE24="Space","Sq Ft","")))</f>
        <v/>
      </c>
      <c r="AG24" s="33"/>
      <c r="AH24" s="33"/>
      <c r="AI24" s="33">
        <f t="shared" ref="AI24" si="146">AG24-AH24</f>
        <v>0</v>
      </c>
      <c r="AJ24" s="33"/>
      <c r="AK24" s="33"/>
      <c r="AL24" s="35"/>
      <c r="AM24" s="45">
        <f t="shared" ref="AM24" si="147">N24*L24</f>
        <v>30000</v>
      </c>
      <c r="AN24" s="45">
        <f t="shared" ref="AN24" si="148">Y24*X24</f>
        <v>0</v>
      </c>
      <c r="AO24" s="46">
        <f t="shared" ref="AO24" si="149">AD24*AC24*AA24</f>
        <v>10270.379999999999</v>
      </c>
      <c r="AP24" s="45">
        <f t="shared" ref="AP24" si="150">AL24*AJ24</f>
        <v>0</v>
      </c>
      <c r="AQ24" s="47">
        <f>600000/12</f>
        <v>50000</v>
      </c>
      <c r="AR24" s="48">
        <f t="shared" ref="AR24" si="151">SUBTOTAL(9,AM24:AQ24)</f>
        <v>90270.38</v>
      </c>
      <c r="AS24" s="48"/>
      <c r="AT24" s="60" t="s">
        <v>87</v>
      </c>
      <c r="AU24" s="61"/>
      <c r="AV24" s="62"/>
      <c r="AW24" s="61"/>
      <c r="AX24" s="81"/>
      <c r="AZ24" s="28">
        <f t="shared" ref="AZ24" si="152">IF(F24="Rack",AR24/I24,0)+IF(F24="U Space",AR24*40/I24,0)+IF(F24="Space",AR24*30/I24,0)</f>
        <v>90270.38</v>
      </c>
      <c r="BA24" s="28" t="e">
        <f t="shared" ref="BA24" si="153">+AR24/V24</f>
        <v>#VALUE!</v>
      </c>
      <c r="BB24" s="25" t="e">
        <f t="shared" ref="BB24:BC26" si="154">+($AM24+$AN24+$AO24-BI24)/$V24</f>
        <v>#VALUE!</v>
      </c>
      <c r="BC24" s="25" t="e">
        <f t="shared" si="154"/>
        <v>#VALUE!</v>
      </c>
      <c r="BD24" s="25" t="e">
        <f>+($AM24+$AN24+IF(E24="Bundled",0,V24*0.85*AA24*AC24*30.5*24)-BK24)/$V24</f>
        <v>#VALUE!</v>
      </c>
      <c r="BE24" s="28"/>
      <c r="BF24" s="26">
        <f t="shared" ref="BF24" si="155">+AM24+AN24+AO24</f>
        <v>40270.379999999997</v>
      </c>
      <c r="BG24" s="26">
        <f t="shared" ref="BG24" si="156">+BF24-BH24</f>
        <v>30000</v>
      </c>
      <c r="BH24" s="26">
        <f>IF(E24="Bundled",MIN(V24*$AE$1*(1+#REF!),BF24),AO24)</f>
        <v>10270.379999999999</v>
      </c>
      <c r="BI24" s="27" t="e">
        <f>IF($AD24&gt;0,$AD24*$AB$1*$AD$1*(1+$AG$1*(20/$AD$1)/732),$AE$1*W24)</f>
        <v>#VALUE!</v>
      </c>
      <c r="BJ24" s="27" t="e">
        <f>IF($AD24&gt;0,$AD24*$AB$1*$AD$1*(1+$AG$1*(20/$AD$1)/732),+$AE$1*(W24+U24))</f>
        <v>#VALUE!</v>
      </c>
      <c r="BK24" s="27" t="e">
        <f t="shared" ref="BK24" si="157">IF(E24="Bundled",$AE$1*V24,$AE$1*V24*0.85)</f>
        <v>#VALUE!</v>
      </c>
      <c r="BL24" s="27" t="e">
        <f t="shared" ref="BL24" si="158">+BB24*V24</f>
        <v>#VALUE!</v>
      </c>
      <c r="BM24" s="27" t="e">
        <f>+#REF!*V24</f>
        <v>#REF!</v>
      </c>
      <c r="BN24" s="27" t="e">
        <f t="shared" ref="BN24" si="159">+BG24-BM24</f>
        <v>#REF!</v>
      </c>
      <c r="BO24" s="27" t="e">
        <f t="shared" ref="BO24" si="160">+BH24-BI24</f>
        <v>#VALUE!</v>
      </c>
      <c r="BP24" s="27" t="e">
        <f t="shared" ref="BP24" si="161">+BN24+BO24</f>
        <v>#REF!</v>
      </c>
      <c r="BQ24" s="27" t="e">
        <f t="shared" ref="BQ24" si="162">+V24</f>
        <v>#VALUE!</v>
      </c>
      <c r="BR24" s="27" t="e">
        <f t="shared" ref="BR24" si="163">+BB24</f>
        <v>#VALUE!</v>
      </c>
      <c r="BS24" s="27" t="e">
        <f t="shared" ref="BS24" si="164">IF(E24="Bundled",BK24-BI24,AO24-BI24)</f>
        <v>#VALUE!</v>
      </c>
      <c r="BT24" s="27" t="e">
        <f>IF(E24="Bundled",+(BD24-#REF!)*V24,(AM24+AN24)-V24*#REF!)</f>
        <v>#VALUE!</v>
      </c>
      <c r="BU24" s="27" t="e">
        <f t="shared" ref="BU24" si="165">+BS24+BT24</f>
        <v>#VALUE!</v>
      </c>
      <c r="BV24" s="27" t="e">
        <f t="shared" ref="BV24:BX25" si="166">+BS24/$BQ24</f>
        <v>#VALUE!</v>
      </c>
      <c r="BW24" s="27" t="e">
        <f t="shared" si="166"/>
        <v>#VALUE!</v>
      </c>
      <c r="BX24" s="27" t="e">
        <f t="shared" si="166"/>
        <v>#VALUE!</v>
      </c>
    </row>
    <row r="25" spans="1:78" ht="60" x14ac:dyDescent="0.2">
      <c r="A25" s="215" t="s">
        <v>132</v>
      </c>
      <c r="B25" s="283" t="s">
        <v>218</v>
      </c>
      <c r="C25" s="273" t="s">
        <v>182</v>
      </c>
      <c r="D25" s="255" t="s">
        <v>10</v>
      </c>
      <c r="E25" s="256" t="s">
        <v>56</v>
      </c>
      <c r="F25" s="289" t="s">
        <v>7</v>
      </c>
      <c r="G25" s="216" t="s">
        <v>59</v>
      </c>
      <c r="H25" s="218" t="str">
        <f t="shared" ref="H25" si="167">IF(F25="Rack","No of Racks",(IF(F25="Space","Sq Ft","U Space")))</f>
        <v>No of Racks</v>
      </c>
      <c r="I25" s="216">
        <v>1</v>
      </c>
      <c r="J25" s="216">
        <v>1</v>
      </c>
      <c r="K25" s="219">
        <v>0</v>
      </c>
      <c r="L25" s="216">
        <v>1</v>
      </c>
      <c r="M25" s="216"/>
      <c r="N25" s="220">
        <f>(750000+320000+225000)/12/3</f>
        <v>35972.222222222226</v>
      </c>
      <c r="O25" s="221" t="str">
        <f t="shared" ref="O25" si="168">D25</f>
        <v>Rated</v>
      </c>
      <c r="P25" s="216" t="s">
        <v>53</v>
      </c>
      <c r="Q25" s="217">
        <v>8</v>
      </c>
      <c r="R25" s="244">
        <v>10.62</v>
      </c>
      <c r="S25" s="222">
        <f t="shared" ref="S25" si="169">Q25-R25</f>
        <v>-2.6199999999999992</v>
      </c>
      <c r="T25" s="217"/>
      <c r="U25" s="217">
        <f t="shared" ref="U25" si="170">IF(S25&lt;=0,0,(IF(O25="Rated",(S25+T25)*$V$1,(S25+T25))))</f>
        <v>0</v>
      </c>
      <c r="V25" s="217" t="e">
        <f t="shared" ref="V25" si="171">IF(O25="Rated",Q25*$V$1,Q25)</f>
        <v>#VALUE!</v>
      </c>
      <c r="W25" s="223">
        <f>AD25/31/24</f>
        <v>4.4697849462365591</v>
      </c>
      <c r="X25" s="217">
        <f t="shared" ref="X25" si="172">IF((S25*-1)&gt;0, (S25*-1), 0)</f>
        <v>2.6199999999999992</v>
      </c>
      <c r="Y25" s="224">
        <f>90000/12</f>
        <v>7500</v>
      </c>
      <c r="Z25" s="225" t="str">
        <f t="shared" ref="Z25" si="173">E25</f>
        <v>Metered</v>
      </c>
      <c r="AA25" s="217">
        <v>1</v>
      </c>
      <c r="AB25" s="217" t="s">
        <v>60</v>
      </c>
      <c r="AC25" s="226">
        <v>15.75</v>
      </c>
      <c r="AD25" s="217">
        <v>3325.52</v>
      </c>
      <c r="AE25" s="227"/>
      <c r="AF25" s="228" t="str">
        <f t="shared" ref="AF25" si="174">IF(AE25="No of Seats","No of Seats",(IF(AE25="Space","Sq Ft","")))</f>
        <v/>
      </c>
      <c r="AG25" s="217"/>
      <c r="AH25" s="217"/>
      <c r="AI25" s="217">
        <f t="shared" ref="AI25" si="175">AG25-AH25</f>
        <v>0</v>
      </c>
      <c r="AJ25" s="217"/>
      <c r="AK25" s="217"/>
      <c r="AL25" s="220"/>
      <c r="AM25" s="229">
        <f t="shared" ref="AM25" si="176">N25*L25</f>
        <v>35972.222222222226</v>
      </c>
      <c r="AN25" s="229">
        <f t="shared" ref="AN25" si="177">Y25*X25</f>
        <v>19649.999999999993</v>
      </c>
      <c r="AO25" s="230">
        <f t="shared" ref="AO25" si="178">AD25*AC25*AA25</f>
        <v>52376.94</v>
      </c>
      <c r="AP25" s="229">
        <f t="shared" ref="AP25" si="179">AL25*AJ25</f>
        <v>0</v>
      </c>
      <c r="AQ25" s="231">
        <f>600000/12</f>
        <v>50000</v>
      </c>
      <c r="AR25" s="232">
        <f t="shared" ref="AR25" si="180">SUBTOTAL(9,AM25:AQ25)</f>
        <v>157999.16222222222</v>
      </c>
      <c r="AS25" s="232"/>
      <c r="AT25" s="233" t="s">
        <v>87</v>
      </c>
      <c r="AU25" s="234"/>
      <c r="AV25" s="235"/>
      <c r="AW25" s="234"/>
      <c r="AX25" s="236"/>
      <c r="AY25" s="16"/>
      <c r="AZ25" s="237">
        <f t="shared" ref="AZ25" si="181">IF(F25="Rack",AR25/I25,0)+IF(F25="U Space",AR25*40/I25,0)+IF(F25="Space",AR25*30/I25,0)</f>
        <v>157999.16222222222</v>
      </c>
      <c r="BA25" s="237" t="e">
        <f t="shared" ref="BA25" si="182">+AR25/V25</f>
        <v>#VALUE!</v>
      </c>
      <c r="BB25" s="237" t="e">
        <f t="shared" si="154"/>
        <v>#VALUE!</v>
      </c>
      <c r="BC25" s="237" t="e">
        <f t="shared" si="154"/>
        <v>#VALUE!</v>
      </c>
      <c r="BD25" s="237" t="e">
        <f>+($AM25+$AN25+IF(E25="Bundled",0,V25*0.85*AA25*AC25*30.5*24)-BK25)/$V25</f>
        <v>#VALUE!</v>
      </c>
      <c r="BE25" s="237"/>
      <c r="BF25" s="238">
        <f t="shared" ref="BF25" si="183">+AM25+AN25+AO25</f>
        <v>107999.16222222222</v>
      </c>
      <c r="BG25" s="238">
        <f t="shared" ref="BG25" si="184">+BF25-BH25</f>
        <v>55622.222222222219</v>
      </c>
      <c r="BH25" s="238">
        <f>IF(E25="Bundled",MIN(V25*$AE$1*(1+#REF!),BF25),AO25)</f>
        <v>52376.94</v>
      </c>
      <c r="BI25" s="239" t="e">
        <f>IF($AD25&gt;0,$AD25*$AB$1*$AD$1*(1+$AG$1*(20/$AD$1)/732),$AE$1*W25)</f>
        <v>#VALUE!</v>
      </c>
      <c r="BJ25" s="239" t="e">
        <f>IF($AD25&gt;0,$AD25*$AB$1*$AD$1*(1+$AG$1*(20/$AD$1)/732),+$AE$1*(W25+U25))</f>
        <v>#VALUE!</v>
      </c>
      <c r="BK25" s="239" t="e">
        <f t="shared" ref="BK25" si="185">IF(E25="Bundled",$AE$1*V25,$AE$1*V25*0.85)</f>
        <v>#VALUE!</v>
      </c>
      <c r="BL25" s="239" t="e">
        <f t="shared" ref="BL25" si="186">+BB25*V25</f>
        <v>#VALUE!</v>
      </c>
      <c r="BM25" s="239" t="e">
        <f>+#REF!*V25</f>
        <v>#REF!</v>
      </c>
      <c r="BN25" s="239" t="e">
        <f t="shared" ref="BN25" si="187">+BG25-BM25</f>
        <v>#REF!</v>
      </c>
      <c r="BO25" s="239" t="e">
        <f t="shared" ref="BO25" si="188">+BH25-BI25</f>
        <v>#VALUE!</v>
      </c>
      <c r="BP25" s="239" t="e">
        <f t="shared" ref="BP25" si="189">+BN25+BO25</f>
        <v>#REF!</v>
      </c>
      <c r="BQ25" s="239" t="e">
        <f t="shared" ref="BQ25" si="190">+V25</f>
        <v>#VALUE!</v>
      </c>
      <c r="BR25" s="239" t="e">
        <f t="shared" ref="BR25" si="191">+BB25</f>
        <v>#VALUE!</v>
      </c>
      <c r="BS25" s="239" t="e">
        <f t="shared" ref="BS25" si="192">IF(E25="Bundled",BK25-BI25,AO25-BI25)</f>
        <v>#VALUE!</v>
      </c>
      <c r="BT25" s="239" t="e">
        <f>IF(E25="Bundled",+(BD25-#REF!)*V25,(AM25+AN25)-V25*#REF!)</f>
        <v>#VALUE!</v>
      </c>
      <c r="BU25" s="239" t="e">
        <f t="shared" ref="BU25" si="193">+BS25+BT25</f>
        <v>#VALUE!</v>
      </c>
      <c r="BV25" s="239" t="e">
        <f t="shared" si="166"/>
        <v>#VALUE!</v>
      </c>
      <c r="BW25" s="239" t="e">
        <f t="shared" si="166"/>
        <v>#VALUE!</v>
      </c>
      <c r="BX25" s="239" t="e">
        <f t="shared" si="166"/>
        <v>#VALUE!</v>
      </c>
    </row>
    <row r="26" spans="1:78" s="16" customFormat="1" ht="45" x14ac:dyDescent="0.2">
      <c r="A26" s="240" t="s">
        <v>134</v>
      </c>
      <c r="B26" s="284" t="s">
        <v>216</v>
      </c>
      <c r="C26" s="273" t="s">
        <v>176</v>
      </c>
      <c r="D26" s="255" t="s">
        <v>55</v>
      </c>
      <c r="E26" s="256" t="s">
        <v>56</v>
      </c>
      <c r="F26" s="288" t="s">
        <v>7</v>
      </c>
      <c r="G26" s="32" t="s">
        <v>52</v>
      </c>
      <c r="H26" s="30" t="str">
        <f>IF(F26="Rack","No of Racks",(IF(F26="Space","Sq Ft","U Space")))</f>
        <v>No of Racks</v>
      </c>
      <c r="I26" s="32">
        <v>4</v>
      </c>
      <c r="J26" s="32">
        <v>4</v>
      </c>
      <c r="K26" s="34">
        <f>I26-J26</f>
        <v>0</v>
      </c>
      <c r="L26" s="32">
        <v>4</v>
      </c>
      <c r="M26" s="32"/>
      <c r="N26" s="35">
        <f>(0)/12</f>
        <v>0</v>
      </c>
      <c r="O26" s="36" t="str">
        <f>D26</f>
        <v>Subscribed</v>
      </c>
      <c r="P26" s="32" t="s">
        <v>57</v>
      </c>
      <c r="Q26" s="33">
        <v>30</v>
      </c>
      <c r="R26" s="59">
        <f>W26</f>
        <v>12.16693548387097</v>
      </c>
      <c r="S26" s="39">
        <f>Q26-R26</f>
        <v>17.833064516129028</v>
      </c>
      <c r="T26" s="33"/>
      <c r="U26" s="33">
        <f>IF(S26&lt;=0,0,(IF(O26="Rated",(S26+T26)*#REF!,(S26+T26))))</f>
        <v>17.833064516129028</v>
      </c>
      <c r="V26" s="33">
        <f>IF(O26="Rated",Q26*#REF!,Q26)</f>
        <v>30</v>
      </c>
      <c r="W26" s="58">
        <f>AD26/31/24</f>
        <v>12.16693548387097</v>
      </c>
      <c r="X26" s="33">
        <f>IF((S26*-1)&gt;0, (S26*-1), 0)</f>
        <v>0</v>
      </c>
      <c r="Y26" s="40">
        <f>0/12</f>
        <v>0</v>
      </c>
      <c r="Z26" s="41" t="str">
        <f>E26</f>
        <v>Metered</v>
      </c>
      <c r="AA26" s="33"/>
      <c r="AB26" s="33" t="s">
        <v>60</v>
      </c>
      <c r="AC26" s="42">
        <v>0</v>
      </c>
      <c r="AD26" s="33">
        <v>9052.2000000000007</v>
      </c>
      <c r="AE26" s="43"/>
      <c r="AF26" s="44"/>
      <c r="AG26" s="33"/>
      <c r="AH26" s="33"/>
      <c r="AI26" s="33">
        <f>AG26-AH26</f>
        <v>0</v>
      </c>
      <c r="AJ26" s="33"/>
      <c r="AK26" s="33"/>
      <c r="AL26" s="35">
        <f>(0)/12</f>
        <v>0</v>
      </c>
      <c r="AM26" s="45">
        <f>N26*L26</f>
        <v>0</v>
      </c>
      <c r="AN26" s="45">
        <f>Y26*X26</f>
        <v>0</v>
      </c>
      <c r="AO26" s="46">
        <f>AD26*AC26*AA26</f>
        <v>0</v>
      </c>
      <c r="AP26" s="45">
        <f>AL26*AJ26</f>
        <v>0</v>
      </c>
      <c r="AQ26" s="47">
        <f>0/12</f>
        <v>0</v>
      </c>
      <c r="AR26" s="48">
        <f>SUBTOTAL(9,AM26:AQ26)</f>
        <v>0</v>
      </c>
      <c r="AS26" s="48"/>
      <c r="AT26" s="60"/>
      <c r="AU26" s="61"/>
      <c r="AV26" s="62"/>
      <c r="AW26" s="61"/>
      <c r="AX26" s="63"/>
      <c r="AY26" s="63"/>
      <c r="AZ26" s="52">
        <f>IF(F26="Rack",AR26/I26,0)+IF(F26="U Space",AR26*40/I26,0)+IF(F26="Space",AR26*30/I26,0)</f>
        <v>0</v>
      </c>
      <c r="BA26" s="52">
        <f>+AR26/V26</f>
        <v>0</v>
      </c>
      <c r="BB26" s="52" t="e">
        <f t="shared" si="154"/>
        <v>#REF!</v>
      </c>
      <c r="BC26" s="52" t="e">
        <f t="shared" si="154"/>
        <v>#REF!</v>
      </c>
      <c r="BD26" s="52" t="e">
        <f>+($AM26+$AN26+IF(E26="Bundled",0,V26*0.85*AA26*AC26*30.5*24)-BK26)/$V26</f>
        <v>#REF!</v>
      </c>
      <c r="BE26" s="52"/>
      <c r="BF26" s="53">
        <f>+AM26+AN26+AO26</f>
        <v>0</v>
      </c>
      <c r="BG26" s="53">
        <f>+BF26-BH26</f>
        <v>0</v>
      </c>
      <c r="BH26" s="53">
        <f>IF(E26="Bundled",MIN(V26*#REF!*(1+#REF!),BF26),AO26)</f>
        <v>0</v>
      </c>
      <c r="BI26" s="54" t="e">
        <f>IF($AD26&gt;0,$AD26*#REF!*#REF!*(1+#REF!*(20/#REF!)/732),#REF!*W26)</f>
        <v>#REF!</v>
      </c>
      <c r="BJ26" s="54" t="e">
        <f>IF($AD26&gt;0,$AD26*#REF!*#REF!*(1+#REF!*(20/#REF!)/732),+#REF!*(W26+U26))</f>
        <v>#REF!</v>
      </c>
      <c r="BK26" s="54" t="e">
        <f>IF(E26="Bundled",#REF!*V26,#REF!*V26*0.85)</f>
        <v>#REF!</v>
      </c>
      <c r="BL26" s="54" t="e">
        <f>+BB26*V26</f>
        <v>#REF!</v>
      </c>
      <c r="BM26" s="54" t="e">
        <f>+#REF!*V26</f>
        <v>#REF!</v>
      </c>
      <c r="BN26" s="54" t="e">
        <f>+BG26-BM26</f>
        <v>#REF!</v>
      </c>
      <c r="BO26" s="54" t="e">
        <f>+BH26-BI26</f>
        <v>#REF!</v>
      </c>
      <c r="BP26" s="54" t="e">
        <f>+BN26+BO26</f>
        <v>#REF!</v>
      </c>
      <c r="BQ26" s="54">
        <f>+V26</f>
        <v>30</v>
      </c>
      <c r="BR26" s="54" t="e">
        <f>+BB26</f>
        <v>#REF!</v>
      </c>
      <c r="BS26" s="54" t="e">
        <f>IF(E26="Bundled",BK26-BI26,AO26-BI26)</f>
        <v>#REF!</v>
      </c>
      <c r="BT26" s="54" t="e">
        <f>IF(E26="Bundled",+(BD26-#REF!)*V26,(AM26+AN26)-V26*#REF!)</f>
        <v>#REF!</v>
      </c>
      <c r="BU26" s="54" t="e">
        <f>+BS26+BT26</f>
        <v>#REF!</v>
      </c>
      <c r="BV26" s="54" t="e">
        <f t="shared" ref="BV26:BX27" si="194">+BS26/$BQ26</f>
        <v>#REF!</v>
      </c>
      <c r="BW26" s="54" t="e">
        <f t="shared" si="194"/>
        <v>#REF!</v>
      </c>
      <c r="BX26" s="54" t="e">
        <f t="shared" si="194"/>
        <v>#REF!</v>
      </c>
    </row>
    <row r="27" spans="1:78" s="16" customFormat="1" ht="15" x14ac:dyDescent="0.2">
      <c r="A27" s="215" t="s">
        <v>132</v>
      </c>
      <c r="B27" s="285" t="s">
        <v>102</v>
      </c>
      <c r="C27" s="294" t="s">
        <v>195</v>
      </c>
      <c r="D27" s="255" t="s">
        <v>10</v>
      </c>
      <c r="E27" s="256" t="s">
        <v>51</v>
      </c>
      <c r="F27" s="289" t="s">
        <v>7</v>
      </c>
      <c r="G27" s="216" t="s">
        <v>59</v>
      </c>
      <c r="H27" s="218" t="str">
        <f>IF(F27="Rack","No of Racks",(IF(F27="Space","Sq Ft","U Space")))</f>
        <v>No of Racks</v>
      </c>
      <c r="I27" s="216">
        <v>1</v>
      </c>
      <c r="J27" s="216">
        <v>1</v>
      </c>
      <c r="K27" s="219">
        <f>I27-J27</f>
        <v>0</v>
      </c>
      <c r="L27" s="216">
        <v>1</v>
      </c>
      <c r="M27" s="216"/>
      <c r="N27" s="220">
        <f>(13000*70)/12</f>
        <v>75833.333333333328</v>
      </c>
      <c r="O27" s="221" t="str">
        <f>D27</f>
        <v>Rated</v>
      </c>
      <c r="P27" s="216" t="s">
        <v>53</v>
      </c>
      <c r="Q27" s="217">
        <v>5</v>
      </c>
      <c r="R27" s="244">
        <v>19.62</v>
      </c>
      <c r="S27" s="222">
        <f>Q27-R27</f>
        <v>-14.620000000000001</v>
      </c>
      <c r="T27" s="217"/>
      <c r="U27" s="217">
        <f>IF(S27&lt;=0,0,(IF(O27="Rated",(S27+T27)*#REF!,(S27+T27))))</f>
        <v>0</v>
      </c>
      <c r="V27" s="217" t="e">
        <f>IF(O27="Rated",Q27*#REF!,Q27)</f>
        <v>#REF!</v>
      </c>
      <c r="W27" s="223">
        <v>5.49</v>
      </c>
      <c r="X27" s="217">
        <f>IF((S27*-1)&gt;0, (S27*-1), 0)</f>
        <v>14.620000000000001</v>
      </c>
      <c r="Y27" s="224">
        <f>0/12</f>
        <v>0</v>
      </c>
      <c r="Z27" s="225" t="str">
        <f>E27</f>
        <v>Bundled</v>
      </c>
      <c r="AA27" s="217"/>
      <c r="AB27" s="217"/>
      <c r="AC27" s="226"/>
      <c r="AD27" s="217"/>
      <c r="AE27" s="227"/>
      <c r="AF27" s="228"/>
      <c r="AG27" s="217"/>
      <c r="AH27" s="217"/>
      <c r="AI27" s="217">
        <f>AG27-AH27</f>
        <v>0</v>
      </c>
      <c r="AJ27" s="217"/>
      <c r="AK27" s="217"/>
      <c r="AL27" s="220">
        <f>(0)/12</f>
        <v>0</v>
      </c>
      <c r="AM27" s="229">
        <f>N27*L27</f>
        <v>75833.333333333328</v>
      </c>
      <c r="AN27" s="229">
        <f>Y27*X27</f>
        <v>0</v>
      </c>
      <c r="AO27" s="230">
        <f>AD27*AC27*AA27</f>
        <v>0</v>
      </c>
      <c r="AP27" s="229">
        <f>AL27*AJ27</f>
        <v>0</v>
      </c>
      <c r="AQ27" s="231">
        <f>((19700+2850)*70)/12</f>
        <v>131541.66666666666</v>
      </c>
      <c r="AR27" s="232">
        <f>SUBTOTAL(9,AM27:AQ27)</f>
        <v>207375</v>
      </c>
      <c r="AS27" s="232"/>
      <c r="AT27" s="233">
        <v>121000513</v>
      </c>
      <c r="AU27" s="234">
        <v>43700</v>
      </c>
      <c r="AV27" s="235">
        <v>3</v>
      </c>
      <c r="AW27" s="234">
        <v>44795</v>
      </c>
      <c r="AX27" s="236"/>
      <c r="AY27" s="5"/>
      <c r="AZ27" s="237">
        <f>IF(F27="Rack",AR27/I27,0)+IF(F27="U Space",AR27*40/I27,0)+IF(F27="Space",AR27*30/I27,0)</f>
        <v>207375</v>
      </c>
      <c r="BA27" s="237" t="e">
        <f>+AR27/V27</f>
        <v>#REF!</v>
      </c>
      <c r="BB27" s="237" t="e">
        <f>+($AM27+$AN27+$AO27-BI27)/$V27</f>
        <v>#REF!</v>
      </c>
      <c r="BC27" s="237" t="e">
        <f>+($AM27+$AN27+$AO27-BJ27)/$V27</f>
        <v>#REF!</v>
      </c>
      <c r="BD27" s="237" t="e">
        <f>+($AM27+$AN27+IF(E27="Bundled",0,V27*0.85*AA27*AC27*30.5*24)-BK27)/$V27</f>
        <v>#REF!</v>
      </c>
      <c r="BE27" s="237"/>
      <c r="BF27" s="238">
        <f>+AM27+AN27+AO27</f>
        <v>75833.333333333328</v>
      </c>
      <c r="BG27" s="238" t="e">
        <f>+BF27-BH27</f>
        <v>#REF!</v>
      </c>
      <c r="BH27" s="238" t="e">
        <f>IF(E27="Bundled",MIN(V27*#REF!*(1+#REF!),BF27),AO27)</f>
        <v>#REF!</v>
      </c>
      <c r="BI27" s="239" t="e">
        <f>IF($AD27&gt;0,$AD27*#REF!*#REF!*(1+#REF!*(20/#REF!)/732),#REF!*W27)</f>
        <v>#REF!</v>
      </c>
      <c r="BJ27" s="239" t="e">
        <f>IF($AD27&gt;0,$AD27*#REF!*#REF!*(1+#REF!*(20/#REF!)/732),+#REF!*(W27+U27))</f>
        <v>#REF!</v>
      </c>
      <c r="BK27" s="239" t="e">
        <f>IF(E27="Bundled",#REF!*V27,#REF!*V27*0.85)</f>
        <v>#REF!</v>
      </c>
      <c r="BL27" s="239" t="e">
        <f>+BB27*V27</f>
        <v>#REF!</v>
      </c>
      <c r="BM27" s="239" t="e">
        <f>+#REF!*V27</f>
        <v>#REF!</v>
      </c>
      <c r="BN27" s="239" t="e">
        <f>+BG27-BM27</f>
        <v>#REF!</v>
      </c>
      <c r="BO27" s="239" t="e">
        <f>+BH27-BI27</f>
        <v>#REF!</v>
      </c>
      <c r="BP27" s="239" t="e">
        <f>+BN27+BO27</f>
        <v>#REF!</v>
      </c>
      <c r="BQ27" s="239" t="e">
        <f>+V27</f>
        <v>#REF!</v>
      </c>
      <c r="BR27" s="239" t="e">
        <f>+BB27</f>
        <v>#REF!</v>
      </c>
      <c r="BS27" s="239" t="e">
        <f>IF(E27="Bundled",BK27-BI27,AO27-BI27)</f>
        <v>#REF!</v>
      </c>
      <c r="BT27" s="239" t="e">
        <f>IF(E27="Bundled",+(BD27-#REF!)*V27,(AM27+AN27)-V27*#REF!)</f>
        <v>#REF!</v>
      </c>
      <c r="BU27" s="239" t="e">
        <f>+BS27+BT27</f>
        <v>#REF!</v>
      </c>
      <c r="BV27" s="239" t="e">
        <f t="shared" si="194"/>
        <v>#REF!</v>
      </c>
      <c r="BW27" s="239" t="e">
        <f t="shared" si="194"/>
        <v>#REF!</v>
      </c>
      <c r="BX27" s="239" t="e">
        <f t="shared" si="194"/>
        <v>#REF!</v>
      </c>
    </row>
    <row r="28" spans="1:78" s="16" customFormat="1" ht="30" x14ac:dyDescent="0.2">
      <c r="A28" s="240" t="s">
        <v>134</v>
      </c>
      <c r="B28" s="278" t="s">
        <v>212</v>
      </c>
      <c r="C28" s="297" t="s">
        <v>211</v>
      </c>
      <c r="D28" s="255" t="s">
        <v>55</v>
      </c>
      <c r="E28" s="256" t="s">
        <v>56</v>
      </c>
      <c r="F28" s="288" t="s">
        <v>7</v>
      </c>
      <c r="G28" s="32" t="s">
        <v>59</v>
      </c>
      <c r="H28" s="30" t="str">
        <f t="shared" ref="H28" si="195">IF(F28="Rack","No of Racks",(IF(F28="Space","Sq Ft","U Space")))</f>
        <v>No of Racks</v>
      </c>
      <c r="I28" s="32">
        <v>1</v>
      </c>
      <c r="J28" s="32">
        <v>1</v>
      </c>
      <c r="K28" s="34">
        <f t="shared" ref="K28" si="196">I28-J28</f>
        <v>0</v>
      </c>
      <c r="L28" s="32">
        <v>1</v>
      </c>
      <c r="M28" s="32"/>
      <c r="N28" s="35"/>
      <c r="O28" s="36" t="str">
        <f t="shared" ref="O28" si="197">D28</f>
        <v>Subscribed</v>
      </c>
      <c r="P28" s="32" t="s">
        <v>57</v>
      </c>
      <c r="Q28" s="33">
        <v>2.5</v>
      </c>
      <c r="R28" s="59"/>
      <c r="S28" s="39">
        <f t="shared" ref="S28" si="198">Q28-R28</f>
        <v>2.5</v>
      </c>
      <c r="T28" s="33"/>
      <c r="U28" s="33">
        <f t="shared" ref="U28" si="199">IF(S28&lt;=0,0,(IF(O28="Rated",(S28+T28)*$V$1,(S28+T28))))</f>
        <v>2.5</v>
      </c>
      <c r="V28" s="33">
        <f t="shared" ref="V28" si="200">IF(O28="Rated",Q28*$V$1,Q28)</f>
        <v>2.5</v>
      </c>
      <c r="W28" s="58">
        <f>AD28/31/24</f>
        <v>0</v>
      </c>
      <c r="X28" s="33">
        <f t="shared" ref="X28" si="201">IF((S28*-1)&gt;0, (S28*-1), 0)</f>
        <v>0</v>
      </c>
      <c r="Y28" s="40"/>
      <c r="Z28" s="41" t="str">
        <f t="shared" ref="Z28" si="202">E28</f>
        <v>Metered</v>
      </c>
      <c r="AA28" s="33"/>
      <c r="AB28" s="33"/>
      <c r="AC28" s="42"/>
      <c r="AD28" s="33"/>
      <c r="AE28" s="43"/>
      <c r="AF28" s="44"/>
      <c r="AG28" s="33"/>
      <c r="AH28" s="33"/>
      <c r="AI28" s="33"/>
      <c r="AJ28" s="33"/>
      <c r="AK28" s="33"/>
      <c r="AL28" s="35"/>
      <c r="AM28" s="45"/>
      <c r="AN28" s="45"/>
      <c r="AO28" s="46"/>
      <c r="AP28" s="45"/>
      <c r="AQ28" s="47"/>
      <c r="AR28" s="48"/>
      <c r="AS28" s="48"/>
      <c r="AT28" s="60"/>
      <c r="AU28" s="61"/>
      <c r="AV28" s="62"/>
      <c r="AW28" s="61"/>
      <c r="AX28" s="63"/>
      <c r="AY28" s="63"/>
      <c r="AZ28" s="52"/>
      <c r="BA28" s="52"/>
      <c r="BB28" s="52"/>
      <c r="BC28" s="52"/>
      <c r="BD28" s="52"/>
      <c r="BE28" s="52"/>
      <c r="BF28" s="53"/>
      <c r="BG28" s="53"/>
      <c r="BH28" s="53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240"/>
    </row>
    <row r="29" spans="1:78" s="16" customFormat="1" ht="30" x14ac:dyDescent="0.2">
      <c r="A29" s="63" t="s">
        <v>133</v>
      </c>
      <c r="B29" s="286" t="s">
        <v>220</v>
      </c>
      <c r="C29" s="273" t="s">
        <v>196</v>
      </c>
      <c r="D29" s="255" t="s">
        <v>10</v>
      </c>
      <c r="E29" s="256" t="s">
        <v>51</v>
      </c>
      <c r="F29" s="288" t="s">
        <v>58</v>
      </c>
      <c r="G29" s="32" t="s">
        <v>59</v>
      </c>
      <c r="H29" s="30" t="str">
        <f t="shared" ref="H29" si="203">IF(F29="Rack","No of Racks",(IF(F29="Space","Sq Ft","U Space")))</f>
        <v>U Space</v>
      </c>
      <c r="I29" s="32">
        <v>1</v>
      </c>
      <c r="J29" s="32">
        <v>1</v>
      </c>
      <c r="K29" s="34">
        <f t="shared" ref="K29" si="204">I29-J29</f>
        <v>0</v>
      </c>
      <c r="L29" s="32">
        <v>1</v>
      </c>
      <c r="M29" s="32"/>
      <c r="N29" s="35">
        <f>55000/12</f>
        <v>4583.333333333333</v>
      </c>
      <c r="O29" s="36" t="str">
        <f t="shared" ref="O29" si="205">D29</f>
        <v>Rated</v>
      </c>
      <c r="P29" s="37" t="s">
        <v>53</v>
      </c>
      <c r="Q29" s="33">
        <v>0.25</v>
      </c>
      <c r="R29" s="38">
        <v>0.26</v>
      </c>
      <c r="S29" s="39">
        <f t="shared" ref="S29" si="206">Q29-R29</f>
        <v>-1.0000000000000009E-2</v>
      </c>
      <c r="T29" s="33"/>
      <c r="U29" s="33">
        <f t="shared" ref="U29" si="207">IF(S29&lt;=0,0,(IF(O29="Rated",(S29+T29)*$V$1,(S29+T29))))</f>
        <v>0</v>
      </c>
      <c r="V29" s="33" t="e">
        <f t="shared" ref="V29" si="208">IF(O29="Rated",Q29*$V$1,Q29)</f>
        <v>#VALUE!</v>
      </c>
      <c r="W29"/>
      <c r="X29" s="33">
        <f t="shared" ref="X29" si="209">IF((S29*-1)&gt;0, (S29*-1), 0)</f>
        <v>1.0000000000000009E-2</v>
      </c>
      <c r="Y29" s="40">
        <f>90000/12</f>
        <v>7500</v>
      </c>
      <c r="Z29" s="41" t="str">
        <f t="shared" ref="Z29" si="210">E29</f>
        <v>Bundled</v>
      </c>
      <c r="AA29" s="33"/>
      <c r="AB29" s="33"/>
      <c r="AC29" s="42"/>
      <c r="AD29" s="33"/>
      <c r="AE29" s="43"/>
      <c r="AF29" s="44" t="str">
        <f t="shared" ref="AF29" si="211">IF(AE29="No of Seats","No of Seats",(IF(AE29="Space","Sq Ft","")))</f>
        <v/>
      </c>
      <c r="AG29" s="33"/>
      <c r="AH29" s="33"/>
      <c r="AI29" s="33">
        <f t="shared" ref="AI29" si="212">AG29-AH29</f>
        <v>0</v>
      </c>
      <c r="AJ29" s="33"/>
      <c r="AK29" s="33"/>
      <c r="AL29" s="35"/>
      <c r="AM29" s="45">
        <f t="shared" ref="AM29" si="213">N29*L29</f>
        <v>4583.333333333333</v>
      </c>
      <c r="AN29" s="45">
        <f t="shared" ref="AN29" si="214">Y29*X29</f>
        <v>75.000000000000071</v>
      </c>
      <c r="AO29" s="46">
        <f t="shared" ref="AO29" si="215">AD29*AC29*AA29</f>
        <v>0</v>
      </c>
      <c r="AP29" s="45">
        <f t="shared" ref="AP29" si="216">AL29*AJ29</f>
        <v>0</v>
      </c>
      <c r="AQ29" s="47">
        <f>(10000+140000)/12</f>
        <v>12500</v>
      </c>
      <c r="AR29" s="48">
        <f t="shared" ref="AR29" si="217">SUBTOTAL(9,AM29:AQ29)</f>
        <v>17158.333333333332</v>
      </c>
      <c r="AS29" s="48"/>
      <c r="AT29" s="55">
        <v>121000867</v>
      </c>
      <c r="AU29" s="56"/>
      <c r="AV29" s="57"/>
      <c r="AW29" s="56"/>
      <c r="AX29" s="156"/>
      <c r="AZ29" s="25">
        <f t="shared" ref="AZ29" si="218">IF(F29="Rack",AR29/I29,0)+IF(F29="U Space",AR29*40/I29,0)+IF(F29="Space",AR29*30/I29,0)</f>
        <v>686333.33333333326</v>
      </c>
      <c r="BA29" s="25" t="e">
        <f t="shared" ref="BA29" si="219">+AR29/V29</f>
        <v>#VALUE!</v>
      </c>
      <c r="BB29" s="25" t="e">
        <f t="shared" ref="BB29:BC33" si="220">+($AM29+$AN29+$AO29-BI29)/$V29</f>
        <v>#VALUE!</v>
      </c>
      <c r="BC29" s="25" t="e">
        <f t="shared" si="220"/>
        <v>#VALUE!</v>
      </c>
      <c r="BD29" s="25" t="e">
        <f t="shared" ref="BD29:BD34" si="221">+($AM29+$AN29+IF(E29="Bundled",0,V29*0.85*AA29*AC29*30.5*24)-BK29)/$V29</f>
        <v>#VALUE!</v>
      </c>
      <c r="BE29" s="25"/>
      <c r="BF29" s="26">
        <f t="shared" ref="BF29" si="222">+AM29+AN29+AO29</f>
        <v>4658.333333333333</v>
      </c>
      <c r="BG29" s="26" t="e">
        <f t="shared" ref="BG29" si="223">+BF29-BH29</f>
        <v>#VALUE!</v>
      </c>
      <c r="BH29" s="26" t="e">
        <f>IF(E29="Bundled",MIN(V29*$AE$1*(1+#REF!),BF29),AO29)</f>
        <v>#VALUE!</v>
      </c>
      <c r="BI29" s="27" t="e">
        <f>IF($AD29&gt;0,$AD29*$AB$1*$AD$1*(1+$AG$1*(20/$AD$1)/732),$AE$1*W29)</f>
        <v>#VALUE!</v>
      </c>
      <c r="BJ29" s="27" t="e">
        <f>IF($AD29&gt;0,$AD29*$AB$1*$AD$1*(1+$AG$1*(20/$AD$1)/732),+$AE$1*(W29+U29))</f>
        <v>#VALUE!</v>
      </c>
      <c r="BK29" s="27" t="e">
        <f t="shared" ref="BK29" si="224">IF(E29="Bundled",$AE$1*V29,$AE$1*V29*0.85)</f>
        <v>#VALUE!</v>
      </c>
      <c r="BL29" s="27" t="e">
        <f t="shared" ref="BL29" si="225">+BB29*V29</f>
        <v>#VALUE!</v>
      </c>
      <c r="BM29" s="27" t="e">
        <f>+#REF!*V29</f>
        <v>#REF!</v>
      </c>
      <c r="BN29" s="27" t="e">
        <f t="shared" ref="BN29" si="226">+BG29-BM29</f>
        <v>#VALUE!</v>
      </c>
      <c r="BO29" s="27" t="e">
        <f t="shared" ref="BO29" si="227">+BH29-BI29</f>
        <v>#VALUE!</v>
      </c>
      <c r="BP29" s="27" t="e">
        <f t="shared" ref="BP29" si="228">+BN29+BO29</f>
        <v>#VALUE!</v>
      </c>
      <c r="BQ29" s="27" t="e">
        <f t="shared" ref="BQ29" si="229">+V29</f>
        <v>#VALUE!</v>
      </c>
      <c r="BR29" s="27" t="e">
        <f t="shared" ref="BR29" si="230">+BB29</f>
        <v>#VALUE!</v>
      </c>
      <c r="BS29" s="27" t="e">
        <f t="shared" ref="BS29" si="231">IF(E29="Bundled",BK29-BI29,AO29-BI29)</f>
        <v>#VALUE!</v>
      </c>
      <c r="BT29" s="27" t="e">
        <f>IF(E29="Bundled",+(BD29-#REF!)*V29,(AM29+AN29)-V29*#REF!)</f>
        <v>#VALUE!</v>
      </c>
      <c r="BU29" s="27" t="e">
        <f t="shared" ref="BU29" si="232">+BS29+BT29</f>
        <v>#VALUE!</v>
      </c>
      <c r="BV29" s="27" t="e">
        <f t="shared" ref="BV29:BX33" si="233">+BS29/$BQ29</f>
        <v>#VALUE!</v>
      </c>
      <c r="BW29" s="27" t="e">
        <f t="shared" si="233"/>
        <v>#VALUE!</v>
      </c>
      <c r="BX29" s="27" t="e">
        <f t="shared" si="233"/>
        <v>#VALUE!</v>
      </c>
    </row>
    <row r="30" spans="1:78" s="5" customFormat="1" ht="30" x14ac:dyDescent="0.2">
      <c r="A30" s="240" t="s">
        <v>133</v>
      </c>
      <c r="B30" s="286" t="s">
        <v>219</v>
      </c>
      <c r="C30" s="254" t="s">
        <v>193</v>
      </c>
      <c r="D30" s="255" t="s">
        <v>10</v>
      </c>
      <c r="E30" s="256" t="s">
        <v>51</v>
      </c>
      <c r="F30" s="288" t="s">
        <v>58</v>
      </c>
      <c r="G30" s="32" t="s">
        <v>59</v>
      </c>
      <c r="H30" s="30" t="str">
        <f t="shared" ref="H30" si="234">IF(F30="Rack","No of Racks",(IF(F30="Space","Sq Ft","U Space")))</f>
        <v>U Space</v>
      </c>
      <c r="I30" s="32">
        <v>4</v>
      </c>
      <c r="J30" s="32">
        <v>4</v>
      </c>
      <c r="K30" s="34">
        <f t="shared" ref="K30" si="235">I30-J30</f>
        <v>0</v>
      </c>
      <c r="L30" s="32">
        <v>4</v>
      </c>
      <c r="M30" s="32"/>
      <c r="N30" s="35">
        <f>35000/12</f>
        <v>2916.6666666666665</v>
      </c>
      <c r="O30" s="36" t="str">
        <f t="shared" ref="O30" si="236">D30</f>
        <v>Rated</v>
      </c>
      <c r="P30" s="37" t="s">
        <v>53</v>
      </c>
      <c r="Q30" s="33">
        <v>1</v>
      </c>
      <c r="R30" s="38">
        <v>0.17</v>
      </c>
      <c r="S30" s="39">
        <f t="shared" ref="S30" si="237">Q30-R30</f>
        <v>0.83</v>
      </c>
      <c r="T30" s="33"/>
      <c r="U30" s="33" t="e">
        <f t="shared" ref="U30" si="238">IF(S30&lt;=0,0,(IF(O30="Rated",(S30+T30)*$V$1,(S30+T30))))</f>
        <v>#VALUE!</v>
      </c>
      <c r="V30" s="33" t="e">
        <f t="shared" ref="V30" si="239">IF(O30="Rated",Q30*$V$1,Q30)</f>
        <v>#VALUE!</v>
      </c>
      <c r="W30"/>
      <c r="X30" s="33">
        <f t="shared" ref="X30" si="240">IF((S30*-1)&gt;0, (S30*-1), 0)</f>
        <v>0</v>
      </c>
      <c r="Y30" s="40">
        <f>110000/12</f>
        <v>9166.6666666666661</v>
      </c>
      <c r="Z30" s="41" t="str">
        <f t="shared" ref="Z30" si="241">E30</f>
        <v>Bundled</v>
      </c>
      <c r="AA30" s="33"/>
      <c r="AB30" s="33"/>
      <c r="AC30" s="42"/>
      <c r="AD30" s="33"/>
      <c r="AE30" s="43"/>
      <c r="AF30" s="44" t="str">
        <f t="shared" ref="AF30" si="242">IF(AE30="No of Seats","No of Seats",(IF(AE30="Space","Sq Ft","")))</f>
        <v/>
      </c>
      <c r="AG30" s="33"/>
      <c r="AH30" s="33"/>
      <c r="AI30" s="33">
        <f t="shared" ref="AI30" si="243">AG30-AH30</f>
        <v>0</v>
      </c>
      <c r="AJ30" s="33"/>
      <c r="AK30" s="33"/>
      <c r="AL30" s="35"/>
      <c r="AM30" s="45">
        <f t="shared" ref="AM30" si="244">N30*L30</f>
        <v>11666.666666666666</v>
      </c>
      <c r="AN30" s="45">
        <f t="shared" ref="AN30" si="245">Y30*X30</f>
        <v>0</v>
      </c>
      <c r="AO30" s="46">
        <f t="shared" ref="AO30" si="246">AD30*AC30*AA30</f>
        <v>0</v>
      </c>
      <c r="AP30" s="45">
        <f t="shared" ref="AP30" si="247">AL30*AJ30</f>
        <v>0</v>
      </c>
      <c r="AQ30" s="47">
        <f>(100000+60000)/12</f>
        <v>13333.333333333334</v>
      </c>
      <c r="AR30" s="48">
        <f t="shared" ref="AR30" si="248">SUBTOTAL(9,AM30:AQ30)</f>
        <v>25000</v>
      </c>
      <c r="AS30" s="48"/>
      <c r="AT30" s="55">
        <v>121000185</v>
      </c>
      <c r="AU30" s="56"/>
      <c r="AV30" s="57"/>
      <c r="AW30" s="56"/>
      <c r="AX30" s="157"/>
      <c r="AZ30" s="25">
        <f t="shared" ref="AZ30" si="249">IF(F30="Rack",AR30/I30,0)+IF(F30="U Space",AR30*40/I30,0)+IF(F30="Space",AR30*30/I30,0)</f>
        <v>250000</v>
      </c>
      <c r="BA30" s="25" t="e">
        <f t="shared" ref="BA30" si="250">+AR30/V30</f>
        <v>#VALUE!</v>
      </c>
      <c r="BB30" s="25" t="e">
        <f t="shared" si="220"/>
        <v>#VALUE!</v>
      </c>
      <c r="BC30" s="25" t="e">
        <f t="shared" si="220"/>
        <v>#VALUE!</v>
      </c>
      <c r="BD30" s="25" t="e">
        <f t="shared" si="221"/>
        <v>#VALUE!</v>
      </c>
      <c r="BE30" s="25"/>
      <c r="BF30" s="26">
        <f t="shared" ref="BF30" si="251">+AM30+AN30+AO30</f>
        <v>11666.666666666666</v>
      </c>
      <c r="BG30" s="26" t="e">
        <f t="shared" ref="BG30" si="252">+BF30-BH30</f>
        <v>#VALUE!</v>
      </c>
      <c r="BH30" s="26" t="e">
        <f>IF(E30="Bundled",MIN(V30*$AE$1*(1+#REF!),BF30),AO30)</f>
        <v>#VALUE!</v>
      </c>
      <c r="BI30" s="27" t="e">
        <f>IF($AD30&gt;0,$AD30*$AB$1*$AD$1*(1+$AG$1*(20/$AD$1)/732),$AE$1*W30)</f>
        <v>#VALUE!</v>
      </c>
      <c r="BJ30" s="27" t="e">
        <f>IF($AD30&gt;0,$AD30*$AB$1*$AD$1*(1+$AG$1*(20/$AD$1)/732),+$AE$1*(W30+U30))</f>
        <v>#VALUE!</v>
      </c>
      <c r="BK30" s="27" t="e">
        <f t="shared" ref="BK30" si="253">IF(E30="Bundled",$AE$1*V30,$AE$1*V30*0.85)</f>
        <v>#VALUE!</v>
      </c>
      <c r="BL30" s="27" t="e">
        <f t="shared" ref="BL30" si="254">+BB30*V30</f>
        <v>#VALUE!</v>
      </c>
      <c r="BM30" s="27" t="e">
        <f>+#REF!*V30</f>
        <v>#REF!</v>
      </c>
      <c r="BN30" s="27" t="e">
        <f t="shared" ref="BN30" si="255">+BG30-BM30</f>
        <v>#VALUE!</v>
      </c>
      <c r="BO30" s="27" t="e">
        <f t="shared" ref="BO30" si="256">+BH30-BI30</f>
        <v>#VALUE!</v>
      </c>
      <c r="BP30" s="27" t="e">
        <f t="shared" ref="BP30" si="257">+BN30+BO30</f>
        <v>#VALUE!</v>
      </c>
      <c r="BQ30" s="27" t="e">
        <f t="shared" ref="BQ30" si="258">+V30</f>
        <v>#VALUE!</v>
      </c>
      <c r="BR30" s="27" t="e">
        <f t="shared" ref="BR30" si="259">+BB30</f>
        <v>#VALUE!</v>
      </c>
      <c r="BS30" s="27" t="e">
        <f t="shared" ref="BS30" si="260">IF(E30="Bundled",BK30-BI30,AO30-BI30)</f>
        <v>#VALUE!</v>
      </c>
      <c r="BT30" s="27" t="e">
        <f>IF(E30="Bundled",+(BD30-#REF!)*V30,(AM30+AN30)-V30*#REF!)</f>
        <v>#VALUE!</v>
      </c>
      <c r="BU30" s="27" t="e">
        <f t="shared" ref="BU30" si="261">+BS30+BT30</f>
        <v>#VALUE!</v>
      </c>
      <c r="BV30" s="27" t="e">
        <f t="shared" si="233"/>
        <v>#VALUE!</v>
      </c>
      <c r="BW30" s="27" t="e">
        <f t="shared" si="233"/>
        <v>#VALUE!</v>
      </c>
      <c r="BX30" s="27" t="e">
        <f t="shared" si="233"/>
        <v>#VALUE!</v>
      </c>
    </row>
    <row r="31" spans="1:78" s="16" customFormat="1" ht="30" x14ac:dyDescent="0.2">
      <c r="A31" s="158" t="s">
        <v>132</v>
      </c>
      <c r="B31" s="279" t="s">
        <v>97</v>
      </c>
      <c r="C31" s="294" t="s">
        <v>200</v>
      </c>
      <c r="D31" s="255" t="s">
        <v>10</v>
      </c>
      <c r="E31" s="256" t="s">
        <v>51</v>
      </c>
      <c r="F31" s="288" t="s">
        <v>58</v>
      </c>
      <c r="G31" s="32" t="s">
        <v>59</v>
      </c>
      <c r="H31" s="30" t="str">
        <f t="shared" ref="H31" si="262">IF(F31="Rack","No of Racks",(IF(F31="Space","Sq Ft","U Space")))</f>
        <v>U Space</v>
      </c>
      <c r="I31" s="32">
        <v>1</v>
      </c>
      <c r="J31" s="32">
        <v>1</v>
      </c>
      <c r="K31" s="34">
        <f>I31-J31</f>
        <v>0</v>
      </c>
      <c r="L31" s="32">
        <v>1</v>
      </c>
      <c r="M31" s="32"/>
      <c r="N31" s="35">
        <f>(35000)/12</f>
        <v>2916.6666666666665</v>
      </c>
      <c r="O31" s="36" t="str">
        <f t="shared" ref="O31" si="263">D31</f>
        <v>Rated</v>
      </c>
      <c r="P31" s="32" t="s">
        <v>53</v>
      </c>
      <c r="Q31" s="33">
        <v>0.25</v>
      </c>
      <c r="R31" s="38">
        <v>0.13</v>
      </c>
      <c r="S31" s="39">
        <f t="shared" ref="S31" si="264">Q31-R31</f>
        <v>0.12</v>
      </c>
      <c r="T31" s="33"/>
      <c r="U31" s="33">
        <f t="shared" ref="U31" si="265">IF(S31&lt;=0,0,(IF(O31="Rated",(S31+T31)*$W$1,(S31+T31))))</f>
        <v>0</v>
      </c>
      <c r="V31" s="33">
        <f t="shared" ref="V31" si="266">IF(O31="Rated",Q31*$W$1,Q31)</f>
        <v>0</v>
      </c>
      <c r="W31" s="40"/>
      <c r="X31" s="33">
        <f>IF((S31*-1)&gt;0, (S31*-1), 0)</f>
        <v>0</v>
      </c>
      <c r="Y31" s="40">
        <f>0/12</f>
        <v>0</v>
      </c>
      <c r="Z31" s="41" t="str">
        <f t="shared" ref="Z31" si="267">E31</f>
        <v>Bundled</v>
      </c>
      <c r="AA31" s="33"/>
      <c r="AB31" s="33"/>
      <c r="AC31" s="42"/>
      <c r="AD31" s="33"/>
      <c r="AE31" s="43"/>
      <c r="AF31" s="44"/>
      <c r="AG31" s="33"/>
      <c r="AH31" s="33"/>
      <c r="AI31" s="33">
        <f>AG31-AH31</f>
        <v>0</v>
      </c>
      <c r="AJ31" s="33"/>
      <c r="AK31" s="33"/>
      <c r="AL31" s="35">
        <f>(0)/12</f>
        <v>0</v>
      </c>
      <c r="AM31" s="45">
        <f>N31*L31</f>
        <v>2916.6666666666665</v>
      </c>
      <c r="AN31" s="45">
        <f>Y31*X31</f>
        <v>0</v>
      </c>
      <c r="AO31" s="46">
        <f>AD31*AC31*AA31</f>
        <v>0</v>
      </c>
      <c r="AP31" s="45">
        <f>AL31*AJ31</f>
        <v>0</v>
      </c>
      <c r="AQ31" s="47">
        <f t="shared" ref="AQ31" si="268">0/12</f>
        <v>0</v>
      </c>
      <c r="AR31" s="48">
        <f>SUBTOTAL(9,AM31:AQ31)</f>
        <v>2916.6666666666665</v>
      </c>
      <c r="AS31" s="48"/>
      <c r="AT31" s="60"/>
      <c r="AU31" s="61"/>
      <c r="AV31" s="62"/>
      <c r="AW31" s="61"/>
      <c r="AX31" s="81"/>
      <c r="AY31" s="5"/>
      <c r="AZ31" s="28">
        <f>IF(F31="Rack",AR31/I31,0)+IF(F31="U Space",AR31*40/I31,0)+IF(F31="Space",AR31*30/I31,0)</f>
        <v>116666.66666666666</v>
      </c>
      <c r="BA31" s="28" t="e">
        <f>+AR31/V31</f>
        <v>#DIV/0!</v>
      </c>
      <c r="BB31" s="25" t="e">
        <f>+($AM31+$AN31+$AO31-BI31)/$V31</f>
        <v>#DIV/0!</v>
      </c>
      <c r="BC31" s="25" t="e">
        <f>+($AM31+$AN31+$AO31-BJ31)/$V31</f>
        <v>#DIV/0!</v>
      </c>
      <c r="BD31" s="25" t="e">
        <f t="shared" si="221"/>
        <v>#DIV/0!</v>
      </c>
      <c r="BE31" s="28"/>
      <c r="BF31" s="26">
        <f>+AM31+AN31+AO31</f>
        <v>2916.6666666666665</v>
      </c>
      <c r="BG31" s="26" t="e">
        <f>+BF31-BH31</f>
        <v>#REF!</v>
      </c>
      <c r="BH31" s="26" t="e">
        <f>IF(E31="Bundled",MIN(V31*$AF$1*(1+#REF!),BF31),AO31)</f>
        <v>#REF!</v>
      </c>
      <c r="BI31" s="27">
        <f>IF($AD31&gt;0,$AD31*$AC$1*$AE$1*(1+$AH$1*(20/$AE$1)/732),$AF$1*W31)</f>
        <v>0</v>
      </c>
      <c r="BJ31" s="27">
        <f>IF($AD31&gt;0,$AD31*$AC$1*$AE$1*(1+$AH$1*(20/$AE$1)/732),+$AF$1*(W31+U31))</f>
        <v>0</v>
      </c>
      <c r="BK31" s="27">
        <f>IF(E31="Bundled",$AF$1*V31,$AF$1*V31*0.85)</f>
        <v>0</v>
      </c>
      <c r="BL31" s="27" t="e">
        <f>+BB31*V31</f>
        <v>#DIV/0!</v>
      </c>
      <c r="BM31" s="27" t="e">
        <f>+#REF!*V31</f>
        <v>#REF!</v>
      </c>
      <c r="BN31" s="27" t="e">
        <f>+BG31-BM31</f>
        <v>#REF!</v>
      </c>
      <c r="BO31" s="27" t="e">
        <f>+BH31-BI31</f>
        <v>#REF!</v>
      </c>
      <c r="BP31" s="27" t="e">
        <f>+BN31+BO31</f>
        <v>#REF!</v>
      </c>
      <c r="BQ31" s="27">
        <f>+V31</f>
        <v>0</v>
      </c>
      <c r="BR31" s="27" t="e">
        <f>+BB31</f>
        <v>#DIV/0!</v>
      </c>
      <c r="BS31" s="27">
        <f>IF(E31="Bundled",BK31-BI31,AO31-BI31)</f>
        <v>0</v>
      </c>
      <c r="BT31" s="27" t="e">
        <f>IF(E31="Bundled",+(BD31-#REF!)*V31,(AM31+AN31)-V31*#REF!)</f>
        <v>#DIV/0!</v>
      </c>
      <c r="BU31" s="27" t="e">
        <f>+BS31+BT31</f>
        <v>#DIV/0!</v>
      </c>
      <c r="BV31" s="27" t="e">
        <f>+BS31/$BQ31</f>
        <v>#DIV/0!</v>
      </c>
      <c r="BW31" s="27" t="e">
        <f>+BT31/$BQ31</f>
        <v>#DIV/0!</v>
      </c>
      <c r="BX31" s="27" t="e">
        <f>+BU31/$BQ31</f>
        <v>#DIV/0!</v>
      </c>
    </row>
    <row r="32" spans="1:78" s="16" customFormat="1" ht="30" x14ac:dyDescent="0.2">
      <c r="A32" s="240" t="s">
        <v>132</v>
      </c>
      <c r="B32" s="279" t="s">
        <v>96</v>
      </c>
      <c r="C32" s="273" t="s">
        <v>205</v>
      </c>
      <c r="D32" s="255" t="s">
        <v>10</v>
      </c>
      <c r="E32" s="256" t="s">
        <v>51</v>
      </c>
      <c r="F32" s="288" t="s">
        <v>58</v>
      </c>
      <c r="G32" s="32" t="s">
        <v>59</v>
      </c>
      <c r="H32" s="30" t="str">
        <f t="shared" ref="H32" si="269">IF(F32="Rack","No of Racks",(IF(F32="Space","Sq Ft","U Space")))</f>
        <v>U Space</v>
      </c>
      <c r="I32" s="32">
        <v>2</v>
      </c>
      <c r="J32" s="32">
        <v>2</v>
      </c>
      <c r="K32" s="34">
        <f t="shared" ref="K32" si="270">I32-J32</f>
        <v>0</v>
      </c>
      <c r="L32" s="32">
        <v>2</v>
      </c>
      <c r="M32" s="32"/>
      <c r="N32" s="35">
        <f>(75000/2)/12</f>
        <v>3125</v>
      </c>
      <c r="O32" s="36" t="str">
        <f t="shared" ref="O32" si="271">D32</f>
        <v>Rated</v>
      </c>
      <c r="P32" s="32" t="s">
        <v>53</v>
      </c>
      <c r="Q32" s="33">
        <v>0.5</v>
      </c>
      <c r="R32" s="38">
        <v>0.25</v>
      </c>
      <c r="S32" s="39">
        <f t="shared" ref="S32" si="272">Q32-R32</f>
        <v>0.25</v>
      </c>
      <c r="T32" s="33"/>
      <c r="U32" s="33">
        <f t="shared" ref="U32" si="273">IF(S32&lt;=0,0,(IF(O32="Rated",(S32+T32)*$W$1,(S32+T32))))</f>
        <v>0</v>
      </c>
      <c r="V32" s="33">
        <f t="shared" ref="V32" si="274">IF(O32="Rated",Q32*$W$1,Q32)</f>
        <v>0</v>
      </c>
      <c r="W32"/>
      <c r="X32" s="33">
        <f t="shared" ref="X32" si="275">IF((S32*-1)&gt;0, (S32*-1), 0)</f>
        <v>0</v>
      </c>
      <c r="Y32" s="40"/>
      <c r="Z32" s="41" t="str">
        <f t="shared" ref="Z32" si="276">E32</f>
        <v>Bundled</v>
      </c>
      <c r="AA32" s="33"/>
      <c r="AB32" s="33"/>
      <c r="AC32" s="42"/>
      <c r="AD32" s="33"/>
      <c r="AE32" s="43"/>
      <c r="AF32" s="44"/>
      <c r="AG32" s="33"/>
      <c r="AH32" s="33"/>
      <c r="AI32" s="33">
        <f t="shared" ref="AI32" si="277">AG32-AH32</f>
        <v>0</v>
      </c>
      <c r="AJ32" s="33"/>
      <c r="AK32" s="33"/>
      <c r="AL32" s="35">
        <f t="shared" ref="AL32" si="278">(0)/12</f>
        <v>0</v>
      </c>
      <c r="AM32" s="45"/>
      <c r="AN32" s="45">
        <f t="shared" ref="AN32" si="279">Y32*X32</f>
        <v>0</v>
      </c>
      <c r="AO32" s="46">
        <f t="shared" ref="AO32" si="280">AD32*AC32*AA32</f>
        <v>0</v>
      </c>
      <c r="AP32" s="45">
        <f t="shared" ref="AP32" si="281">AL32*AJ32</f>
        <v>0</v>
      </c>
      <c r="AQ32" s="47">
        <f t="shared" ref="AQ32" si="282">0/12</f>
        <v>0</v>
      </c>
      <c r="AR32" s="48">
        <f t="shared" ref="AR32" si="283">SUBTOTAL(9,AM32:AQ32)</f>
        <v>0</v>
      </c>
      <c r="AS32" s="48"/>
      <c r="AT32" s="60"/>
      <c r="AU32" s="61"/>
      <c r="AV32" s="62"/>
      <c r="AW32" s="61"/>
      <c r="AX32" s="81"/>
      <c r="AY32" s="5"/>
      <c r="AZ32" s="28">
        <f t="shared" ref="AZ32" si="284">IF(F32="Rack",AR32/I32,0)+IF(F32="U Space",AR32*40/I32,0)+IF(F32="Space",AR32*30/I32,0)</f>
        <v>0</v>
      </c>
      <c r="BA32" s="28" t="e">
        <f t="shared" ref="BA32" si="285">+AR32/V32</f>
        <v>#DIV/0!</v>
      </c>
      <c r="BB32" s="25" t="e">
        <f t="shared" si="220"/>
        <v>#DIV/0!</v>
      </c>
      <c r="BC32" s="25" t="e">
        <f t="shared" si="220"/>
        <v>#DIV/0!</v>
      </c>
      <c r="BD32" s="25" t="e">
        <f t="shared" si="221"/>
        <v>#DIV/0!</v>
      </c>
      <c r="BE32" s="28"/>
      <c r="BF32" s="26">
        <f t="shared" ref="BF32" si="286">+AM32+AN32+AO32</f>
        <v>0</v>
      </c>
      <c r="BG32" s="26" t="e">
        <f t="shared" ref="BG32" si="287">+BF32-BH32</f>
        <v>#REF!</v>
      </c>
      <c r="BH32" s="26" t="e">
        <f>IF(E32="Bundled",MIN(V32*$AF$1*(1+#REF!),BF32),AO32)</f>
        <v>#REF!</v>
      </c>
      <c r="BI32" s="27">
        <f>IF($AD32&gt;0,$AD32*$AC$1*$AE$1*(1+$AH$1*(20/$AE$1)/732),$AF$1*W32)</f>
        <v>0</v>
      </c>
      <c r="BJ32" s="27">
        <f>IF($AD32&gt;0,$AD32*$AC$1*$AE$1*(1+$AH$1*(20/$AE$1)/732),+$AF$1*(W32+U32))</f>
        <v>0</v>
      </c>
      <c r="BK32" s="27">
        <f t="shared" ref="BK32" si="288">IF(E32="Bundled",$AF$1*V32,$AF$1*V32*0.85)</f>
        <v>0</v>
      </c>
      <c r="BL32" s="27" t="e">
        <f t="shared" ref="BL32" si="289">+BB32*V32</f>
        <v>#DIV/0!</v>
      </c>
      <c r="BM32" s="27" t="e">
        <f>+#REF!*V32</f>
        <v>#REF!</v>
      </c>
      <c r="BN32" s="27" t="e">
        <f t="shared" ref="BN32" si="290">+BG32-BM32</f>
        <v>#REF!</v>
      </c>
      <c r="BO32" s="27" t="e">
        <f t="shared" ref="BO32" si="291">+BH32-BI32</f>
        <v>#REF!</v>
      </c>
      <c r="BP32" s="27" t="e">
        <f t="shared" ref="BP32" si="292">+BN32+BO32</f>
        <v>#REF!</v>
      </c>
      <c r="BQ32" s="27">
        <f t="shared" ref="BQ32" si="293">+V32</f>
        <v>0</v>
      </c>
      <c r="BR32" s="27" t="e">
        <f t="shared" ref="BR32" si="294">+BB32</f>
        <v>#DIV/0!</v>
      </c>
      <c r="BS32" s="27">
        <f t="shared" ref="BS32" si="295">IF(E32="Bundled",BK32-BI32,AO32-BI32)</f>
        <v>0</v>
      </c>
      <c r="BT32" s="27" t="e">
        <f>IF(E32="Bundled",+(BD32-#REF!)*V32,(AM32+AN32)-V32*#REF!)</f>
        <v>#DIV/0!</v>
      </c>
      <c r="BU32" s="27" t="e">
        <f t="shared" ref="BU32" si="296">+BS32+BT32</f>
        <v>#DIV/0!</v>
      </c>
      <c r="BV32" s="27" t="e">
        <f t="shared" ref="BV32:BW34" si="297">+BS32/$BQ32</f>
        <v>#DIV/0!</v>
      </c>
      <c r="BW32" s="27" t="e">
        <f t="shared" si="297"/>
        <v>#DIV/0!</v>
      </c>
      <c r="BX32" s="27" t="e">
        <f t="shared" si="233"/>
        <v>#DIV/0!</v>
      </c>
    </row>
    <row r="33" spans="1:79" s="16" customFormat="1" ht="45" x14ac:dyDescent="0.2">
      <c r="A33" s="158" t="s">
        <v>94</v>
      </c>
      <c r="B33" s="282" t="s">
        <v>227</v>
      </c>
      <c r="C33" s="298" t="s">
        <v>185</v>
      </c>
      <c r="D33" s="255" t="s">
        <v>55</v>
      </c>
      <c r="E33" s="256" t="s">
        <v>51</v>
      </c>
      <c r="F33" s="288" t="s">
        <v>7</v>
      </c>
      <c r="G33" s="32" t="s">
        <v>59</v>
      </c>
      <c r="H33" s="30" t="str">
        <f>IF(F33="Rack","No of Racks",(IF(F33="Space","Sq Ft","U Space")))</f>
        <v>No of Racks</v>
      </c>
      <c r="I33" s="32">
        <v>16</v>
      </c>
      <c r="J33" s="32">
        <v>16</v>
      </c>
      <c r="K33" s="34">
        <f>I33-J33</f>
        <v>0</v>
      </c>
      <c r="L33" s="32">
        <v>16</v>
      </c>
      <c r="M33" s="32"/>
      <c r="N33" s="35">
        <f>2042880/16</f>
        <v>127680</v>
      </c>
      <c r="O33" s="36" t="str">
        <f>D33</f>
        <v>Subscribed</v>
      </c>
      <c r="P33" s="32" t="s">
        <v>57</v>
      </c>
      <c r="Q33" s="33">
        <v>78</v>
      </c>
      <c r="R33" s="59">
        <f>W33</f>
        <v>0</v>
      </c>
      <c r="S33" s="39">
        <f>Q33-R33</f>
        <v>78</v>
      </c>
      <c r="T33" s="33"/>
      <c r="U33" s="33">
        <f>IF(S33&lt;=0,0,(IF(O33="Rated",(S33+T33)*#REF!,(S33+T33))))</f>
        <v>78</v>
      </c>
      <c r="V33" s="33">
        <f>IF(O33="Rated",Q33*#REF!,Q33)</f>
        <v>78</v>
      </c>
      <c r="W33" s="58">
        <f>AD33/30/24</f>
        <v>0</v>
      </c>
      <c r="X33" s="33">
        <f>IF((S33*-1)&gt;0, (S33*-1), 0)</f>
        <v>0</v>
      </c>
      <c r="Y33" s="40">
        <v>0</v>
      </c>
      <c r="Z33" s="41" t="str">
        <f>E33</f>
        <v>Bundled</v>
      </c>
      <c r="AA33" s="33">
        <v>1</v>
      </c>
      <c r="AB33" s="33" t="s">
        <v>60</v>
      </c>
      <c r="AC33" s="42">
        <v>0</v>
      </c>
      <c r="AD33" s="33">
        <v>0</v>
      </c>
      <c r="AE33" s="43"/>
      <c r="AF33" s="44"/>
      <c r="AG33" s="33"/>
      <c r="AH33" s="33"/>
      <c r="AI33" s="33">
        <f>AG33-AH33</f>
        <v>0</v>
      </c>
      <c r="AJ33" s="33"/>
      <c r="AK33" s="33"/>
      <c r="AL33" s="35">
        <f>(0)/12</f>
        <v>0</v>
      </c>
      <c r="AM33" s="45">
        <f>N33*L33</f>
        <v>2042880</v>
      </c>
      <c r="AN33" s="45">
        <f>Y33*X33</f>
        <v>0</v>
      </c>
      <c r="AO33" s="46">
        <f>AD33*AC33*AA33</f>
        <v>0</v>
      </c>
      <c r="AP33" s="45">
        <f>AL33*AJ33</f>
        <v>0</v>
      </c>
      <c r="AQ33" s="47">
        <f>0/12</f>
        <v>0</v>
      </c>
      <c r="AR33" s="48">
        <f>SUBTOTAL(9,AM33:AQ33)</f>
        <v>2042880</v>
      </c>
      <c r="AS33" s="48"/>
      <c r="AT33" s="60"/>
      <c r="AU33" s="61"/>
      <c r="AV33" s="62"/>
      <c r="AW33" s="61"/>
      <c r="AX33" s="81"/>
      <c r="AY33" s="5"/>
      <c r="AZ33" s="28">
        <f>IF(F33="Rack",AR33/I33,0)+IF(F33="U Space",AR33*40/I33,0)+IF(F33="Space",AR33*30/I33,0)</f>
        <v>127680</v>
      </c>
      <c r="BA33" s="28">
        <f>+AR33/V33</f>
        <v>26190.76923076923</v>
      </c>
      <c r="BB33" s="25" t="e">
        <f t="shared" si="220"/>
        <v>#REF!</v>
      </c>
      <c r="BC33" s="25" t="e">
        <f t="shared" si="220"/>
        <v>#REF!</v>
      </c>
      <c r="BD33" s="25" t="e">
        <f t="shared" si="221"/>
        <v>#REF!</v>
      </c>
      <c r="BE33" s="28"/>
      <c r="BF33" s="26">
        <f>+AM33+AN33+AO33</f>
        <v>2042880</v>
      </c>
      <c r="BG33" s="26" t="e">
        <f>+BF33-BH33</f>
        <v>#REF!</v>
      </c>
      <c r="BH33" s="26" t="e">
        <f>IF(E33="Bundled",MIN(V33*#REF!*(1+#REF!),BF33),AO33)</f>
        <v>#REF!</v>
      </c>
      <c r="BI33" s="27" t="e">
        <f>IF($AD33&gt;0,$AD33*#REF!*#REF!*(1+#REF!*(20/#REF!)/732),#REF!*W33)</f>
        <v>#REF!</v>
      </c>
      <c r="BJ33" s="27" t="e">
        <f>IF($AD33&gt;0,$AD33*#REF!*#REF!*(1+#REF!*(20/#REF!)/732),+#REF!*(W33+U33))</f>
        <v>#REF!</v>
      </c>
      <c r="BK33" s="27" t="e">
        <f>IF(E33="Bundled",#REF!*V33,#REF!*V33*0.85)</f>
        <v>#REF!</v>
      </c>
      <c r="BL33" s="27" t="e">
        <f>+BB33*V33</f>
        <v>#REF!</v>
      </c>
      <c r="BM33" s="27" t="e">
        <f>+#REF!*V33</f>
        <v>#REF!</v>
      </c>
      <c r="BN33" s="27" t="e">
        <f>+BG33-BM33</f>
        <v>#REF!</v>
      </c>
      <c r="BO33" s="27" t="e">
        <f>+BH33-BI33</f>
        <v>#REF!</v>
      </c>
      <c r="BP33" s="27" t="e">
        <f>+BN33+BO33</f>
        <v>#REF!</v>
      </c>
      <c r="BQ33" s="27">
        <f>+V33</f>
        <v>78</v>
      </c>
      <c r="BR33" s="27" t="e">
        <f>+BB33</f>
        <v>#REF!</v>
      </c>
      <c r="BS33" s="27" t="e">
        <f>IF(E33="Bundled",BK33-BI33,AO33-BI33)</f>
        <v>#REF!</v>
      </c>
      <c r="BT33" s="27" t="e">
        <f>IF(E33="Bundled",+(BD33-#REF!)*V33,(AM33+AN33)-V33*#REF!)</f>
        <v>#REF!</v>
      </c>
      <c r="BU33" s="27" t="e">
        <f>+BS33+BT33</f>
        <v>#REF!</v>
      </c>
      <c r="BV33" s="27" t="e">
        <f t="shared" si="297"/>
        <v>#REF!</v>
      </c>
      <c r="BW33" s="27" t="e">
        <f t="shared" si="297"/>
        <v>#REF!</v>
      </c>
      <c r="BX33" s="27" t="e">
        <f t="shared" si="233"/>
        <v>#REF!</v>
      </c>
    </row>
    <row r="34" spans="1:79" s="16" customFormat="1" ht="45" x14ac:dyDescent="0.2">
      <c r="A34" s="158" t="s">
        <v>94</v>
      </c>
      <c r="B34" s="279" t="s">
        <v>112</v>
      </c>
      <c r="C34" s="254" t="s">
        <v>231</v>
      </c>
      <c r="D34" s="255" t="s">
        <v>10</v>
      </c>
      <c r="E34" s="256" t="s">
        <v>51</v>
      </c>
      <c r="F34" s="288" t="s">
        <v>58</v>
      </c>
      <c r="G34" s="32" t="s">
        <v>59</v>
      </c>
      <c r="H34" s="30" t="str">
        <f t="shared" ref="H34:H36" si="298">IF(F34="Rack","No of Racks",(IF(F34="Space","Sq Ft","U Space")))</f>
        <v>U Space</v>
      </c>
      <c r="I34" s="32">
        <v>2</v>
      </c>
      <c r="J34" s="32">
        <v>2</v>
      </c>
      <c r="K34" s="34">
        <f t="shared" ref="K34:K36" si="299">I34-J34</f>
        <v>0</v>
      </c>
      <c r="L34" s="32">
        <v>2</v>
      </c>
      <c r="M34" s="32"/>
      <c r="N34" s="35">
        <f>(18000)/12</f>
        <v>1500</v>
      </c>
      <c r="O34" s="36" t="str">
        <f t="shared" ref="O34:O36" si="300">D34</f>
        <v>Rated</v>
      </c>
      <c r="P34" s="37" t="s">
        <v>53</v>
      </c>
      <c r="Q34" s="33">
        <v>0.3</v>
      </c>
      <c r="R34" s="38">
        <v>0.04</v>
      </c>
      <c r="S34" s="39">
        <f t="shared" ref="S34:S36" si="301">Q34-R34</f>
        <v>0.26</v>
      </c>
      <c r="T34" s="33"/>
      <c r="U34" s="33">
        <f t="shared" ref="U34:U36" si="302">IF(S34&lt;=0,0,(IF(O34="Rated",(S34+T34)*$W$1,(S34+T34))))</f>
        <v>0</v>
      </c>
      <c r="V34" s="33">
        <f t="shared" ref="V34:V36" si="303">IF(O34="Rated",Q34*$W$1,Q34)</f>
        <v>0</v>
      </c>
      <c r="W34"/>
      <c r="X34" s="33">
        <f t="shared" ref="X34:X36" si="304">IF((S34*-1)&gt;0, (S34*-1), 0)</f>
        <v>0</v>
      </c>
      <c r="Y34" s="40"/>
      <c r="Z34" s="41" t="str">
        <f t="shared" ref="Z34:Z36" si="305">E34</f>
        <v>Bundled</v>
      </c>
      <c r="AA34" s="33"/>
      <c r="AB34" s="33"/>
      <c r="AC34" s="42"/>
      <c r="AD34" s="33"/>
      <c r="AE34" s="43"/>
      <c r="AF34" s="44" t="str">
        <f>IF(AE34="No of Seats","No of Seats",(IF(AE34="Space","Sq Ft","")))</f>
        <v/>
      </c>
      <c r="AG34" s="33"/>
      <c r="AH34" s="33"/>
      <c r="AI34" s="33">
        <f t="shared" ref="AI34:AI36" si="306">AG34-AH34</f>
        <v>0</v>
      </c>
      <c r="AJ34" s="33"/>
      <c r="AK34" s="33"/>
      <c r="AL34" s="35"/>
      <c r="AM34" s="45">
        <f t="shared" ref="AM34:AM36" si="307">N34*L34</f>
        <v>3000</v>
      </c>
      <c r="AN34" s="45">
        <f t="shared" ref="AN34:AN36" si="308">Y34*X34</f>
        <v>0</v>
      </c>
      <c r="AO34" s="46">
        <f t="shared" ref="AO34:AO36" si="309">AD34*AC34*AA34</f>
        <v>0</v>
      </c>
      <c r="AP34" s="45">
        <f t="shared" ref="AP34:AP36" si="310">AL34*AJ34</f>
        <v>0</v>
      </c>
      <c r="AQ34" s="47">
        <v>0</v>
      </c>
      <c r="AR34" s="48">
        <f t="shared" ref="AR34:AR36" si="311">SUBTOTAL(9,AM34:AQ34)</f>
        <v>3000</v>
      </c>
      <c r="AS34" s="48"/>
      <c r="AT34" s="49"/>
      <c r="AU34" s="50"/>
      <c r="AV34" s="51"/>
      <c r="AW34" s="50"/>
      <c r="AX34" s="157"/>
      <c r="AY34" s="5"/>
      <c r="AZ34" s="25">
        <f t="shared" ref="AZ34:AZ36" si="312">IF(F34="Rack",AR34/I34,0)+IF(F34="U Space",AR34*40/I34,0)+IF(F34="Space",AR34*30/I34,0)</f>
        <v>60000</v>
      </c>
      <c r="BA34" s="25" t="e">
        <f t="shared" ref="BA34:BA36" si="313">+AR34/V34</f>
        <v>#DIV/0!</v>
      </c>
      <c r="BB34" s="25" t="e">
        <f>+($AM34+$AN34+$AO34-BI34)/$V34</f>
        <v>#DIV/0!</v>
      </c>
      <c r="BC34" s="25" t="e">
        <f>+($AM34+$AN34+$AO34-BJ34)/$V34</f>
        <v>#DIV/0!</v>
      </c>
      <c r="BD34" s="25" t="e">
        <f t="shared" si="221"/>
        <v>#DIV/0!</v>
      </c>
      <c r="BE34" s="25"/>
      <c r="BF34" s="26">
        <f t="shared" ref="BF34:BF36" si="314">+AM34+AN34+AO34</f>
        <v>3000</v>
      </c>
      <c r="BG34" s="26" t="e">
        <f t="shared" ref="BG34:BG36" si="315">+BF34-BH34</f>
        <v>#REF!</v>
      </c>
      <c r="BH34" s="26" t="e">
        <f>IF(E34="Bundled",MIN(V34*$AF$1*(1+#REF!),BF34),AO34)</f>
        <v>#REF!</v>
      </c>
      <c r="BI34" s="27">
        <f>IF($AD34&gt;0,$AD34*$AC$1*$AE$1*(1+$AH$1*(20/$AE$1)/732),$AF$1*W34)</f>
        <v>0</v>
      </c>
      <c r="BJ34" s="27">
        <f>IF($AD34&gt;0,$AD34*$AC$1*$AE$1*(1+$AH$1*(20/$AE$1)/732),+$AF$1*(W34+U34))</f>
        <v>0</v>
      </c>
      <c r="BK34" s="27">
        <f t="shared" ref="BK34:BK36" si="316">IF(E34="Bundled",$AF$1*V34,$AF$1*V34*0.85)</f>
        <v>0</v>
      </c>
      <c r="BL34" s="27" t="e">
        <f t="shared" ref="BL34:BL36" si="317">+BB34*V34</f>
        <v>#DIV/0!</v>
      </c>
      <c r="BM34" s="27" t="e">
        <f>+#REF!*V34</f>
        <v>#REF!</v>
      </c>
      <c r="BN34" s="27" t="e">
        <f t="shared" ref="BN34:BN36" si="318">+BG34-BM34</f>
        <v>#REF!</v>
      </c>
      <c r="BO34" s="27" t="e">
        <f t="shared" ref="BO34:BO36" si="319">+BH34-BI34</f>
        <v>#REF!</v>
      </c>
      <c r="BP34" s="27" t="e">
        <f t="shared" ref="BP34:BP36" si="320">+BN34+BO34</f>
        <v>#REF!</v>
      </c>
      <c r="BQ34" s="27">
        <f t="shared" ref="BQ34:BQ36" si="321">+V34</f>
        <v>0</v>
      </c>
      <c r="BR34" s="27" t="e">
        <f t="shared" ref="BR34:BR36" si="322">+BB34</f>
        <v>#DIV/0!</v>
      </c>
      <c r="BS34" s="27">
        <f t="shared" ref="BS34:BS36" si="323">IF(E34="Bundled",BK34-BI34,AO34-BI34)</f>
        <v>0</v>
      </c>
      <c r="BT34" s="27" t="e">
        <f>IF(E34="Bundled",+(BD34-#REF!)*V34,(AM34+AN34)-V34*#REF!)</f>
        <v>#DIV/0!</v>
      </c>
      <c r="BU34" s="27" t="e">
        <f t="shared" ref="BU34:BU36" si="324">+BS34+BT34</f>
        <v>#DIV/0!</v>
      </c>
      <c r="BV34" s="27" t="e">
        <f t="shared" si="297"/>
        <v>#DIV/0!</v>
      </c>
      <c r="BW34" s="27" t="e">
        <f t="shared" si="297"/>
        <v>#DIV/0!</v>
      </c>
      <c r="BX34" s="27" t="e">
        <f>+BU34/$BQ34</f>
        <v>#DIV/0!</v>
      </c>
    </row>
    <row r="35" spans="1:79" ht="30" x14ac:dyDescent="0.2">
      <c r="A35" s="240" t="s">
        <v>132</v>
      </c>
      <c r="B35" s="276" t="s">
        <v>100</v>
      </c>
      <c r="C35" s="254" t="s">
        <v>198</v>
      </c>
      <c r="D35" s="255" t="s">
        <v>10</v>
      </c>
      <c r="E35" s="256" t="s">
        <v>51</v>
      </c>
      <c r="F35" s="288" t="s">
        <v>7</v>
      </c>
      <c r="G35" s="32" t="s">
        <v>59</v>
      </c>
      <c r="H35" s="30" t="str">
        <f t="shared" si="298"/>
        <v>No of Racks</v>
      </c>
      <c r="I35" s="32">
        <v>1</v>
      </c>
      <c r="J35" s="32">
        <v>1</v>
      </c>
      <c r="K35" s="34">
        <f t="shared" si="299"/>
        <v>0</v>
      </c>
      <c r="L35" s="32">
        <v>1</v>
      </c>
      <c r="M35" s="32"/>
      <c r="N35" s="35">
        <f>(9740*70)/12</f>
        <v>56816.666666666664</v>
      </c>
      <c r="O35" s="36" t="str">
        <f t="shared" si="300"/>
        <v>Rated</v>
      </c>
      <c r="P35" s="32" t="s">
        <v>53</v>
      </c>
      <c r="Q35" s="33">
        <v>5</v>
      </c>
      <c r="R35" s="38">
        <v>3.56</v>
      </c>
      <c r="S35" s="39">
        <f t="shared" si="301"/>
        <v>1.44</v>
      </c>
      <c r="T35" s="33"/>
      <c r="U35" s="33">
        <f t="shared" si="302"/>
        <v>0</v>
      </c>
      <c r="V35" s="33">
        <f t="shared" si="303"/>
        <v>0</v>
      </c>
      <c r="W35" s="58">
        <v>0.91</v>
      </c>
      <c r="X35" s="33">
        <f t="shared" si="304"/>
        <v>0</v>
      </c>
      <c r="Y35" s="40">
        <f>120000/12</f>
        <v>10000</v>
      </c>
      <c r="Z35" s="41" t="str">
        <f t="shared" si="305"/>
        <v>Bundled</v>
      </c>
      <c r="AA35" s="33"/>
      <c r="AB35" s="33"/>
      <c r="AC35" s="42"/>
      <c r="AD35" s="33"/>
      <c r="AE35" s="43"/>
      <c r="AF35" s="44"/>
      <c r="AG35" s="33"/>
      <c r="AH35" s="33"/>
      <c r="AI35" s="33">
        <f t="shared" si="306"/>
        <v>0</v>
      </c>
      <c r="AJ35" s="33"/>
      <c r="AK35" s="33"/>
      <c r="AL35" s="35">
        <f t="shared" ref="AL35:AL36" si="325">(0)/12</f>
        <v>0</v>
      </c>
      <c r="AM35" s="45">
        <f t="shared" si="307"/>
        <v>56816.666666666664</v>
      </c>
      <c r="AN35" s="45">
        <f t="shared" si="308"/>
        <v>0</v>
      </c>
      <c r="AO35" s="46">
        <f t="shared" si="309"/>
        <v>0</v>
      </c>
      <c r="AP35" s="45">
        <f t="shared" si="310"/>
        <v>0</v>
      </c>
      <c r="AQ35" s="47">
        <f>((7792+325+9091)*70)/12</f>
        <v>100380</v>
      </c>
      <c r="AR35" s="48">
        <f t="shared" si="311"/>
        <v>157196.66666666666</v>
      </c>
      <c r="AS35" s="48"/>
      <c r="AT35" s="60">
        <v>121001564</v>
      </c>
      <c r="AU35" s="61"/>
      <c r="AV35" s="62"/>
      <c r="AW35" s="61"/>
      <c r="AX35" s="81"/>
      <c r="AY35" s="5"/>
      <c r="AZ35" s="28">
        <f t="shared" si="312"/>
        <v>157196.66666666666</v>
      </c>
      <c r="BA35" s="28" t="e">
        <f t="shared" si="313"/>
        <v>#DIV/0!</v>
      </c>
      <c r="BB35" s="25" t="e">
        <f t="shared" ref="BB35:BC36" si="326">+($AO35+$AP35+$AQ35-BI35)/$X35</f>
        <v>#DIV/0!</v>
      </c>
      <c r="BC35" s="25" t="e">
        <f t="shared" si="326"/>
        <v>#DIV/0!</v>
      </c>
      <c r="BD35" s="25" t="e">
        <f t="shared" ref="BD35:BD36" si="327">+($AO35+$AP35+IF(E35="Bundled",0,V35*0.85*AA35*AC35*30.5*24)-BK35)/$X35</f>
        <v>#DIV/0!</v>
      </c>
      <c r="BE35" s="28"/>
      <c r="BF35" s="26">
        <f t="shared" si="314"/>
        <v>56816.666666666664</v>
      </c>
      <c r="BG35" s="26" t="e">
        <f t="shared" si="315"/>
        <v>#REF!</v>
      </c>
      <c r="BH35" s="26" t="e">
        <f>IF(E35="Bundled",MIN(V35*$AF$1*(1+#REF!),BF35),AO35)</f>
        <v>#REF!</v>
      </c>
      <c r="BI35" s="27">
        <f t="shared" ref="BI35:BI36" si="328">IF($AF35&gt;0,$AF35*$AC$1*$AE$1*(1+$AH$1*(20/$AE$1)/732),$AF$1*W35)</f>
        <v>64.155000000000001</v>
      </c>
      <c r="BJ35" s="27">
        <f t="shared" ref="BJ35:BJ36" si="329">IF($AF35&gt;0,$AF35*$AC$1*$AE$1*(1+$AH$1*(20/$AE$1)/732),+$AF$1*(W35+U35))</f>
        <v>64.155000000000001</v>
      </c>
      <c r="BK35" s="27">
        <f t="shared" si="316"/>
        <v>0</v>
      </c>
      <c r="BL35" s="27" t="e">
        <f t="shared" si="317"/>
        <v>#DIV/0!</v>
      </c>
      <c r="BM35" s="27" t="e">
        <f>+#REF!*V35</f>
        <v>#REF!</v>
      </c>
      <c r="BN35" s="27" t="e">
        <f t="shared" si="318"/>
        <v>#REF!</v>
      </c>
      <c r="BO35" s="27" t="e">
        <f t="shared" si="319"/>
        <v>#REF!</v>
      </c>
      <c r="BP35" s="27" t="e">
        <f t="shared" si="320"/>
        <v>#REF!</v>
      </c>
      <c r="BQ35" s="27">
        <f t="shared" si="321"/>
        <v>0</v>
      </c>
      <c r="BR35" s="27" t="e">
        <f t="shared" si="322"/>
        <v>#DIV/0!</v>
      </c>
      <c r="BS35" s="27">
        <f t="shared" si="323"/>
        <v>-64.155000000000001</v>
      </c>
      <c r="BT35" s="27" t="e">
        <f>IF(E35="Bundled",+(BD35-#REF!)*V35,(AM35+AN35)-V35*#REF!)</f>
        <v>#DIV/0!</v>
      </c>
      <c r="BU35" s="27" t="e">
        <f t="shared" si="324"/>
        <v>#DIV/0!</v>
      </c>
      <c r="BV35" s="27">
        <f t="shared" ref="BV35:BX36" si="330">+BS35/$BS35</f>
        <v>1</v>
      </c>
      <c r="BW35" s="27" t="e">
        <f t="shared" si="330"/>
        <v>#DIV/0!</v>
      </c>
      <c r="BX35" s="27" t="e">
        <f t="shared" si="330"/>
        <v>#DIV/0!</v>
      </c>
    </row>
    <row r="36" spans="1:79" ht="30" x14ac:dyDescent="0.2">
      <c r="A36" s="240" t="s">
        <v>132</v>
      </c>
      <c r="B36" s="276" t="s">
        <v>101</v>
      </c>
      <c r="C36" s="294" t="s">
        <v>202</v>
      </c>
      <c r="D36" s="255" t="s">
        <v>55</v>
      </c>
      <c r="E36" s="256" t="s">
        <v>51</v>
      </c>
      <c r="F36" s="288" t="s">
        <v>7</v>
      </c>
      <c r="G36" s="32" t="s">
        <v>59</v>
      </c>
      <c r="H36" s="30" t="str">
        <f t="shared" si="298"/>
        <v>No of Racks</v>
      </c>
      <c r="I36" s="32">
        <v>1</v>
      </c>
      <c r="J36" s="32">
        <v>1</v>
      </c>
      <c r="K36" s="34">
        <f t="shared" si="299"/>
        <v>0</v>
      </c>
      <c r="L36" s="32">
        <v>1</v>
      </c>
      <c r="M36" s="32"/>
      <c r="N36" s="35">
        <f>(1080*70)</f>
        <v>75600</v>
      </c>
      <c r="O36" s="36" t="str">
        <f t="shared" si="300"/>
        <v>Subscribed</v>
      </c>
      <c r="P36" s="32" t="s">
        <v>57</v>
      </c>
      <c r="Q36" s="33">
        <v>4</v>
      </c>
      <c r="R36" s="59">
        <f>W36</f>
        <v>0.35441666666666666</v>
      </c>
      <c r="S36" s="39">
        <f t="shared" si="301"/>
        <v>3.6455833333333332</v>
      </c>
      <c r="T36" s="33"/>
      <c r="U36" s="33">
        <f t="shared" si="302"/>
        <v>3.6455833333333332</v>
      </c>
      <c r="V36" s="33">
        <f t="shared" si="303"/>
        <v>4</v>
      </c>
      <c r="W36" s="58">
        <f>AD36/30/24</f>
        <v>0.35441666666666666</v>
      </c>
      <c r="X36" s="33">
        <f t="shared" si="304"/>
        <v>0</v>
      </c>
      <c r="Y36" s="40">
        <f>0/12</f>
        <v>0</v>
      </c>
      <c r="Z36" s="41" t="str">
        <f t="shared" si="305"/>
        <v>Bundled</v>
      </c>
      <c r="AA36" s="33"/>
      <c r="AB36" s="33"/>
      <c r="AC36" s="42"/>
      <c r="AD36" s="33">
        <v>255.18</v>
      </c>
      <c r="AE36" s="43"/>
      <c r="AF36" s="44"/>
      <c r="AG36" s="33"/>
      <c r="AH36" s="33"/>
      <c r="AI36" s="33">
        <f t="shared" si="306"/>
        <v>0</v>
      </c>
      <c r="AJ36" s="33"/>
      <c r="AK36" s="33"/>
      <c r="AL36" s="35">
        <f t="shared" si="325"/>
        <v>0</v>
      </c>
      <c r="AM36" s="45">
        <f t="shared" si="307"/>
        <v>75600</v>
      </c>
      <c r="AN36" s="45">
        <f t="shared" si="308"/>
        <v>0</v>
      </c>
      <c r="AO36" s="46">
        <f t="shared" si="309"/>
        <v>0</v>
      </c>
      <c r="AP36" s="45">
        <f t="shared" si="310"/>
        <v>0</v>
      </c>
      <c r="AQ36" s="47">
        <f t="shared" ref="AQ36" si="331">0/12</f>
        <v>0</v>
      </c>
      <c r="AR36" s="48">
        <f t="shared" si="311"/>
        <v>75600</v>
      </c>
      <c r="AS36" s="48"/>
      <c r="AT36" s="60"/>
      <c r="AU36" s="61"/>
      <c r="AV36" s="62"/>
      <c r="AW36" s="61"/>
      <c r="AX36" s="81"/>
      <c r="AY36" s="5"/>
      <c r="AZ36" s="28">
        <f t="shared" si="312"/>
        <v>75600</v>
      </c>
      <c r="BA36" s="28">
        <f t="shared" si="313"/>
        <v>18900</v>
      </c>
      <c r="BB36" s="25" t="e">
        <f t="shared" si="326"/>
        <v>#DIV/0!</v>
      </c>
      <c r="BC36" s="25" t="e">
        <f t="shared" si="326"/>
        <v>#DIV/0!</v>
      </c>
      <c r="BD36" s="25" t="e">
        <f t="shared" si="327"/>
        <v>#DIV/0!</v>
      </c>
      <c r="BE36" s="28"/>
      <c r="BF36" s="26">
        <f t="shared" si="314"/>
        <v>75600</v>
      </c>
      <c r="BG36" s="26" t="e">
        <f t="shared" si="315"/>
        <v>#REF!</v>
      </c>
      <c r="BH36" s="26" t="e">
        <f>IF(E36="Bundled",MIN(V36*$AF$1*(1+#REF!),BF36),AO36)</f>
        <v>#REF!</v>
      </c>
      <c r="BI36" s="27">
        <f t="shared" si="328"/>
        <v>24.986374999999999</v>
      </c>
      <c r="BJ36" s="27">
        <f t="shared" si="329"/>
        <v>282</v>
      </c>
      <c r="BK36" s="27">
        <f t="shared" si="316"/>
        <v>282</v>
      </c>
      <c r="BL36" s="27" t="e">
        <f t="shared" si="317"/>
        <v>#DIV/0!</v>
      </c>
      <c r="BM36" s="27" t="e">
        <f>+#REF!*V36</f>
        <v>#REF!</v>
      </c>
      <c r="BN36" s="27" t="e">
        <f t="shared" si="318"/>
        <v>#REF!</v>
      </c>
      <c r="BO36" s="27" t="e">
        <f t="shared" si="319"/>
        <v>#REF!</v>
      </c>
      <c r="BP36" s="27" t="e">
        <f t="shared" si="320"/>
        <v>#REF!</v>
      </c>
      <c r="BQ36" s="27">
        <f t="shared" si="321"/>
        <v>4</v>
      </c>
      <c r="BR36" s="27" t="e">
        <f t="shared" si="322"/>
        <v>#DIV/0!</v>
      </c>
      <c r="BS36" s="27">
        <f t="shared" si="323"/>
        <v>257.01362499999999</v>
      </c>
      <c r="BT36" s="27" t="e">
        <f>IF(E36="Bundled",+(BD36-#REF!)*V36,(AM36+AN36)-V36*#REF!)</f>
        <v>#DIV/0!</v>
      </c>
      <c r="BU36" s="27" t="e">
        <f t="shared" si="324"/>
        <v>#DIV/0!</v>
      </c>
      <c r="BV36" s="27">
        <f t="shared" si="330"/>
        <v>1</v>
      </c>
      <c r="BW36" s="27" t="e">
        <f t="shared" si="330"/>
        <v>#DIV/0!</v>
      </c>
      <c r="BX36" s="27" t="e">
        <f t="shared" si="330"/>
        <v>#DIV/0!</v>
      </c>
    </row>
    <row r="37" spans="1:79" s="5" customFormat="1" ht="30" x14ac:dyDescent="0.2">
      <c r="A37" s="154" t="s">
        <v>133</v>
      </c>
      <c r="B37" s="275" t="s">
        <v>114</v>
      </c>
      <c r="C37" s="294" t="s">
        <v>187</v>
      </c>
      <c r="D37" s="255" t="s">
        <v>10</v>
      </c>
      <c r="E37" s="256" t="s">
        <v>51</v>
      </c>
      <c r="F37" s="288" t="s">
        <v>7</v>
      </c>
      <c r="G37" s="32" t="s">
        <v>59</v>
      </c>
      <c r="H37" s="30" t="str">
        <f>IF(F37="Rack","No of Racks",(IF(F37="Space","Sq Ft","U Space")))</f>
        <v>No of Racks</v>
      </c>
      <c r="I37" s="32">
        <v>1</v>
      </c>
      <c r="J37" s="32">
        <v>1</v>
      </c>
      <c r="K37" s="34">
        <f>I37-J37</f>
        <v>0</v>
      </c>
      <c r="L37" s="32">
        <v>1</v>
      </c>
      <c r="M37" s="32"/>
      <c r="N37" s="124">
        <f>80000/12</f>
        <v>6666.666666666667</v>
      </c>
      <c r="O37" s="36" t="str">
        <f>D37</f>
        <v>Rated</v>
      </c>
      <c r="P37" s="32" t="s">
        <v>53</v>
      </c>
      <c r="Q37" s="33">
        <v>3</v>
      </c>
      <c r="R37" s="38">
        <v>4.49</v>
      </c>
      <c r="S37" s="39">
        <f>Q37-R37</f>
        <v>-1.4900000000000002</v>
      </c>
      <c r="T37" s="33"/>
      <c r="U37" s="33">
        <f>IF(S37&lt;=0,0,(IF(O37="Rated",(S37+T37)*#REF!,(S37+T37))))</f>
        <v>0</v>
      </c>
      <c r="V37" s="33" t="e">
        <f>IF(O37="Rated",Q37*#REF!,Q37)</f>
        <v>#REF!</v>
      </c>
      <c r="W37" s="58">
        <v>1.17</v>
      </c>
      <c r="X37" s="33">
        <f>IF((S37*-1)&gt;0, (S37*-1), 0)</f>
        <v>1.4900000000000002</v>
      </c>
      <c r="Y37" s="40">
        <v>0</v>
      </c>
      <c r="Z37" s="41" t="str">
        <f>E37</f>
        <v>Bundled</v>
      </c>
      <c r="AA37" s="33"/>
      <c r="AB37" s="33"/>
      <c r="AC37" s="42"/>
      <c r="AD37" s="43"/>
      <c r="AE37" s="43"/>
      <c r="AF37" s="44" t="str">
        <f>IF(AE37="No of Seats","No of Seats",(IF(AE37="Space","Sq Ft","")))</f>
        <v/>
      </c>
      <c r="AG37" s="33"/>
      <c r="AH37" s="33"/>
      <c r="AI37" s="33">
        <f>AG37-AH37</f>
        <v>0</v>
      </c>
      <c r="AJ37" s="33"/>
      <c r="AK37" s="33"/>
      <c r="AL37" s="35"/>
      <c r="AM37" s="45">
        <f>N37*L37</f>
        <v>6666.666666666667</v>
      </c>
      <c r="AN37" s="45">
        <f>Y37*X37</f>
        <v>0</v>
      </c>
      <c r="AO37" s="46">
        <f>AD37*AC37*AA37</f>
        <v>0</v>
      </c>
      <c r="AP37" s="45">
        <f>AL37*AJ37</f>
        <v>0</v>
      </c>
      <c r="AQ37" s="47">
        <f>10000/12</f>
        <v>833.33333333333337</v>
      </c>
      <c r="AR37" s="48">
        <f>SUBTOTAL(9,AM37:AQ37)</f>
        <v>7500</v>
      </c>
      <c r="AS37" s="48"/>
      <c r="AT37" s="125" t="s">
        <v>88</v>
      </c>
      <c r="AU37" s="56"/>
      <c r="AV37" s="57"/>
      <c r="AW37" s="56"/>
      <c r="AX37" s="155"/>
      <c r="AZ37" s="25">
        <f>IF(F37="Rack",AR37/I37,0)+IF(F37="U Space",AR37*40/I37,0)+IF(F37="Space",AR37*30/I37,0)</f>
        <v>7500</v>
      </c>
      <c r="BA37" s="25" t="e">
        <f>+AR37/V37</f>
        <v>#REF!</v>
      </c>
      <c r="BB37" s="25" t="e">
        <f>+($AM37+$AN37+$AO37-BI37)/$V37</f>
        <v>#REF!</v>
      </c>
      <c r="BC37" s="25" t="e">
        <f>+($AM37+$AN37+$AO37-BJ37)/$V37</f>
        <v>#REF!</v>
      </c>
      <c r="BD37" s="25" t="e">
        <f>+($AM37+$AN37+IF(E37="Bundled",0,V37*0.85*AA37*AC37*30.5*24)-BK37)/$V37</f>
        <v>#REF!</v>
      </c>
      <c r="BE37" s="25"/>
      <c r="BF37" s="26">
        <f>+AM37+AN37+AO37</f>
        <v>6666.666666666667</v>
      </c>
      <c r="BG37" s="26" t="e">
        <f>+BF37-BH37</f>
        <v>#REF!</v>
      </c>
      <c r="BH37" s="26" t="e">
        <f>IF(E37="Bundled",MIN(V37*#REF!*(1+#REF!),BF37),AO37)</f>
        <v>#REF!</v>
      </c>
      <c r="BI37" s="27" t="e">
        <f>IF($AD37&gt;0,$AD37*#REF!*#REF!*(1+#REF!*(20/#REF!)/732),#REF!*W37)</f>
        <v>#REF!</v>
      </c>
      <c r="BJ37" s="27" t="e">
        <f>IF($AD37&gt;0,$AD37*#REF!*#REF!*(1+#REF!*(20/#REF!)/732),+#REF!*(W37+U37))</f>
        <v>#REF!</v>
      </c>
      <c r="BK37" s="27" t="e">
        <f>IF(E37="Bundled",#REF!*V37,#REF!*V37*0.85)</f>
        <v>#REF!</v>
      </c>
      <c r="BL37" s="27" t="e">
        <f>+BB37*V37</f>
        <v>#REF!</v>
      </c>
      <c r="BM37" s="27" t="e">
        <f>+#REF!*V37</f>
        <v>#REF!</v>
      </c>
      <c r="BN37" s="27" t="e">
        <f>+BG37-BM37</f>
        <v>#REF!</v>
      </c>
      <c r="BO37" s="27" t="e">
        <f>+BH37-BI37</f>
        <v>#REF!</v>
      </c>
      <c r="BP37" s="27" t="e">
        <f>+BN37+BO37</f>
        <v>#REF!</v>
      </c>
      <c r="BQ37" s="27" t="e">
        <f>+V37</f>
        <v>#REF!</v>
      </c>
      <c r="BR37" s="27" t="e">
        <f>+BB37</f>
        <v>#REF!</v>
      </c>
      <c r="BS37" s="27" t="e">
        <f>IF(E37="Bundled",BK37-BI37,AO37-BI37)</f>
        <v>#REF!</v>
      </c>
      <c r="BT37" s="27" t="e">
        <f>IF(E37="Bundled",+(BD37-#REF!)*V37,(AM37+AN37)-V37*#REF!)</f>
        <v>#REF!</v>
      </c>
      <c r="BU37" s="27" t="e">
        <f>+BS37+BT37</f>
        <v>#REF!</v>
      </c>
      <c r="BV37" s="27" t="e">
        <f t="shared" ref="BV37:BX38" si="332">+BS37/$BQ37</f>
        <v>#REF!</v>
      </c>
      <c r="BW37" s="27" t="e">
        <f t="shared" si="332"/>
        <v>#REF!</v>
      </c>
      <c r="BX37" s="27" t="e">
        <f t="shared" si="332"/>
        <v>#REF!</v>
      </c>
    </row>
    <row r="38" spans="1:79" s="16" customFormat="1" ht="30" x14ac:dyDescent="0.2">
      <c r="A38" s="158" t="s">
        <v>133</v>
      </c>
      <c r="B38" s="275" t="s">
        <v>233</v>
      </c>
      <c r="C38" s="273" t="s">
        <v>213</v>
      </c>
      <c r="D38" s="255" t="s">
        <v>55</v>
      </c>
      <c r="E38" s="256" t="s">
        <v>56</v>
      </c>
      <c r="F38" s="288" t="s">
        <v>7</v>
      </c>
      <c r="G38" s="32" t="s">
        <v>59</v>
      </c>
      <c r="H38" s="30" t="str">
        <f t="shared" ref="H38:H39" si="333">IF(F38="Rack","No of Racks",(IF(F38="Space","Sq Ft","U Space")))</f>
        <v>No of Racks</v>
      </c>
      <c r="I38" s="32">
        <v>1</v>
      </c>
      <c r="J38" s="32">
        <v>1</v>
      </c>
      <c r="K38" s="34">
        <f t="shared" ref="K38:K39" si="334">I38-J38</f>
        <v>0</v>
      </c>
      <c r="L38" s="32">
        <v>1</v>
      </c>
      <c r="M38" s="32"/>
      <c r="N38" s="124">
        <f>188000/12</f>
        <v>15666.666666666666</v>
      </c>
      <c r="O38" s="36" t="str">
        <f t="shared" ref="O38:O39" si="335">D38</f>
        <v>Subscribed</v>
      </c>
      <c r="P38" s="32" t="s">
        <v>57</v>
      </c>
      <c r="Q38" s="33">
        <v>3</v>
      </c>
      <c r="R38" s="58">
        <f>W38</f>
        <v>1.5194354838709678</v>
      </c>
      <c r="S38" s="39">
        <f t="shared" ref="S38:S39" si="336">Q38-R38</f>
        <v>1.4805645161290322</v>
      </c>
      <c r="T38" s="33"/>
      <c r="U38" s="33">
        <f t="shared" ref="U38:U39" si="337">IF(S38&lt;=0,0,(IF(O38="Rated",(S38+T38)*$W$1,(S38+T38))))</f>
        <v>1.4805645161290322</v>
      </c>
      <c r="V38" s="33">
        <f t="shared" ref="V38:V39" si="338">IF(O38="Rated",Q38*$W$1,Q38)</f>
        <v>3</v>
      </c>
      <c r="W38" s="58">
        <f t="shared" ref="W38" si="339">AD38/31/24</f>
        <v>1.5194354838709678</v>
      </c>
      <c r="X38" s="33">
        <f>IF((S38*-1)&gt;0, (S38*-1), 0)</f>
        <v>0</v>
      </c>
      <c r="Y38" s="40"/>
      <c r="Z38" s="41" t="str">
        <f t="shared" ref="Z38:Z39" si="340">E38</f>
        <v>Metered</v>
      </c>
      <c r="AA38" s="33">
        <v>1</v>
      </c>
      <c r="AB38" s="33" t="s">
        <v>60</v>
      </c>
      <c r="AC38" s="42"/>
      <c r="AD38" s="33">
        <v>1130.46</v>
      </c>
      <c r="AE38" s="43"/>
      <c r="AF38" s="44" t="str">
        <f>IF(AE38="No of Seats","No of Seats",(IF(AE38="Space","Sq Ft","")))</f>
        <v/>
      </c>
      <c r="AG38" s="33"/>
      <c r="AH38" s="33"/>
      <c r="AI38" s="33">
        <f>AG38-AH38</f>
        <v>0</v>
      </c>
      <c r="AJ38" s="33"/>
      <c r="AK38" s="33"/>
      <c r="AL38" s="35"/>
      <c r="AM38" s="45"/>
      <c r="AN38" s="45">
        <f>Y38*X38</f>
        <v>0</v>
      </c>
      <c r="AO38" s="46">
        <f>AD38*AC38*AA38</f>
        <v>0</v>
      </c>
      <c r="AP38" s="45">
        <f>AL38*AJ38</f>
        <v>0</v>
      </c>
      <c r="AQ38" s="47"/>
      <c r="AR38" s="48">
        <f>SUBTOTAL(9,AM38:AQ38)</f>
        <v>0</v>
      </c>
      <c r="AS38" s="48"/>
      <c r="AT38" s="60"/>
      <c r="AU38" s="61"/>
      <c r="AV38" s="62"/>
      <c r="AW38" s="61"/>
      <c r="AX38" s="81"/>
      <c r="AY38" s="5"/>
      <c r="AZ38" s="28">
        <f>IF(F38="Rack",AR38/I38,0)+IF(F38="U Space",AR38*40/I38,0)+IF(F38="Space",AR38*30/I38,0)</f>
        <v>0</v>
      </c>
      <c r="BA38" s="28">
        <f>+AR38/V38</f>
        <v>0</v>
      </c>
      <c r="BB38" s="25" t="e">
        <f>+($AM38+$AN38+$AO38-BI38)/$V38</f>
        <v>#VALUE!</v>
      </c>
      <c r="BC38" s="25"/>
      <c r="BD38" s="25"/>
      <c r="BE38" s="28"/>
      <c r="BF38" s="26">
        <f>+AM38+AN38+AO38</f>
        <v>0</v>
      </c>
      <c r="BG38" s="26">
        <f>+BF38-BH38</f>
        <v>0</v>
      </c>
      <c r="BH38" s="26">
        <f>IF(E38="Bundled",MIN(V38*$AF$1*(1+#REF!),BF38),AO38)</f>
        <v>0</v>
      </c>
      <c r="BI38" s="27" t="e">
        <f>IF($AD38&gt;0,$AD38*$AC$1*$AE$1*(1+$AH$1*(20/$AE$1)/732),$AF$1*W38)</f>
        <v>#VALUE!</v>
      </c>
      <c r="BJ38" s="27"/>
      <c r="BK38" s="27"/>
      <c r="BL38" s="27" t="e">
        <f>+BB38*V38</f>
        <v>#VALUE!</v>
      </c>
      <c r="BM38" s="27" t="e">
        <f>+#REF!*V38</f>
        <v>#REF!</v>
      </c>
      <c r="BN38" s="27" t="e">
        <f>+BG38-BM38</f>
        <v>#REF!</v>
      </c>
      <c r="BO38" s="27" t="e">
        <f>+BH38-BI38</f>
        <v>#VALUE!</v>
      </c>
      <c r="BP38" s="27" t="e">
        <f>+BN38+BO38</f>
        <v>#REF!</v>
      </c>
      <c r="BQ38" s="27">
        <f>+V38</f>
        <v>3</v>
      </c>
      <c r="BR38" s="27" t="e">
        <f>+BB38</f>
        <v>#VALUE!</v>
      </c>
      <c r="BS38" s="27" t="e">
        <f>IF(E38="Bundled",BK38-BI38,AO38-BI38)</f>
        <v>#VALUE!</v>
      </c>
      <c r="BT38" s="27" t="e">
        <f>IF(E38="Bundled",+(BD38-#REF!)*V38,(AM38+AN38)-V38*#REF!)</f>
        <v>#REF!</v>
      </c>
      <c r="BU38" s="27" t="e">
        <f>+BS38+BT38</f>
        <v>#VALUE!</v>
      </c>
      <c r="BV38" s="27" t="e">
        <f t="shared" si="332"/>
        <v>#VALUE!</v>
      </c>
      <c r="BW38" s="27" t="e">
        <f t="shared" si="332"/>
        <v>#REF!</v>
      </c>
      <c r="BX38" s="27" t="e">
        <f t="shared" si="332"/>
        <v>#VALUE!</v>
      </c>
    </row>
    <row r="39" spans="1:79" ht="15" x14ac:dyDescent="0.2">
      <c r="A39" s="240" t="s">
        <v>133</v>
      </c>
      <c r="B39" s="277" t="s">
        <v>219</v>
      </c>
      <c r="C39" s="254" t="s">
        <v>189</v>
      </c>
      <c r="D39" s="255" t="s">
        <v>10</v>
      </c>
      <c r="E39" s="256" t="s">
        <v>51</v>
      </c>
      <c r="F39" s="288" t="s">
        <v>58</v>
      </c>
      <c r="G39" s="32" t="s">
        <v>59</v>
      </c>
      <c r="H39" s="30" t="str">
        <f t="shared" si="333"/>
        <v>U Space</v>
      </c>
      <c r="I39" s="32">
        <v>5</v>
      </c>
      <c r="J39" s="32">
        <v>5</v>
      </c>
      <c r="K39" s="34">
        <f t="shared" si="334"/>
        <v>0</v>
      </c>
      <c r="L39" s="32">
        <v>5</v>
      </c>
      <c r="M39" s="32"/>
      <c r="N39" s="35">
        <f>4166.67/2</f>
        <v>2083.335</v>
      </c>
      <c r="O39" s="36" t="str">
        <f t="shared" si="335"/>
        <v>Rated</v>
      </c>
      <c r="P39" s="37" t="s">
        <v>53</v>
      </c>
      <c r="Q39" s="33">
        <v>1.25</v>
      </c>
      <c r="R39" s="38">
        <v>0.78</v>
      </c>
      <c r="S39" s="39">
        <f t="shared" si="336"/>
        <v>0.47</v>
      </c>
      <c r="T39" s="33"/>
      <c r="U39" s="33">
        <f t="shared" si="337"/>
        <v>0</v>
      </c>
      <c r="V39" s="33">
        <f t="shared" si="338"/>
        <v>0</v>
      </c>
      <c r="W39" s="58">
        <v>0.66</v>
      </c>
      <c r="X39" s="33">
        <f t="shared" ref="X39" si="341">IF((S39*-1)&gt;0, (S39*-1), 0)</f>
        <v>0</v>
      </c>
      <c r="Y39" s="40">
        <f>90000/12</f>
        <v>7500</v>
      </c>
      <c r="Z39" s="41" t="str">
        <f t="shared" si="340"/>
        <v>Bundled</v>
      </c>
      <c r="AA39" s="33"/>
      <c r="AB39" s="33"/>
      <c r="AC39" s="42"/>
      <c r="AD39" s="33"/>
      <c r="AE39" s="43"/>
      <c r="AF39" s="44" t="str">
        <f t="shared" ref="AF39" si="342">IF(AE39="No of Seats","No of Seats",(IF(AE39="Space","Sq Ft","")))</f>
        <v/>
      </c>
      <c r="AG39" s="33"/>
      <c r="AH39" s="33"/>
      <c r="AI39" s="33">
        <f t="shared" ref="AI39" si="343">AG39-AH39</f>
        <v>0</v>
      </c>
      <c r="AJ39" s="33"/>
      <c r="AK39" s="33"/>
      <c r="AL39" s="35"/>
      <c r="AM39" s="45">
        <f t="shared" ref="AM39" si="344">N39*L39</f>
        <v>10416.674999999999</v>
      </c>
      <c r="AN39" s="45">
        <f t="shared" ref="AN39" si="345">Y39*X39</f>
        <v>0</v>
      </c>
      <c r="AO39" s="46">
        <f t="shared" ref="AO39" si="346">AD39*AC39*AA39</f>
        <v>0</v>
      </c>
      <c r="AP39" s="45">
        <f t="shared" ref="AP39" si="347">AL39*AJ39</f>
        <v>0</v>
      </c>
      <c r="AQ39" s="47">
        <f>(8334+1000)</f>
        <v>9334</v>
      </c>
      <c r="AR39" s="48">
        <f t="shared" ref="AR39" si="348">SUBTOTAL(9,AM39:AQ39)</f>
        <v>19750.674999999999</v>
      </c>
      <c r="AS39" s="48"/>
      <c r="AT39" s="55">
        <v>121000328</v>
      </c>
      <c r="AU39" s="56"/>
      <c r="AV39" s="57"/>
      <c r="AW39" s="56"/>
      <c r="AX39" s="157"/>
      <c r="AY39" s="5"/>
      <c r="AZ39" s="25">
        <f t="shared" ref="AZ39" si="349">IF(F39="Rack",AR39/I39,0)+IF(F39="U Space",AR39*40/I39,0)+IF(F39="Space",AR39*30/I39,0)</f>
        <v>158005.4</v>
      </c>
      <c r="BA39" s="25" t="e">
        <f t="shared" ref="BA39" si="350">+AR39/V39</f>
        <v>#DIV/0!</v>
      </c>
      <c r="BB39" s="25">
        <f t="shared" ref="BB39:BC39" si="351">+($AP39+$AQ39+$AR39-BI39)/$Y39</f>
        <v>3.8779566666666665</v>
      </c>
      <c r="BC39" s="25">
        <f t="shared" si="351"/>
        <v>3.8779566666666665</v>
      </c>
      <c r="BD39" s="25">
        <f t="shared" ref="BD39" si="352">+($AP39+$AQ39+IF(E39="Bundled",0,V39*0.85*AA39*AC39*30.5*24)-BK39)/$Y39</f>
        <v>1.2445333333333333</v>
      </c>
      <c r="BE39" s="25"/>
      <c r="BF39" s="26">
        <f t="shared" ref="BF39" si="353">+AM39+AN39+AO39</f>
        <v>10416.674999999999</v>
      </c>
      <c r="BG39" s="26" t="e">
        <f t="shared" ref="BG39" si="354">+BF39-BH39</f>
        <v>#REF!</v>
      </c>
      <c r="BH39" s="26" t="e">
        <f>IF(E39="Bundled",MIN(V39*$AG$1*(1+#REF!),BF39),AO39)</f>
        <v>#REF!</v>
      </c>
      <c r="BI39" s="27">
        <f t="shared" ref="BI39" si="355">IF($AG39&gt;0,$AG39*$AD$1*$AF$1*(1+$AI$1*(20/$AF$1)/732),$AG$1*W39)</f>
        <v>0</v>
      </c>
      <c r="BJ39" s="27">
        <f t="shared" ref="BJ39" si="356">IF($AG39&gt;0,$AG39*$AD$1*$AF$1*(1+$AI$1*(20/$AF$1)/732),+$AG$1*(W39+U39))</f>
        <v>0</v>
      </c>
      <c r="BK39" s="27">
        <f t="shared" ref="BK39" si="357">IF(E39="Bundled",$AG$1*V39,$AG$1*V39*0.85)</f>
        <v>0</v>
      </c>
      <c r="BL39" s="27">
        <f t="shared" ref="BL39" si="358">+BB39*V39</f>
        <v>0</v>
      </c>
      <c r="BM39" s="27" t="e">
        <f>+#REF!*V39</f>
        <v>#REF!</v>
      </c>
      <c r="BN39" s="27" t="e">
        <f t="shared" ref="BN39" si="359">+BG39-BM39</f>
        <v>#REF!</v>
      </c>
      <c r="BO39" s="27" t="e">
        <f t="shared" ref="BO39" si="360">+BH39-BI39</f>
        <v>#REF!</v>
      </c>
      <c r="BP39" s="27" t="e">
        <f t="shared" ref="BP39" si="361">+BN39+BO39</f>
        <v>#REF!</v>
      </c>
      <c r="BQ39" s="27">
        <f t="shared" ref="BQ39" si="362">+V39</f>
        <v>0</v>
      </c>
      <c r="BR39" s="27">
        <f t="shared" ref="BR39" si="363">+BB39</f>
        <v>3.8779566666666665</v>
      </c>
      <c r="BS39" s="27">
        <f t="shared" ref="BS39" si="364">IF(E39="Bundled",BK39-BI39,AO39-BI39)</f>
        <v>0</v>
      </c>
      <c r="BT39" s="27" t="e">
        <f>IF(E39="Bundled",+(BD39-#REF!)*V39,(AM39+AN39)-V39*#REF!)</f>
        <v>#REF!</v>
      </c>
      <c r="BU39" s="27" t="e">
        <f t="shared" ref="BU39" si="365">+BS39+BT39</f>
        <v>#REF!</v>
      </c>
      <c r="BV39" s="27" t="e">
        <f t="shared" ref="BV39:BX39" si="366">+BS39/$BT39</f>
        <v>#REF!</v>
      </c>
      <c r="BW39" s="27" t="e">
        <f t="shared" si="366"/>
        <v>#REF!</v>
      </c>
      <c r="BX39" s="27" t="e">
        <f t="shared" si="366"/>
        <v>#REF!</v>
      </c>
    </row>
    <row r="40" spans="1:79" s="16" customFormat="1" ht="75" x14ac:dyDescent="0.2">
      <c r="A40" s="154" t="s">
        <v>133</v>
      </c>
      <c r="B40" s="275" t="s">
        <v>208</v>
      </c>
      <c r="C40" s="299" t="s">
        <v>181</v>
      </c>
      <c r="D40" s="255" t="s">
        <v>10</v>
      </c>
      <c r="E40" s="256" t="s">
        <v>56</v>
      </c>
      <c r="F40" s="288" t="s">
        <v>7</v>
      </c>
      <c r="G40" s="32" t="s">
        <v>59</v>
      </c>
      <c r="H40" s="30" t="str">
        <f t="shared" ref="H40:H45" si="367">IF(F40="Rack","No of Racks",(IF(F40="Space","Sq Ft","U Space")))</f>
        <v>No of Racks</v>
      </c>
      <c r="I40" s="32">
        <v>6</v>
      </c>
      <c r="J40" s="32">
        <v>6</v>
      </c>
      <c r="K40" s="34">
        <f>I40-J40</f>
        <v>0</v>
      </c>
      <c r="L40" s="32">
        <v>6</v>
      </c>
      <c r="M40" s="32"/>
      <c r="N40" s="35">
        <f>260000/12</f>
        <v>21666.666666666668</v>
      </c>
      <c r="O40" s="36" t="str">
        <f>D40</f>
        <v>Rated</v>
      </c>
      <c r="P40" s="32" t="s">
        <v>53</v>
      </c>
      <c r="Q40" s="33">
        <v>45</v>
      </c>
      <c r="R40" s="38">
        <v>26.34</v>
      </c>
      <c r="S40" s="39">
        <f>Q40-R40</f>
        <v>18.66</v>
      </c>
      <c r="T40" s="33"/>
      <c r="U40" s="33" t="e">
        <f>IF(S40&lt;=0,0,(IF(O40="Rated",(S40+T40)*#REF!,(S40+T40))))</f>
        <v>#REF!</v>
      </c>
      <c r="V40" s="33" t="e">
        <f>IF(O40="Rated",Q40*#REF!,Q40)</f>
        <v>#REF!</v>
      </c>
      <c r="W40" s="58">
        <f>AD40/31/24</f>
        <v>5.3492473118279564</v>
      </c>
      <c r="X40" s="33">
        <f>IF((S40*-1)&gt;0, (S40*-1), 0)</f>
        <v>0</v>
      </c>
      <c r="Y40" s="40">
        <v>0</v>
      </c>
      <c r="Z40" s="41" t="str">
        <f>E40</f>
        <v>Metered</v>
      </c>
      <c r="AA40" s="33">
        <v>1</v>
      </c>
      <c r="AB40" s="33" t="s">
        <v>60</v>
      </c>
      <c r="AC40" s="128">
        <v>14.516</v>
      </c>
      <c r="AD40" s="33">
        <v>3979.84</v>
      </c>
      <c r="AE40" s="43" t="s">
        <v>54</v>
      </c>
      <c r="AF40" s="44" t="str">
        <f>IF(AE40="No of Seats","No of Seats",(IF(AE40="Space","Sq Ft","")))</f>
        <v>No of Seats</v>
      </c>
      <c r="AG40" s="33">
        <v>1</v>
      </c>
      <c r="AH40" s="33">
        <v>1</v>
      </c>
      <c r="AI40" s="33">
        <f>AG40-AH40</f>
        <v>0</v>
      </c>
      <c r="AJ40" s="33">
        <v>1</v>
      </c>
      <c r="AK40" s="33"/>
      <c r="AL40" s="35">
        <f>100000/12</f>
        <v>8333.3333333333339</v>
      </c>
      <c r="AM40" s="45">
        <f>N40*L40</f>
        <v>130000</v>
      </c>
      <c r="AN40" s="45">
        <f>Y40*X40</f>
        <v>0</v>
      </c>
      <c r="AO40" s="46">
        <f>AD40*AC40*AA40</f>
        <v>57771.35744</v>
      </c>
      <c r="AP40" s="45">
        <f>AL40*AJ40</f>
        <v>8333.3333333333339</v>
      </c>
      <c r="AQ40" s="47"/>
      <c r="AR40" s="48">
        <f>SUBTOTAL(9,AM40:AQ40)</f>
        <v>196104.69077333334</v>
      </c>
      <c r="AS40" s="48"/>
      <c r="AT40" s="60">
        <v>721005172</v>
      </c>
      <c r="AU40" s="61"/>
      <c r="AV40" s="62"/>
      <c r="AW40" s="61"/>
      <c r="AX40" s="81"/>
      <c r="AZ40" s="25">
        <f>IF(F40="Rack",AR40/I40,0)+IF(F40="U Space",AR40*40/I40,0)+IF(F40="Space",AR40*30/I40,0)</f>
        <v>32684.11512888889</v>
      </c>
      <c r="BA40" s="25" t="e">
        <f>+AR40/V40</f>
        <v>#REF!</v>
      </c>
      <c r="BB40" s="25" t="e">
        <f t="shared" ref="BB40:BC42" si="368">+($AM40+$AN40+$AO40-BI40)/$V40</f>
        <v>#REF!</v>
      </c>
      <c r="BC40" s="25" t="e">
        <f t="shared" si="368"/>
        <v>#REF!</v>
      </c>
      <c r="BD40" s="25" t="e">
        <f>+($AM40+$AN40+IF(E40="Bundled",0,V40*0.85*AA40*AC40*30.5*24)-BK40)/$V40</f>
        <v>#REF!</v>
      </c>
      <c r="BE40" s="25"/>
      <c r="BF40" s="26">
        <f>+AM40+AN40+AO40</f>
        <v>187771.35743999999</v>
      </c>
      <c r="BG40" s="26">
        <f>+BF40-BH40</f>
        <v>130000</v>
      </c>
      <c r="BH40" s="26">
        <f>IF(E40="Bundled",MIN(V40*#REF!*(1+#REF!),BF40),AO40)</f>
        <v>57771.35744</v>
      </c>
      <c r="BI40" s="27" t="e">
        <f>IF($AD40&gt;0,$AD40*#REF!*#REF!*(1+#REF!*(20/#REF!)/732),#REF!*W40)</f>
        <v>#REF!</v>
      </c>
      <c r="BJ40" s="27" t="e">
        <f>IF($AD40&gt;0,$AD40*#REF!*#REF!*(1+#REF!*(20/#REF!)/732),+#REF!*(W40+U40))</f>
        <v>#REF!</v>
      </c>
      <c r="BK40" s="27" t="e">
        <f>IF(E40="Bundled",#REF!*V40,#REF!*V40*0.85)</f>
        <v>#REF!</v>
      </c>
      <c r="BL40" s="27" t="e">
        <f>+BB40*V40</f>
        <v>#REF!</v>
      </c>
      <c r="BM40" s="27" t="e">
        <f>+#REF!*V40</f>
        <v>#REF!</v>
      </c>
      <c r="BN40" s="27" t="e">
        <f>+BG40-BM40</f>
        <v>#REF!</v>
      </c>
      <c r="BO40" s="27" t="e">
        <f>+BH40-BI40</f>
        <v>#REF!</v>
      </c>
      <c r="BP40" s="27" t="e">
        <f>+BN40+BO40</f>
        <v>#REF!</v>
      </c>
      <c r="BQ40" s="27" t="e">
        <f>+V40</f>
        <v>#REF!</v>
      </c>
      <c r="BR40" s="27" t="e">
        <f>+BB40</f>
        <v>#REF!</v>
      </c>
      <c r="BS40" s="27" t="e">
        <f>IF(E40="Bundled",BK40-BI40,AO40-BI40)</f>
        <v>#REF!</v>
      </c>
      <c r="BT40" s="27" t="e">
        <f>IF(E40="Bundled",+(BD40-#REF!)*V40,(AM40+AN40)-V40*#REF!)</f>
        <v>#REF!</v>
      </c>
      <c r="BU40" s="27" t="e">
        <f>+BS40+BT40</f>
        <v>#REF!</v>
      </c>
      <c r="BV40" s="27" t="e">
        <f t="shared" ref="BV40:BX42" si="369">+BS40/$BQ40</f>
        <v>#REF!</v>
      </c>
      <c r="BW40" s="27" t="e">
        <f t="shared" si="369"/>
        <v>#REF!</v>
      </c>
      <c r="BX40" s="27" t="e">
        <f t="shared" si="369"/>
        <v>#REF!</v>
      </c>
    </row>
    <row r="41" spans="1:79" s="16" customFormat="1" ht="45" x14ac:dyDescent="0.2">
      <c r="A41" s="154" t="s">
        <v>133</v>
      </c>
      <c r="B41" s="275" t="s">
        <v>209</v>
      </c>
      <c r="C41" s="299" t="s">
        <v>181</v>
      </c>
      <c r="D41" s="255" t="s">
        <v>10</v>
      </c>
      <c r="E41" s="256" t="s">
        <v>56</v>
      </c>
      <c r="F41" s="288" t="s">
        <v>7</v>
      </c>
      <c r="G41" s="32" t="s">
        <v>59</v>
      </c>
      <c r="H41" s="30" t="str">
        <f t="shared" si="367"/>
        <v>No of Racks</v>
      </c>
      <c r="I41" s="32">
        <v>1</v>
      </c>
      <c r="J41" s="32">
        <v>1</v>
      </c>
      <c r="K41" s="34">
        <f>I41-J41</f>
        <v>0</v>
      </c>
      <c r="L41" s="32">
        <v>1</v>
      </c>
      <c r="M41" s="32"/>
      <c r="N41" s="35">
        <f>260000/12</f>
        <v>21666.666666666668</v>
      </c>
      <c r="O41" s="36" t="str">
        <f>D41</f>
        <v>Rated</v>
      </c>
      <c r="P41" s="32" t="s">
        <v>53</v>
      </c>
      <c r="Q41" s="33">
        <v>3</v>
      </c>
      <c r="R41" s="38">
        <v>8.32</v>
      </c>
      <c r="S41" s="39">
        <f>Q41-R41</f>
        <v>-5.32</v>
      </c>
      <c r="T41" s="33"/>
      <c r="U41" s="33">
        <f>IF(S41&lt;=0,0,(IF(O41="Rated",(S41+T41)*#REF!,(S41+T41))))</f>
        <v>0</v>
      </c>
      <c r="V41" s="33" t="e">
        <f>IF(O41="Rated",Q41*#REF!,Q41)</f>
        <v>#REF!</v>
      </c>
      <c r="W41" s="58">
        <f>AD41/31/24</f>
        <v>0.19745967741935486</v>
      </c>
      <c r="X41" s="33">
        <f>IF((S41*-1)&gt;0, (S41*-1), 0)</f>
        <v>5.32</v>
      </c>
      <c r="Y41" s="40">
        <v>0</v>
      </c>
      <c r="Z41" s="41" t="str">
        <f>E41</f>
        <v>Metered</v>
      </c>
      <c r="AA41" s="33">
        <v>1</v>
      </c>
      <c r="AB41" s="33" t="s">
        <v>60</v>
      </c>
      <c r="AC41" s="128">
        <v>14.516</v>
      </c>
      <c r="AD41" s="33">
        <v>146.91</v>
      </c>
      <c r="AE41" s="43"/>
      <c r="AF41" s="44" t="str">
        <f>IF(AE41="No of Seats","No of Seats",(IF(AE41="Space","Sq Ft","")))</f>
        <v/>
      </c>
      <c r="AG41" s="33"/>
      <c r="AH41" s="33"/>
      <c r="AI41" s="33">
        <f>AG41-AH41</f>
        <v>0</v>
      </c>
      <c r="AJ41" s="32"/>
      <c r="AK41" s="33"/>
      <c r="AL41" s="35"/>
      <c r="AM41" s="45">
        <f>N41*L41</f>
        <v>21666.666666666668</v>
      </c>
      <c r="AN41" s="45">
        <f>Y41*X41</f>
        <v>0</v>
      </c>
      <c r="AO41" s="46">
        <f>AD41*AC41*AA41</f>
        <v>2132.54556</v>
      </c>
      <c r="AP41" s="45">
        <f>AL41*AJ41</f>
        <v>0</v>
      </c>
      <c r="AQ41" s="47"/>
      <c r="AR41" s="48">
        <f>SUBTOTAL(9,AM41:AQ41)</f>
        <v>23799.212226666667</v>
      </c>
      <c r="AS41" s="48"/>
      <c r="AT41" s="60">
        <v>121001567</v>
      </c>
      <c r="AU41" s="61"/>
      <c r="AV41" s="62"/>
      <c r="AW41" s="61"/>
      <c r="AX41" s="81"/>
      <c r="AZ41" s="25">
        <f>IF(F41="Rack",AR41/I41,0)+IF(F41="U Space",AR41*40/I41,0)+IF(F41="Space",AR41*30/I41,0)</f>
        <v>23799.212226666667</v>
      </c>
      <c r="BA41" s="25" t="e">
        <f>+AR41/V41</f>
        <v>#REF!</v>
      </c>
      <c r="BB41" s="25" t="e">
        <f t="shared" si="368"/>
        <v>#REF!</v>
      </c>
      <c r="BC41" s="25" t="e">
        <f t="shared" si="368"/>
        <v>#REF!</v>
      </c>
      <c r="BD41" s="25" t="e">
        <f>+($AM41+$AN41+IF(E41="Bundled",0,V41*0.85*AA41*AC41*30.5*24)-BK41)/$V41</f>
        <v>#REF!</v>
      </c>
      <c r="BE41" s="25"/>
      <c r="BF41" s="26">
        <f>+AM41+AN41+AO41</f>
        <v>23799.212226666667</v>
      </c>
      <c r="BG41" s="26">
        <f>+BF41-BH41</f>
        <v>21666.666666666668</v>
      </c>
      <c r="BH41" s="26">
        <f>IF(E41="Bundled",MIN(V41*#REF!*(1+#REF!),BF41),AO41)</f>
        <v>2132.54556</v>
      </c>
      <c r="BI41" s="27" t="e">
        <f>IF($AD41&gt;0,$AD41*#REF!*#REF!*(1+#REF!*(20/#REF!)/732),#REF!*W41)</f>
        <v>#REF!</v>
      </c>
      <c r="BJ41" s="27" t="e">
        <f>IF($AD41&gt;0,$AD41*#REF!*#REF!*(1+#REF!*(20/#REF!)/732),+#REF!*(W41+U41))</f>
        <v>#REF!</v>
      </c>
      <c r="BK41" s="27" t="e">
        <f>IF(E41="Bundled",#REF!*V41,#REF!*V41*0.85)</f>
        <v>#REF!</v>
      </c>
      <c r="BL41" s="27" t="e">
        <f>+BB41*V41</f>
        <v>#REF!</v>
      </c>
      <c r="BM41" s="27" t="e">
        <f>+#REF!*V41</f>
        <v>#REF!</v>
      </c>
      <c r="BN41" s="27" t="e">
        <f>+BG41-BM41</f>
        <v>#REF!</v>
      </c>
      <c r="BO41" s="27" t="e">
        <f>+BH41-BI41</f>
        <v>#REF!</v>
      </c>
      <c r="BP41" s="27" t="e">
        <f>+BN41+BO41</f>
        <v>#REF!</v>
      </c>
      <c r="BQ41" s="27" t="e">
        <f>+V41</f>
        <v>#REF!</v>
      </c>
      <c r="BR41" s="27" t="e">
        <f>+BB41</f>
        <v>#REF!</v>
      </c>
      <c r="BS41" s="27" t="e">
        <f>IF(E41="Bundled",BK41-BI41,AO41-BI41)</f>
        <v>#REF!</v>
      </c>
      <c r="BT41" s="27" t="e">
        <f>IF(E41="Bundled",+(BD41-#REF!)*V41,(AM41+AN41)-V41*#REF!)</f>
        <v>#REF!</v>
      </c>
      <c r="BU41" s="27" t="e">
        <f>+BS41+BT41</f>
        <v>#REF!</v>
      </c>
      <c r="BV41" s="27" t="e">
        <f t="shared" si="369"/>
        <v>#REF!</v>
      </c>
      <c r="BW41" s="27" t="e">
        <f t="shared" si="369"/>
        <v>#REF!</v>
      </c>
      <c r="BX41" s="27" t="e">
        <f t="shared" si="369"/>
        <v>#REF!</v>
      </c>
    </row>
    <row r="42" spans="1:79" s="16" customFormat="1" ht="90" x14ac:dyDescent="0.2">
      <c r="A42" s="158" t="s">
        <v>133</v>
      </c>
      <c r="B42" s="275" t="s">
        <v>120</v>
      </c>
      <c r="C42" s="299" t="s">
        <v>181</v>
      </c>
      <c r="D42" s="255" t="s">
        <v>10</v>
      </c>
      <c r="E42" s="256" t="s">
        <v>56</v>
      </c>
      <c r="F42" s="288" t="s">
        <v>7</v>
      </c>
      <c r="G42" s="32" t="s">
        <v>59</v>
      </c>
      <c r="H42" s="30" t="str">
        <f t="shared" si="367"/>
        <v>No of Racks</v>
      </c>
      <c r="I42" s="32">
        <v>6</v>
      </c>
      <c r="J42" s="32">
        <v>6</v>
      </c>
      <c r="K42" s="34">
        <f>I42-J42</f>
        <v>0</v>
      </c>
      <c r="L42" s="32">
        <v>6</v>
      </c>
      <c r="M42" s="32"/>
      <c r="N42" s="35">
        <f>260000/12</f>
        <v>21666.666666666668</v>
      </c>
      <c r="O42" s="36" t="str">
        <f>D42</f>
        <v>Rated</v>
      </c>
      <c r="P42" s="32" t="s">
        <v>53</v>
      </c>
      <c r="Q42" s="33">
        <v>50</v>
      </c>
      <c r="R42" s="38">
        <v>43.1</v>
      </c>
      <c r="S42" s="39">
        <f>Q42-R42</f>
        <v>6.8999999999999986</v>
      </c>
      <c r="T42" s="33"/>
      <c r="U42" s="33" t="e">
        <f>IF(S42&lt;=0,0,(IF(O42="Rated",(S42+T42)*#REF!,(S42+T42))))</f>
        <v>#REF!</v>
      </c>
      <c r="V42" s="33" t="e">
        <f>IF(O42="Rated",Q42*#REF!,Q42)</f>
        <v>#REF!</v>
      </c>
      <c r="W42" s="58">
        <f>AD42/31/24</f>
        <v>3.2056854838709676</v>
      </c>
      <c r="X42" s="33">
        <f>IF((S42*-1)&gt;0, (S42*-1), 0)</f>
        <v>0</v>
      </c>
      <c r="Y42" s="40">
        <v>0</v>
      </c>
      <c r="Z42" s="41" t="str">
        <f>E42</f>
        <v>Metered</v>
      </c>
      <c r="AA42" s="33">
        <v>1</v>
      </c>
      <c r="AB42" s="33" t="s">
        <v>60</v>
      </c>
      <c r="AC42" s="128">
        <v>14.516</v>
      </c>
      <c r="AD42" s="33">
        <v>2385.0300000000002</v>
      </c>
      <c r="AE42" s="43" t="s">
        <v>54</v>
      </c>
      <c r="AF42" s="44" t="str">
        <f>IF(AE42="No of Seats","No of Seats",(IF(AE42="Space","Sq Ft","")))</f>
        <v>No of Seats</v>
      </c>
      <c r="AG42" s="33">
        <v>1</v>
      </c>
      <c r="AH42" s="33">
        <v>1</v>
      </c>
      <c r="AI42" s="33">
        <f>AG42-AH42</f>
        <v>0</v>
      </c>
      <c r="AJ42" s="33">
        <v>1</v>
      </c>
      <c r="AK42" s="33"/>
      <c r="AL42" s="35">
        <f>100000/12</f>
        <v>8333.3333333333339</v>
      </c>
      <c r="AM42" s="45">
        <f>N42*L42</f>
        <v>130000</v>
      </c>
      <c r="AN42" s="45">
        <f>Y42*X42</f>
        <v>0</v>
      </c>
      <c r="AO42" s="46">
        <f>AD42*AC42*AA42</f>
        <v>34621.095480000004</v>
      </c>
      <c r="AP42" s="45">
        <f>AL42*AJ42</f>
        <v>8333.3333333333339</v>
      </c>
      <c r="AQ42" s="47">
        <v>0</v>
      </c>
      <c r="AR42" s="48">
        <f>SUBTOTAL(9,AM42:AQ42)</f>
        <v>172954.42881333336</v>
      </c>
      <c r="AS42" s="48"/>
      <c r="AT42" s="60" t="s">
        <v>62</v>
      </c>
      <c r="AU42" s="61"/>
      <c r="AV42" s="62"/>
      <c r="AW42" s="61"/>
      <c r="AX42" s="81"/>
      <c r="AZ42" s="25">
        <f>IF(F42="Rack",AR42/I42,0)+IF(F42="U Space",AR42*40/I42,0)+IF(F42="Space",AR42*30/I42,0)</f>
        <v>28825.738135555559</v>
      </c>
      <c r="BA42" s="25" t="e">
        <f>+AR42/V42</f>
        <v>#REF!</v>
      </c>
      <c r="BB42" s="25" t="e">
        <f t="shared" si="368"/>
        <v>#REF!</v>
      </c>
      <c r="BC42" s="25" t="e">
        <f t="shared" si="368"/>
        <v>#REF!</v>
      </c>
      <c r="BD42" s="25" t="e">
        <f>+($AM42+$AN42+IF(E42="Bundled",0,V42*0.85*AA42*AC42*30.5*24)-BK42)/$V42</f>
        <v>#REF!</v>
      </c>
      <c r="BE42" s="25"/>
      <c r="BF42" s="26">
        <f>+AM42+AN42+AO42</f>
        <v>164621.09548000002</v>
      </c>
      <c r="BG42" s="26">
        <f>+BF42-BH42</f>
        <v>130000.00000000001</v>
      </c>
      <c r="BH42" s="26">
        <f>IF(E42="Bundled",MIN(V42*#REF!*(1+#REF!),BF42),AO42)</f>
        <v>34621.095480000004</v>
      </c>
      <c r="BI42" s="27" t="e">
        <f>IF($AD42&gt;0,$AD42*#REF!*#REF!*(1+#REF!*(20/#REF!)/732),#REF!*W42)</f>
        <v>#REF!</v>
      </c>
      <c r="BJ42" s="27" t="e">
        <f>IF($AD42&gt;0,$AD42*#REF!*#REF!*(1+#REF!*(20/#REF!)/732),+#REF!*(W42+U42))</f>
        <v>#REF!</v>
      </c>
      <c r="BK42" s="27" t="e">
        <f>IF(E42="Bundled",#REF!*V42,#REF!*V42*0.85)</f>
        <v>#REF!</v>
      </c>
      <c r="BL42" s="27" t="e">
        <f>+BB42*V42</f>
        <v>#REF!</v>
      </c>
      <c r="BM42" s="27" t="e">
        <f>+#REF!*V42</f>
        <v>#REF!</v>
      </c>
      <c r="BN42" s="27" t="e">
        <f>+BG42-BM42</f>
        <v>#REF!</v>
      </c>
      <c r="BO42" s="27" t="e">
        <f>+BH42-BI42</f>
        <v>#REF!</v>
      </c>
      <c r="BP42" s="27" t="e">
        <f>+BN42+BO42</f>
        <v>#REF!</v>
      </c>
      <c r="BQ42" s="27" t="e">
        <f>+V42</f>
        <v>#REF!</v>
      </c>
      <c r="BR42" s="27" t="e">
        <f>+BB42</f>
        <v>#REF!</v>
      </c>
      <c r="BS42" s="27" t="e">
        <f>IF(E42="Bundled",BK42-BI42,AO42-BI42)</f>
        <v>#REF!</v>
      </c>
      <c r="BT42" s="27" t="e">
        <f>IF(E42="Bundled",+(BD42-#REF!)*V42,(AM42+AN42)-V42*#REF!)</f>
        <v>#REF!</v>
      </c>
      <c r="BU42" s="27" t="e">
        <f>+BS42+BT42</f>
        <v>#REF!</v>
      </c>
      <c r="BV42" s="27" t="e">
        <f t="shared" si="369"/>
        <v>#REF!</v>
      </c>
      <c r="BW42" s="27" t="e">
        <f t="shared" si="369"/>
        <v>#REF!</v>
      </c>
      <c r="BX42" s="27" t="e">
        <f t="shared" si="369"/>
        <v>#REF!</v>
      </c>
    </row>
    <row r="43" spans="1:79" s="5" customFormat="1" ht="45" x14ac:dyDescent="0.2">
      <c r="A43" s="154" t="s">
        <v>133</v>
      </c>
      <c r="B43" s="275" t="s">
        <v>116</v>
      </c>
      <c r="C43" s="254" t="s">
        <v>188</v>
      </c>
      <c r="D43" s="255" t="s">
        <v>10</v>
      </c>
      <c r="E43" s="256" t="s">
        <v>51</v>
      </c>
      <c r="F43" s="288" t="s">
        <v>7</v>
      </c>
      <c r="G43" s="32" t="s">
        <v>59</v>
      </c>
      <c r="H43" s="30" t="str">
        <f t="shared" si="367"/>
        <v>No of Racks</v>
      </c>
      <c r="I43" s="32">
        <v>1</v>
      </c>
      <c r="J43" s="32">
        <v>1</v>
      </c>
      <c r="K43" s="34">
        <v>0</v>
      </c>
      <c r="L43" s="32">
        <v>1</v>
      </c>
      <c r="M43" s="42"/>
      <c r="N43" s="127">
        <f>((860000+550000+200000)/3)/12</f>
        <v>44722.222222222219</v>
      </c>
      <c r="O43" s="36" t="str">
        <f t="shared" ref="O43" si="370">D43</f>
        <v>Rated</v>
      </c>
      <c r="P43" s="32" t="s">
        <v>53</v>
      </c>
      <c r="Q43" s="33">
        <v>6</v>
      </c>
      <c r="R43" s="38">
        <v>6</v>
      </c>
      <c r="S43" s="39">
        <f t="shared" ref="S43" si="371">Q43-R43</f>
        <v>0</v>
      </c>
      <c r="T43" s="33"/>
      <c r="U43" s="33">
        <f t="shared" ref="U43" si="372">IF(S43&lt;=0,0,(IF(O43="Rated",(S43+T43)*$X$1,(S43+T43))))</f>
        <v>0</v>
      </c>
      <c r="V43" s="33" t="e">
        <f t="shared" ref="V43" si="373">IF(O43="Rated",Q43*$X$1,Q43)</f>
        <v>#REF!</v>
      </c>
      <c r="W43" s="58">
        <v>1.87</v>
      </c>
      <c r="X43" s="33">
        <f t="shared" ref="X43" si="374">IF((S43*-1)&gt;0, (S43*-1), 0)</f>
        <v>0</v>
      </c>
      <c r="Y43" s="40">
        <f>90000/12</f>
        <v>7500</v>
      </c>
      <c r="Z43" s="41" t="str">
        <f t="shared" ref="Z43" si="375">E43</f>
        <v>Bundled</v>
      </c>
      <c r="AA43" s="33"/>
      <c r="AB43" s="33"/>
      <c r="AC43" s="42"/>
      <c r="AD43" s="33"/>
      <c r="AE43" s="43"/>
      <c r="AF43" s="44" t="str">
        <f t="shared" ref="AF43" si="376">IF(AE43="No of Seats","No of Seats",(IF(AE43="Space","Sq Ft","")))</f>
        <v/>
      </c>
      <c r="AG43" s="33"/>
      <c r="AH43" s="33"/>
      <c r="AI43" s="33">
        <f t="shared" ref="AI43" si="377">AG43-AH43</f>
        <v>0</v>
      </c>
      <c r="AJ43" s="33"/>
      <c r="AK43" s="33"/>
      <c r="AL43" s="35"/>
      <c r="AM43" s="45">
        <f t="shared" ref="AM43" si="378">N43*L43</f>
        <v>44722.222222222219</v>
      </c>
      <c r="AN43" s="45">
        <f t="shared" ref="AN43" si="379">Y43*X43</f>
        <v>0</v>
      </c>
      <c r="AO43" s="46">
        <f t="shared" ref="AO43" si="380">AD43*AC43*AA43</f>
        <v>0</v>
      </c>
      <c r="AP43" s="45">
        <f t="shared" ref="AP43" si="381">AL43*AJ43</f>
        <v>0</v>
      </c>
      <c r="AQ43" s="47">
        <f>(20000+200000+50000+5000)/12</f>
        <v>22916.666666666668</v>
      </c>
      <c r="AR43" s="48">
        <f t="shared" ref="AR43" si="382">SUBTOTAL(9,AM43:AQ43)</f>
        <v>67638.888888888891</v>
      </c>
      <c r="AS43" s="48"/>
      <c r="AT43" s="125" t="s">
        <v>88</v>
      </c>
      <c r="AU43" s="56"/>
      <c r="AV43" s="57"/>
      <c r="AW43" s="56"/>
      <c r="AX43" s="155"/>
      <c r="AZ43" s="25">
        <f t="shared" ref="AZ43" si="383">IF(F43="Rack",AR43/I43,0)+IF(F43="U Space",AR43*40/I43,0)+IF(F43="Space",AR43*30/I43,0)</f>
        <v>67638.888888888891</v>
      </c>
      <c r="BA43" s="25" t="e">
        <f t="shared" ref="BA43" si="384">+AR43/V43</f>
        <v>#REF!</v>
      </c>
      <c r="BB43" s="25" t="e">
        <f>+($AM43+$AN43+$AO43-BI43)/$V43</f>
        <v>#REF!</v>
      </c>
      <c r="BC43" s="25" t="e">
        <f>+($AM43+$AN43+$AO43-BJ43)/$V43</f>
        <v>#REF!</v>
      </c>
      <c r="BD43" s="25" t="e">
        <f>+($AM43+$AN43+IF(E43="Bundled",0,V43*0.85*AA43*AC43*30.5*24)-BK43)/$V43</f>
        <v>#REF!</v>
      </c>
      <c r="BE43" s="25"/>
      <c r="BF43" s="26">
        <f t="shared" ref="BF43" si="385">+AM43+AN43+AO43</f>
        <v>44722.222222222219</v>
      </c>
      <c r="BG43" s="26" t="e">
        <f t="shared" ref="BG43" si="386">+BF43-BH43</f>
        <v>#REF!</v>
      </c>
      <c r="BH43" s="26" t="e">
        <f>IF(E43="Bundled",MIN(V43*$AG$1*(1+#REF!),BF43),AO43)</f>
        <v>#REF!</v>
      </c>
      <c r="BI43" s="27">
        <f>IF($AD43&gt;0,$AD43*$AD$1*$AF$1*(1+$AI$1*(20/$AF$1)/732),$AG$1*W43)</f>
        <v>0</v>
      </c>
      <c r="BJ43" s="27">
        <f>IF($AD43&gt;0,$AD43*$AD$1*$AF$1*(1+$AI$1*(20/$AF$1)/732),+$AG$1*(W43+U43))</f>
        <v>0</v>
      </c>
      <c r="BK43" s="27" t="e">
        <f t="shared" ref="BK43" si="387">IF(E43="Bundled",$AG$1*V43,$AG$1*V43*0.85)</f>
        <v>#REF!</v>
      </c>
      <c r="BL43" s="27" t="e">
        <f t="shared" ref="BL43" si="388">+BB43*V43</f>
        <v>#REF!</v>
      </c>
      <c r="BM43" s="27" t="e">
        <f>+#REF!*V43</f>
        <v>#REF!</v>
      </c>
      <c r="BN43" s="27" t="e">
        <f t="shared" ref="BN43" si="389">+BG43-BM43</f>
        <v>#REF!</v>
      </c>
      <c r="BO43" s="27" t="e">
        <f t="shared" ref="BO43" si="390">+BH43-BI43</f>
        <v>#REF!</v>
      </c>
      <c r="BP43" s="27" t="e">
        <f t="shared" ref="BP43" si="391">+BN43+BO43</f>
        <v>#REF!</v>
      </c>
      <c r="BQ43" s="27" t="e">
        <f t="shared" ref="BQ43" si="392">+V43</f>
        <v>#REF!</v>
      </c>
      <c r="BR43" s="27" t="e">
        <f t="shared" ref="BR43" si="393">+BB43</f>
        <v>#REF!</v>
      </c>
      <c r="BS43" s="27" t="e">
        <f t="shared" ref="BS43" si="394">IF(E43="Bundled",BK43-BI43,AO43-BI43)</f>
        <v>#REF!</v>
      </c>
      <c r="BT43" s="27" t="e">
        <f>IF(E43="Bundled",+(BD43-#REF!)*V43,(AM43+AN43)-V43*#REF!)</f>
        <v>#REF!</v>
      </c>
      <c r="BU43" s="27" t="e">
        <f t="shared" ref="BU43" si="395">+BS43+BT43</f>
        <v>#REF!</v>
      </c>
      <c r="BV43" s="27" t="e">
        <f t="shared" ref="BV43:BX44" si="396">+BS43/$BQ43</f>
        <v>#REF!</v>
      </c>
      <c r="BW43" s="27" t="e">
        <f t="shared" si="396"/>
        <v>#REF!</v>
      </c>
      <c r="BX43" s="27" t="e">
        <f t="shared" si="396"/>
        <v>#REF!</v>
      </c>
    </row>
    <row r="44" spans="1:79" s="16" customFormat="1" ht="30" x14ac:dyDescent="0.2">
      <c r="A44" s="158" t="s">
        <v>133</v>
      </c>
      <c r="B44" s="31" t="s">
        <v>118</v>
      </c>
      <c r="C44" s="214" t="s">
        <v>192</v>
      </c>
      <c r="D44" s="32" t="s">
        <v>10</v>
      </c>
      <c r="E44" s="33" t="s">
        <v>51</v>
      </c>
      <c r="F44" s="32" t="s">
        <v>7</v>
      </c>
      <c r="G44" s="32" t="s">
        <v>59</v>
      </c>
      <c r="H44" s="30" t="str">
        <f t="shared" si="367"/>
        <v>No of Racks</v>
      </c>
      <c r="I44" s="32">
        <v>2</v>
      </c>
      <c r="J44" s="32">
        <v>2</v>
      </c>
      <c r="K44" s="34">
        <f>I44-J44</f>
        <v>0</v>
      </c>
      <c r="L44" s="32">
        <v>2</v>
      </c>
      <c r="M44" s="32"/>
      <c r="N44" s="124">
        <f>600000/12</f>
        <v>50000</v>
      </c>
      <c r="O44" s="36" t="str">
        <f>D44</f>
        <v>Rated</v>
      </c>
      <c r="P44" s="32" t="s">
        <v>53</v>
      </c>
      <c r="Q44" s="33">
        <v>6</v>
      </c>
      <c r="R44" s="38">
        <v>4.68</v>
      </c>
      <c r="S44" s="39">
        <f>Q44-R44</f>
        <v>1.3200000000000003</v>
      </c>
      <c r="T44" s="33"/>
      <c r="U44" s="33" t="e">
        <f>IF(S44&lt;=0,0,(IF(O44="Rated",(S44+T44)*#REF!,(S44+T44))))</f>
        <v>#REF!</v>
      </c>
      <c r="V44" s="33" t="e">
        <f>IF(O44="Rated",Q44*#REF!,Q44)</f>
        <v>#REF!</v>
      </c>
      <c r="W44" s="58">
        <v>0.93</v>
      </c>
      <c r="X44" s="33">
        <f>IF((S44*-1)&gt;0, (S44*-1), 0)</f>
        <v>0</v>
      </c>
      <c r="Y44" s="40">
        <f>98000/12</f>
        <v>8166.666666666667</v>
      </c>
      <c r="Z44" s="41" t="str">
        <f>E44</f>
        <v>Bundled</v>
      </c>
      <c r="AA44" s="33"/>
      <c r="AB44" s="33"/>
      <c r="AC44" s="42"/>
      <c r="AD44" s="33"/>
      <c r="AE44" s="43"/>
      <c r="AF44" s="44" t="str">
        <f>IF(AE44="No of Seats","No of Seats",(IF(AE44="Space","Sq Ft","")))</f>
        <v/>
      </c>
      <c r="AG44" s="33"/>
      <c r="AH44" s="33"/>
      <c r="AI44" s="33">
        <f>AG44-AH44</f>
        <v>0</v>
      </c>
      <c r="AJ44" s="33"/>
      <c r="AK44" s="33"/>
      <c r="AL44" s="35"/>
      <c r="AM44" s="45">
        <f>N44*L44</f>
        <v>100000</v>
      </c>
      <c r="AN44" s="45">
        <f>Y44*X44</f>
        <v>0</v>
      </c>
      <c r="AO44" s="46">
        <f>AD44*AC44*AA44</f>
        <v>0</v>
      </c>
      <c r="AP44" s="45">
        <f>AL44*AJ44</f>
        <v>0</v>
      </c>
      <c r="AQ44" s="47">
        <f>(120000)/12</f>
        <v>10000</v>
      </c>
      <c r="AR44" s="48">
        <f>SUBTOTAL(9,AM44:AQ44)</f>
        <v>110000</v>
      </c>
      <c r="AS44" s="48"/>
      <c r="AT44" s="60">
        <v>721005561</v>
      </c>
      <c r="AU44" s="61"/>
      <c r="AV44" s="62"/>
      <c r="AW44" s="61"/>
      <c r="AX44" s="81"/>
      <c r="AY44" s="5"/>
      <c r="AZ44" s="28">
        <f>IF(F44="Rack",AR44/I44,0)+IF(F44="U Space",AR44*40/I44,0)+IF(F44="Space",AR44*30/I44,0)</f>
        <v>55000</v>
      </c>
      <c r="BA44" s="28" t="e">
        <f>+AR44/V44</f>
        <v>#REF!</v>
      </c>
      <c r="BB44" s="25" t="e">
        <f>+($AM44+$AN44+$AO44-BI44)/$V44</f>
        <v>#REF!</v>
      </c>
      <c r="BC44" s="25" t="e">
        <f>+($AM44+$AN44+$AO44-BJ44)/$V44</f>
        <v>#REF!</v>
      </c>
      <c r="BD44" s="25" t="e">
        <f>+($AM44+$AN44+IF(E44="Bundled",0,V44*0.85*AA44*AC44*30.5*24)-BK44)/$V44</f>
        <v>#REF!</v>
      </c>
      <c r="BE44" s="28"/>
      <c r="BF44" s="26">
        <f>+AM44+AN44+AO44</f>
        <v>100000</v>
      </c>
      <c r="BG44" s="26" t="e">
        <f>+BF44-BH44</f>
        <v>#REF!</v>
      </c>
      <c r="BH44" s="26" t="e">
        <f>IF(E44="Bundled",MIN(V44*#REF!*(1+#REF!),BF44),AO44)</f>
        <v>#REF!</v>
      </c>
      <c r="BI44" s="27" t="e">
        <f>IF($AD44&gt;0,$AD44*#REF!*#REF!*(1+#REF!*(20/#REF!)/732),#REF!*W44)</f>
        <v>#REF!</v>
      </c>
      <c r="BJ44" s="27" t="e">
        <f>IF($AD44&gt;0,$AD44*#REF!*#REF!*(1+#REF!*(20/#REF!)/732),+#REF!*(W44+U44))</f>
        <v>#REF!</v>
      </c>
      <c r="BK44" s="27" t="e">
        <f>IF(E44="Bundled",#REF!*V44,#REF!*V44*0.85)</f>
        <v>#REF!</v>
      </c>
      <c r="BL44" s="27" t="e">
        <f>+BB44*V44</f>
        <v>#REF!</v>
      </c>
      <c r="BM44" s="27" t="e">
        <f>+#REF!*V44</f>
        <v>#REF!</v>
      </c>
      <c r="BN44" s="27" t="e">
        <f>+BG44-BM44</f>
        <v>#REF!</v>
      </c>
      <c r="BO44" s="27" t="e">
        <f>+BH44-BI44</f>
        <v>#REF!</v>
      </c>
      <c r="BP44" s="27" t="e">
        <f>+BN44+BO44</f>
        <v>#REF!</v>
      </c>
      <c r="BQ44" s="27" t="e">
        <f>+V44</f>
        <v>#REF!</v>
      </c>
      <c r="BR44" s="27" t="e">
        <f>+BB44</f>
        <v>#REF!</v>
      </c>
      <c r="BS44" s="27" t="e">
        <f>IF(E44="Bundled",BK44-BI44,AO44-BI44)</f>
        <v>#REF!</v>
      </c>
      <c r="BT44" s="27" t="e">
        <f>IF(E44="Bundled",+(BD44-#REF!)*V44,(AM44+AN44)-V44*#REF!)</f>
        <v>#REF!</v>
      </c>
      <c r="BU44" s="27" t="e">
        <f>+BS44+BT44</f>
        <v>#REF!</v>
      </c>
      <c r="BV44" s="27" t="e">
        <f t="shared" si="396"/>
        <v>#REF!</v>
      </c>
      <c r="BW44" s="27" t="e">
        <f t="shared" si="396"/>
        <v>#REF!</v>
      </c>
      <c r="BX44" s="27" t="e">
        <f t="shared" si="396"/>
        <v>#REF!</v>
      </c>
    </row>
    <row r="45" spans="1:79" s="16" customFormat="1" ht="30" x14ac:dyDescent="0.2">
      <c r="A45" s="158" t="s">
        <v>94</v>
      </c>
      <c r="B45" s="31" t="s">
        <v>108</v>
      </c>
      <c r="C45" s="31" t="s">
        <v>214</v>
      </c>
      <c r="D45" s="32" t="s">
        <v>10</v>
      </c>
      <c r="E45" s="33" t="s">
        <v>51</v>
      </c>
      <c r="F45" s="32" t="s">
        <v>7</v>
      </c>
      <c r="G45" s="32" t="s">
        <v>59</v>
      </c>
      <c r="H45" s="30" t="str">
        <f t="shared" si="367"/>
        <v>No of Racks</v>
      </c>
      <c r="I45" s="32">
        <v>1</v>
      </c>
      <c r="J45" s="32">
        <v>1</v>
      </c>
      <c r="K45" s="34">
        <v>0</v>
      </c>
      <c r="L45" s="32">
        <v>1</v>
      </c>
      <c r="M45" s="32"/>
      <c r="N45" s="35"/>
      <c r="O45" s="36" t="str">
        <f>D45</f>
        <v>Rated</v>
      </c>
      <c r="P45" s="32" t="s">
        <v>53</v>
      </c>
      <c r="Q45" s="33">
        <v>12</v>
      </c>
      <c r="R45" s="38">
        <v>7.31</v>
      </c>
      <c r="S45" s="39">
        <f>Q45-R45</f>
        <v>4.6900000000000004</v>
      </c>
      <c r="T45" s="33"/>
      <c r="U45" s="33" t="e">
        <f>IF(S45&lt;=0,0,(IF(O45="Rated",(S45+T45)*#REF!,(S45+T45))))</f>
        <v>#REF!</v>
      </c>
      <c r="V45" s="33" t="e">
        <f>IF(O45="Rated",Q45*#REF!,Q45)</f>
        <v>#REF!</v>
      </c>
      <c r="W45" s="58">
        <f>AD45/30/24</f>
        <v>6.3906944444444447</v>
      </c>
      <c r="X45" s="33"/>
      <c r="Y45" s="40"/>
      <c r="Z45" s="41" t="str">
        <f>E45</f>
        <v>Bundled</v>
      </c>
      <c r="AA45" s="33"/>
      <c r="AB45" s="33"/>
      <c r="AC45" s="42"/>
      <c r="AD45" s="33">
        <v>4601.3</v>
      </c>
      <c r="AE45" s="43"/>
      <c r="AF45" s="44"/>
      <c r="AG45" s="33"/>
      <c r="AH45" s="33"/>
      <c r="AI45" s="33"/>
      <c r="AJ45" s="33"/>
      <c r="AK45" s="33"/>
      <c r="AL45" s="35"/>
      <c r="AM45" s="45"/>
      <c r="AN45" s="45"/>
      <c r="AO45" s="46"/>
      <c r="AP45" s="45"/>
      <c r="AQ45" s="47"/>
      <c r="AR45" s="48"/>
      <c r="AS45" s="48"/>
      <c r="AT45" s="60"/>
      <c r="AU45" s="61"/>
      <c r="AV45" s="62"/>
      <c r="AW45" s="61"/>
      <c r="AX45" s="81"/>
      <c r="AY45" s="5"/>
      <c r="AZ45" s="64"/>
      <c r="BA45" s="64"/>
      <c r="BB45" s="64"/>
      <c r="BC45" s="64"/>
      <c r="BD45" s="64"/>
      <c r="BE45" s="64"/>
      <c r="BF45" s="65"/>
      <c r="BG45" s="65"/>
      <c r="BH45" s="65"/>
      <c r="BI45" s="66"/>
      <c r="BJ45" s="66"/>
      <c r="BK45" s="66" t="e">
        <f>IF(E45="Bundled",#REF!*V45,#REF!*V45*0.85)</f>
        <v>#REF!</v>
      </c>
      <c r="BL45" s="66"/>
      <c r="BM45" s="66"/>
      <c r="BN45" s="66"/>
      <c r="BO45" s="66"/>
      <c r="BP45" s="66"/>
      <c r="BQ45" s="66" t="e">
        <f>+V45</f>
        <v>#REF!</v>
      </c>
      <c r="BR45" s="66"/>
      <c r="BS45" s="66"/>
      <c r="BT45" s="66"/>
      <c r="BU45" s="66"/>
      <c r="BY45" s="66"/>
      <c r="BZ45" s="66"/>
      <c r="CA45" s="66"/>
    </row>
    <row r="46" spans="1:79" s="16" customFormat="1" ht="30" x14ac:dyDescent="0.2">
      <c r="A46" s="158" t="s">
        <v>133</v>
      </c>
      <c r="B46" s="31" t="s">
        <v>234</v>
      </c>
      <c r="C46" s="31" t="s">
        <v>213</v>
      </c>
      <c r="D46" s="32" t="s">
        <v>55</v>
      </c>
      <c r="E46" s="33" t="s">
        <v>56</v>
      </c>
      <c r="F46" s="32" t="s">
        <v>7</v>
      </c>
      <c r="G46" s="32" t="s">
        <v>59</v>
      </c>
      <c r="H46" s="30" t="str">
        <f>IF(F46="Rack","No of Racks",(IF(F46="Space","Sq Ft","U Space")))</f>
        <v>No of Racks</v>
      </c>
      <c r="I46" s="32">
        <v>1</v>
      </c>
      <c r="J46" s="32">
        <v>1</v>
      </c>
      <c r="K46" s="34">
        <f>I46-J46</f>
        <v>0</v>
      </c>
      <c r="L46" s="32">
        <v>1</v>
      </c>
      <c r="M46" s="32"/>
      <c r="N46" s="124"/>
      <c r="O46" s="36" t="str">
        <f>D46</f>
        <v>Subscribed</v>
      </c>
      <c r="P46" s="32" t="s">
        <v>57</v>
      </c>
      <c r="Q46" s="33">
        <v>3</v>
      </c>
      <c r="R46" s="58">
        <f>W46</f>
        <v>1.0707638888888888</v>
      </c>
      <c r="S46" s="39">
        <f>Q46-R46</f>
        <v>1.9292361111111112</v>
      </c>
      <c r="T46" s="33"/>
      <c r="U46" s="33">
        <f>IF(S46&lt;=0,0,(IF(O46="Rated",(S46+T46)*#REF!,(S46+T46))))</f>
        <v>1.9292361111111112</v>
      </c>
      <c r="V46" s="33">
        <f>IF(O46="Rated",Q46*#REF!,Q46)</f>
        <v>3</v>
      </c>
      <c r="W46" s="58">
        <f>AD46/30/24</f>
        <v>1.0707638888888888</v>
      </c>
      <c r="X46" s="33">
        <f>IF((S46*-1)&gt;0, (S46*-1), 0)</f>
        <v>0</v>
      </c>
      <c r="Y46" s="40"/>
      <c r="Z46" s="41" t="str">
        <f>E46</f>
        <v>Metered</v>
      </c>
      <c r="AA46" s="33">
        <v>1</v>
      </c>
      <c r="AB46" s="33" t="s">
        <v>60</v>
      </c>
      <c r="AC46" s="42"/>
      <c r="AD46" s="33">
        <v>770.95</v>
      </c>
      <c r="AE46" s="43"/>
      <c r="AF46" s="44" t="str">
        <f>IF(AE46="No of Seats","No of Seats",(IF(AE46="Space","Sq Ft","")))</f>
        <v/>
      </c>
      <c r="AG46" s="33"/>
      <c r="AH46" s="33"/>
      <c r="AI46" s="33">
        <f>AG46-AH46</f>
        <v>0</v>
      </c>
      <c r="AJ46" s="33"/>
      <c r="AK46" s="33"/>
      <c r="AL46" s="35"/>
      <c r="AM46" s="45"/>
      <c r="AN46" s="45">
        <f>Y46*X46</f>
        <v>0</v>
      </c>
      <c r="AO46" s="46">
        <f>AD46*AC46*AA46</f>
        <v>0</v>
      </c>
      <c r="AP46" s="45">
        <f>AL46*AJ46</f>
        <v>0</v>
      </c>
      <c r="AQ46" s="47"/>
      <c r="AR46" s="48">
        <f>SUBTOTAL(9,AM46:AQ46)</f>
        <v>0</v>
      </c>
      <c r="AS46" s="48"/>
      <c r="AT46" s="60"/>
      <c r="AU46" s="61"/>
      <c r="AV46" s="62"/>
      <c r="AW46" s="61"/>
      <c r="AX46" s="81"/>
      <c r="AY46" s="5"/>
      <c r="AZ46" s="28">
        <f>IF(F46="Rack",AR46/I46,0)+IF(F46="U Space",AR46*40/I46,0)+IF(F46="Space",AR46*30/I46,0)</f>
        <v>0</v>
      </c>
      <c r="BA46" s="28">
        <f>+AR46/V46</f>
        <v>0</v>
      </c>
      <c r="BB46" s="25" t="e">
        <f>+($AM46+$AN46+$AO46-BI46)/$V46</f>
        <v>#REF!</v>
      </c>
      <c r="BC46" s="25"/>
      <c r="BD46" s="25"/>
      <c r="BE46" s="28"/>
      <c r="BF46" s="26">
        <f>+AM46+AN46+AO46</f>
        <v>0</v>
      </c>
      <c r="BG46" s="26">
        <f>+BF46-BH46</f>
        <v>0</v>
      </c>
      <c r="BH46" s="26">
        <f>IF(E46="Bundled",MIN(V46*#REF!*(1+#REF!),BF46),AO46)</f>
        <v>0</v>
      </c>
      <c r="BI46" s="27" t="e">
        <f>IF($AD46&gt;0,$AD46*#REF!*#REF!*(1+#REF!*(20/#REF!)/732),#REF!*W46)</f>
        <v>#REF!</v>
      </c>
      <c r="BJ46" s="27"/>
      <c r="BK46" s="27"/>
      <c r="BL46" s="27" t="e">
        <f>+BB46*V46</f>
        <v>#REF!</v>
      </c>
      <c r="BM46" s="27" t="e">
        <f>+#REF!*V46</f>
        <v>#REF!</v>
      </c>
      <c r="BN46" s="27" t="e">
        <f>+BG46-BM46</f>
        <v>#REF!</v>
      </c>
      <c r="BO46" s="27" t="e">
        <f>+BH46-BI46</f>
        <v>#REF!</v>
      </c>
      <c r="BP46" s="27" t="e">
        <f>+BN46+BO46</f>
        <v>#REF!</v>
      </c>
      <c r="BQ46" s="27">
        <f>+V46</f>
        <v>3</v>
      </c>
      <c r="BR46" s="27" t="e">
        <f>+BB46</f>
        <v>#REF!</v>
      </c>
      <c r="BS46" s="27" t="e">
        <f>IF(E46="Bundled",BK46-BI46,AO46-BI46)</f>
        <v>#REF!</v>
      </c>
      <c r="BT46" s="27" t="e">
        <f>IF(E46="Bundled",+(BD46-#REF!)*V46,(AM46+AN46)-V46*#REF!)</f>
        <v>#REF!</v>
      </c>
      <c r="BU46" s="27" t="e">
        <f>+BS46+BT46</f>
        <v>#REF!</v>
      </c>
      <c r="BV46" s="27" t="e">
        <f>+BS46/$BQ46</f>
        <v>#REF!</v>
      </c>
      <c r="BW46" s="27" t="e">
        <f>+BT46/$BQ46</f>
        <v>#REF!</v>
      </c>
      <c r="BX46" s="27" t="e">
        <f>+BU46/$BQ46</f>
        <v>#REF!</v>
      </c>
    </row>
    <row r="47" spans="1:79" s="16" customFormat="1" ht="26" customHeight="1" x14ac:dyDescent="0.2">
      <c r="A47" s="158" t="s">
        <v>134</v>
      </c>
      <c r="B47" s="273" t="s">
        <v>244</v>
      </c>
      <c r="C47" s="141" t="s">
        <v>210</v>
      </c>
      <c r="D47" s="32" t="s">
        <v>10</v>
      </c>
      <c r="E47" s="33" t="s">
        <v>51</v>
      </c>
      <c r="F47" s="32" t="s">
        <v>58</v>
      </c>
      <c r="G47" s="32" t="s">
        <v>59</v>
      </c>
      <c r="H47" s="30" t="str">
        <f t="shared" ref="H47" si="397">IF(F47="Rack","No of Racks",(IF(F47="Space","Sq Ft","U Space")))</f>
        <v>U Space</v>
      </c>
      <c r="I47" s="32">
        <v>6</v>
      </c>
      <c r="J47" s="137">
        <v>6</v>
      </c>
      <c r="K47" s="138">
        <v>0</v>
      </c>
      <c r="L47" s="137">
        <v>6</v>
      </c>
      <c r="M47" s="137"/>
      <c r="N47" s="139"/>
      <c r="O47" s="36" t="s">
        <v>10</v>
      </c>
      <c r="P47" s="32" t="s">
        <v>53</v>
      </c>
      <c r="Q47" s="33">
        <v>1.5</v>
      </c>
      <c r="R47" s="38">
        <v>2.1</v>
      </c>
      <c r="S47" s="39">
        <f t="shared" ref="S47" si="398">Q47-R47</f>
        <v>-0.60000000000000009</v>
      </c>
      <c r="T47" s="33"/>
      <c r="U47" s="33">
        <f t="shared" ref="U47" si="399">IF(S47&lt;=0,0,(IF(O47="Rated",(S47+T47)*$X$1,(S47+T47))))</f>
        <v>0</v>
      </c>
      <c r="V47" s="33" t="e">
        <f t="shared" ref="V47" si="400">IF(O47="Rated",Q47*$X$1,Q47)</f>
        <v>#REF!</v>
      </c>
      <c r="W47"/>
      <c r="X47" s="33">
        <f t="shared" ref="X47" si="401">IF((S47*-1)&gt;0, (S47*-1), 0)</f>
        <v>0.60000000000000009</v>
      </c>
      <c r="Y47" s="40"/>
      <c r="Z47" s="41"/>
      <c r="AA47" s="33"/>
      <c r="AB47" s="33"/>
      <c r="AC47" s="42"/>
      <c r="AD47" s="33"/>
      <c r="AE47" s="43"/>
      <c r="AF47" s="44"/>
      <c r="AG47" s="33"/>
      <c r="AH47" s="33"/>
      <c r="AI47" s="33"/>
      <c r="AJ47" s="33"/>
      <c r="AK47" s="33"/>
      <c r="AL47" s="35"/>
      <c r="AM47" s="45"/>
      <c r="AN47" s="45"/>
      <c r="AO47" s="46"/>
      <c r="AP47" s="45"/>
      <c r="AQ47" s="47"/>
      <c r="AR47" s="48"/>
      <c r="AS47" s="48"/>
      <c r="AT47" s="60"/>
      <c r="AU47" s="61"/>
      <c r="AV47" s="62"/>
      <c r="AW47" s="61"/>
      <c r="AX47" s="81"/>
      <c r="AY47" s="5"/>
      <c r="AZ47" s="52"/>
      <c r="BA47" s="52"/>
      <c r="BB47" s="52"/>
      <c r="BC47" s="52"/>
      <c r="BD47" s="52"/>
      <c r="BE47" s="52"/>
      <c r="BF47" s="53"/>
      <c r="BG47" s="53"/>
      <c r="BH47" s="53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</row>
    <row r="48" spans="1:79" s="16" customFormat="1" ht="45" x14ac:dyDescent="0.2">
      <c r="A48" s="300" t="s">
        <v>94</v>
      </c>
      <c r="B48" s="301" t="s">
        <v>252</v>
      </c>
      <c r="C48" s="301" t="s">
        <v>230</v>
      </c>
      <c r="D48" s="302" t="s">
        <v>10</v>
      </c>
      <c r="E48" s="303" t="s">
        <v>51</v>
      </c>
      <c r="F48" s="302" t="s">
        <v>58</v>
      </c>
      <c r="G48" s="302" t="s">
        <v>59</v>
      </c>
      <c r="H48" s="304" t="str">
        <f t="shared" ref="H48" si="402">IF(F48="Rack","No of Racks",(IF(F48="Space","Sq Ft","U Space")))</f>
        <v>U Space</v>
      </c>
      <c r="I48" s="302">
        <v>4</v>
      </c>
      <c r="J48" s="302">
        <v>4</v>
      </c>
      <c r="K48" s="305">
        <f t="shared" ref="K48" si="403">I48-J48</f>
        <v>0</v>
      </c>
      <c r="L48" s="302">
        <v>4</v>
      </c>
      <c r="M48" s="302"/>
      <c r="N48" s="306"/>
      <c r="O48" s="307" t="str">
        <f t="shared" ref="O48" si="404">D48</f>
        <v>Rated</v>
      </c>
      <c r="P48" s="308" t="s">
        <v>53</v>
      </c>
      <c r="Q48" s="303">
        <v>1</v>
      </c>
      <c r="R48" s="309">
        <v>0.3</v>
      </c>
      <c r="S48" s="310">
        <f t="shared" ref="S48" si="405">Q48-R48</f>
        <v>0.7</v>
      </c>
      <c r="T48" s="303"/>
      <c r="U48" s="303" t="e">
        <f t="shared" ref="U48" si="406">IF(S48&lt;=0,0,(IF(O48="Rated",(S48+T48)*$X$1,(S48+T48))))</f>
        <v>#REF!</v>
      </c>
      <c r="V48" s="303" t="e">
        <f t="shared" ref="V48" si="407">IF(O48="Rated",Q48*$X$1,Q48)</f>
        <v>#REF!</v>
      </c>
      <c r="W48"/>
      <c r="X48" s="303">
        <f t="shared" ref="X48" si="408">IF((S48*-1)&gt;0, (S48*-1), 0)</f>
        <v>0</v>
      </c>
      <c r="Y48" s="311"/>
      <c r="Z48" s="312" t="str">
        <f t="shared" ref="Z48" si="409">E48</f>
        <v>Bundled</v>
      </c>
      <c r="AA48" s="303"/>
      <c r="AB48" s="303"/>
      <c r="AC48" s="313"/>
      <c r="AD48" s="303"/>
      <c r="AE48" s="314"/>
      <c r="AF48" s="315"/>
      <c r="AG48" s="303"/>
      <c r="AH48" s="303"/>
      <c r="AI48" s="303"/>
      <c r="AJ48" s="303"/>
      <c r="AK48" s="303"/>
      <c r="AL48" s="306"/>
      <c r="AM48" s="316"/>
      <c r="AN48" s="316"/>
      <c r="AO48" s="317"/>
      <c r="AP48" s="316"/>
      <c r="AQ48" s="318"/>
      <c r="AR48" s="319"/>
      <c r="AS48" s="319"/>
      <c r="AT48" s="320"/>
      <c r="AU48" s="321"/>
      <c r="AV48" s="322"/>
      <c r="AW48" s="321"/>
      <c r="AX48" s="323"/>
      <c r="AY48" s="5"/>
      <c r="AZ48" s="324"/>
      <c r="BA48" s="324"/>
      <c r="BB48" s="324"/>
      <c r="BC48" s="324"/>
      <c r="BD48" s="324"/>
      <c r="BE48" s="324"/>
      <c r="BF48" s="325"/>
      <c r="BG48" s="325"/>
      <c r="BH48" s="325"/>
      <c r="BI48" s="326"/>
      <c r="BJ48" s="326"/>
      <c r="BK48" s="326" t="e">
        <f t="shared" ref="BK48" si="410">IF(E48="Bundled",$AG$1*V48,$AG$1*V48*0.85)</f>
        <v>#REF!</v>
      </c>
      <c r="BL48" s="326"/>
      <c r="BM48" s="326" t="e">
        <f>+#REF!*V48</f>
        <v>#REF!</v>
      </c>
      <c r="BN48" s="326"/>
      <c r="BO48" s="326"/>
      <c r="BP48" s="326"/>
      <c r="BQ48" s="326" t="e">
        <f t="shared" ref="BQ48" si="411">+V48</f>
        <v>#REF!</v>
      </c>
      <c r="BR48" s="326"/>
      <c r="BS48" s="326"/>
      <c r="BT48" s="326"/>
      <c r="BU48" s="326"/>
      <c r="BV48" s="326"/>
      <c r="BW48" s="326"/>
      <c r="BX48" s="326"/>
    </row>
    <row r="49" spans="1:78" s="16" customFormat="1" ht="45" x14ac:dyDescent="0.2">
      <c r="A49" s="327" t="s">
        <v>129</v>
      </c>
      <c r="B49" s="273" t="s">
        <v>247</v>
      </c>
      <c r="C49" s="328" t="s">
        <v>228</v>
      </c>
      <c r="D49" s="255" t="s">
        <v>55</v>
      </c>
      <c r="E49" s="256" t="s">
        <v>56</v>
      </c>
      <c r="F49" s="255" t="s">
        <v>7</v>
      </c>
      <c r="G49" s="255" t="s">
        <v>59</v>
      </c>
      <c r="H49" s="257" t="s">
        <v>229</v>
      </c>
      <c r="I49" s="255">
        <v>3</v>
      </c>
      <c r="J49" s="255">
        <v>3</v>
      </c>
      <c r="K49" s="258">
        <v>0</v>
      </c>
      <c r="L49" s="255">
        <v>3</v>
      </c>
      <c r="M49" s="255"/>
      <c r="N49" s="253">
        <v>474999</v>
      </c>
      <c r="O49" s="260" t="str">
        <f>D49</f>
        <v>Subscribed</v>
      </c>
      <c r="P49" s="255" t="s">
        <v>57</v>
      </c>
      <c r="Q49" s="256">
        <v>27</v>
      </c>
      <c r="R49" s="329">
        <f>W49</f>
        <v>0</v>
      </c>
      <c r="S49" s="330">
        <f>Q49-R49</f>
        <v>27</v>
      </c>
      <c r="T49" s="256"/>
      <c r="U49" s="256">
        <f>IF(S49&lt;=0,0,(IF(O49="Rated",(S49+T49)*#REF!,(S49+T49))))</f>
        <v>27</v>
      </c>
      <c r="V49" s="256">
        <f>IF(O49="Rated",Q49*#REF!,Q49)</f>
        <v>27</v>
      </c>
      <c r="W49" s="329">
        <f>AD49/28/24</f>
        <v>0</v>
      </c>
      <c r="X49" s="256">
        <f>IF((S49*-1)&gt;0, (S49*-1), 0)</f>
        <v>0</v>
      </c>
      <c r="Y49" s="256"/>
      <c r="Z49" s="261" t="s">
        <v>238</v>
      </c>
      <c r="AA49" s="255"/>
      <c r="AB49" s="256"/>
      <c r="AC49" s="262"/>
      <c r="AD49" s="331">
        <v>0</v>
      </c>
      <c r="AE49" s="263"/>
      <c r="AF49" s="264"/>
      <c r="AG49" s="256"/>
      <c r="AH49" s="256"/>
      <c r="AI49" s="256"/>
      <c r="AJ49" s="255"/>
      <c r="AK49" s="255"/>
      <c r="AL49" s="259"/>
      <c r="AM49" s="265"/>
      <c r="AN49" s="265"/>
      <c r="AO49" s="266"/>
      <c r="AP49" s="265"/>
      <c r="AQ49" s="267"/>
      <c r="AR49" s="268"/>
      <c r="AS49" s="268"/>
      <c r="AT49" s="332"/>
      <c r="AU49" s="333"/>
      <c r="AV49" s="334"/>
      <c r="AW49" s="333"/>
      <c r="AX49" s="335"/>
      <c r="AY49" s="336"/>
      <c r="AZ49" s="269"/>
      <c r="BA49" s="269"/>
      <c r="BB49" s="269"/>
      <c r="BC49" s="269"/>
      <c r="BD49" s="269"/>
      <c r="BE49" s="269"/>
      <c r="BF49" s="270"/>
      <c r="BG49" s="270"/>
      <c r="BH49" s="270"/>
      <c r="BI49" s="271"/>
      <c r="BJ49" s="271"/>
      <c r="BK49" s="271"/>
      <c r="BL49" s="271"/>
      <c r="BM49" s="271"/>
      <c r="BN49" s="271"/>
      <c r="BO49" s="271"/>
      <c r="BP49" s="271"/>
      <c r="BQ49" s="271"/>
      <c r="BR49" s="271"/>
      <c r="BS49" s="271"/>
      <c r="BT49" s="271"/>
      <c r="BU49" s="271"/>
      <c r="BV49" s="271"/>
      <c r="BW49" s="271"/>
      <c r="BX49" s="336"/>
      <c r="BY49" s="16" t="s">
        <v>253</v>
      </c>
      <c r="BZ49" s="66"/>
    </row>
  </sheetData>
  <mergeCells count="7">
    <mergeCell ref="AT2:AW2"/>
    <mergeCell ref="D2:E2"/>
    <mergeCell ref="F2:N2"/>
    <mergeCell ref="O2:Y2"/>
    <mergeCell ref="Z2:AD2"/>
    <mergeCell ref="AE2:AL2"/>
    <mergeCell ref="AM2:AS2"/>
  </mergeCells>
  <conditionalFormatting sqref="Y4:Y48">
    <cfRule type="cellIs" dxfId="47" priority="10" operator="lessThanOrEqual">
      <formula>0</formula>
    </cfRule>
    <cfRule type="cellIs" dxfId="46" priority="11" operator="lessThanOrEqual">
      <formula>0</formula>
    </cfRule>
  </conditionalFormatting>
  <conditionalFormatting sqref="BB40:BD40 BB41:BE41">
    <cfRule type="cellIs" dxfId="45" priority="73" operator="between">
      <formula>#REF!</formula>
      <formula>#REF!</formula>
    </cfRule>
  </conditionalFormatting>
  <conditionalFormatting sqref="BB4:BE20">
    <cfRule type="cellIs" dxfId="44" priority="230" operator="between">
      <formula>#REF!</formula>
      <formula>#REF!</formula>
    </cfRule>
    <cfRule type="cellIs" dxfId="43" priority="229" operator="lessThan">
      <formula>#REF!</formula>
    </cfRule>
    <cfRule type="cellIs" dxfId="42" priority="233" operator="between">
      <formula>#REF!</formula>
      <formula>#REF!</formula>
    </cfRule>
    <cfRule type="cellIs" dxfId="41" priority="232" operator="greaterThan">
      <formula>#REF!</formula>
    </cfRule>
    <cfRule type="cellIs" dxfId="40" priority="231" operator="between">
      <formula>#REF!</formula>
      <formula>#REF!</formula>
    </cfRule>
  </conditionalFormatting>
  <conditionalFormatting sqref="BB21:BE21">
    <cfRule type="cellIs" dxfId="39" priority="219" operator="greaterThan">
      <formula>$J$7</formula>
    </cfRule>
    <cfRule type="cellIs" dxfId="38" priority="220" operator="between">
      <formula>$J$8</formula>
      <formula>$J$7</formula>
    </cfRule>
    <cfRule type="cellIs" dxfId="37" priority="221" operator="lessThan">
      <formula>$J$10</formula>
    </cfRule>
    <cfRule type="cellIs" dxfId="36" priority="222" operator="between">
      <formula>$J$10</formula>
      <formula>$J$9</formula>
    </cfRule>
    <cfRule type="cellIs" dxfId="35" priority="223" operator="between">
      <formula>$J$9</formula>
      <formula>$J$8</formula>
    </cfRule>
  </conditionalFormatting>
  <conditionalFormatting sqref="BB22:BE36">
    <cfRule type="cellIs" dxfId="34" priority="99" operator="between">
      <formula>#REF!</formula>
      <formula>#REF!</formula>
    </cfRule>
    <cfRule type="cellIs" dxfId="33" priority="106" operator="between">
      <formula>#REF!</formula>
      <formula>#REF!</formula>
    </cfRule>
    <cfRule type="cellIs" dxfId="32" priority="105" operator="greaterThan">
      <formula>#REF!</formula>
    </cfRule>
    <cfRule type="cellIs" dxfId="31" priority="100" operator="between">
      <formula>#REF!</formula>
      <formula>#REF!</formula>
    </cfRule>
    <cfRule type="cellIs" dxfId="30" priority="98" operator="lessThan">
      <formula>#REF!</formula>
    </cfRule>
  </conditionalFormatting>
  <conditionalFormatting sqref="BB38:BE39">
    <cfRule type="cellIs" dxfId="29" priority="80" operator="greaterThan">
      <formula>#REF!</formula>
    </cfRule>
    <cfRule type="cellIs" dxfId="28" priority="81" operator="between">
      <formula>#REF!</formula>
      <formula>#REF!</formula>
    </cfRule>
  </conditionalFormatting>
  <conditionalFormatting sqref="BB38:BE49">
    <cfRule type="cellIs" dxfId="27" priority="3" operator="between">
      <formula>#REF!</formula>
      <formula>#REF!</formula>
    </cfRule>
    <cfRule type="cellIs" dxfId="26" priority="1" operator="lessThan">
      <formula>#REF!</formula>
    </cfRule>
    <cfRule type="cellIs" dxfId="25" priority="2" operator="between">
      <formula>#REF!</formula>
      <formula>#REF!</formula>
    </cfRule>
  </conditionalFormatting>
  <conditionalFormatting sqref="BB41:BE41 BB40:BD40">
    <cfRule type="cellIs" dxfId="24" priority="72" operator="greaterThan">
      <formula>#REF!</formula>
    </cfRule>
  </conditionalFormatting>
  <conditionalFormatting sqref="BB42:BE49">
    <cfRule type="cellIs" dxfId="23" priority="6" operator="between">
      <formula>#REF!</formula>
      <formula>#REF!</formula>
    </cfRule>
    <cfRule type="cellIs" dxfId="22" priority="5" operator="greaterThan">
      <formula>#REF!</formula>
    </cfRule>
  </conditionalFormatting>
  <conditionalFormatting sqref="BC37:BE37">
    <cfRule type="cellIs" dxfId="21" priority="93" operator="lessThan">
      <formula>#REF!</formula>
    </cfRule>
    <cfRule type="cellIs" dxfId="20" priority="94" operator="between">
      <formula>#REF!</formula>
      <formula>#REF!</formula>
    </cfRule>
    <cfRule type="cellIs" dxfId="19" priority="95" operator="between">
      <formula>#REF!</formula>
      <formula>#REF!</formula>
    </cfRule>
    <cfRule type="cellIs" dxfId="18" priority="96" operator="greaterThan">
      <formula>#REF!</formula>
    </cfRule>
    <cfRule type="cellIs" dxfId="17" priority="97" operator="between">
      <formula>#REF!</formula>
      <formula>#REF!</formula>
    </cfRule>
  </conditionalFormatting>
  <conditionalFormatting sqref="BE40:BE41">
    <cfRule type="cellIs" dxfId="16" priority="68" operator="greaterThan">
      <formula>#REF!</formula>
    </cfRule>
    <cfRule type="cellIs" dxfId="15" priority="69" operator="between">
      <formula>#REF!</formula>
      <formula>#REF!</formula>
    </cfRule>
  </conditionalFormatting>
  <conditionalFormatting sqref="BV28:BW28">
    <cfRule type="colorScale" priority="2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2:BW32">
    <cfRule type="colorScale" priority="22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3:BW33">
    <cfRule type="colorScale" priority="2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9:BW49 BZ49">
    <cfRule type="colorScale" priority="2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:BX4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5:BX5"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6:BX6"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7:BX7"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8:BX8"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9:BX9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0:BX10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1:BX11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2:BX12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3:BX13"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4:BX14"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5:BX15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6:BX16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7:BX17"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8:BX18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9:BX1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0:BX20"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1:BX21"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2:BX2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3:BX23"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4:BX24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5:BX25"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6:BX26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7:BX27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9:BX29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0:BX30 BX32:BX33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1:BX31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4:BX34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5:BX35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6:BX36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7:BX37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8:BX38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9:BX39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0:BX40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1:BX41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2:BX42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3:BX4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4:BX44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6:BX4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7:BX4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8:BX4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5:CA4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E4:AE48 AE49" xr:uid="{00000000-0002-0000-0000-000007000000}">
      <formula1>"No of Seats, Space"</formula1>
    </dataValidation>
    <dataValidation type="list" allowBlank="1" showInputMessage="1" showErrorMessage="1" sqref="D4:D48 D49" xr:uid="{00000000-0002-0000-0000-000006000000}">
      <formula1>"Rated, Subscribed"</formula1>
    </dataValidation>
    <dataValidation type="list" allowBlank="1" showInputMessage="1" showErrorMessage="1" sqref="AS4:AS48 AS49" xr:uid="{00000000-0002-0000-0000-000005000000}">
      <formula1>"Qtrly Adv, Qtry Ars, Monthly Adv, Monthly Ars"</formula1>
    </dataValidation>
    <dataValidation type="list" allowBlank="1" showInputMessage="1" showErrorMessage="1" sqref="P4:P48 P49" xr:uid="{00000000-0002-0000-0000-000004000000}">
      <formula1>"KW, KVA"</formula1>
    </dataValidation>
    <dataValidation type="list" allowBlank="1" showInputMessage="1" showErrorMessage="1" sqref="E4:E48 E49" xr:uid="{00000000-0002-0000-0000-000003000000}">
      <formula1>"Bundled, Metered"</formula1>
    </dataValidation>
    <dataValidation type="list" allowBlank="1" showInputMessage="1" showErrorMessage="1" promptTitle="Rack, U Space, Cage" sqref="G4:G48 G49" xr:uid="{00000000-0002-0000-0000-000002000000}">
      <formula1>"Caged, Uncaged"</formula1>
    </dataValidation>
    <dataValidation type="list" allowBlank="1" showInputMessage="1" showErrorMessage="1" sqref="AB4:AB48 AB49" xr:uid="{00000000-0002-0000-0000-000001000000}">
      <formula1>"Fixed, Variable"</formula1>
    </dataValidation>
    <dataValidation type="list" allowBlank="1" showInputMessage="1" showErrorMessage="1" promptTitle="Rack, U Space, Cage" sqref="F4:F48 F49" xr:uid="{00000000-0002-0000-0000-000000000000}">
      <formula1>"Space, Rack, U space"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241D-9BD6-4C09-BD4B-43D4CCE18585}">
  <dimension ref="A1:BZ29"/>
  <sheetViews>
    <sheetView tabSelected="1" topLeftCell="B1" workbookViewId="0">
      <selection activeCell="AF3" sqref="AF3"/>
    </sheetView>
  </sheetViews>
  <sheetFormatPr baseColWidth="10" defaultColWidth="9" defaultRowHeight="14" x14ac:dyDescent="0.2"/>
  <cols>
    <col min="1" max="1" width="9" style="5" hidden="1" customWidth="1"/>
    <col min="2" max="2" width="36.19921875" style="5" customWidth="1"/>
    <col min="3" max="3" width="46.3984375" style="5" customWidth="1"/>
    <col min="4" max="5" width="16.3984375" style="5" customWidth="1"/>
    <col min="6" max="6" width="18.3984375" style="5" customWidth="1"/>
    <col min="7" max="7" width="19.3984375" style="5" customWidth="1"/>
    <col min="8" max="8" width="12" style="5" customWidth="1"/>
    <col min="9" max="9" width="13" style="5" customWidth="1"/>
    <col min="10" max="10" width="12.59765625" style="5" customWidth="1"/>
    <col min="11" max="11" width="12" style="5" customWidth="1"/>
    <col min="12" max="12" width="7.59765625" style="5" customWidth="1"/>
    <col min="13" max="13" width="10.3984375" style="6" customWidth="1"/>
    <col min="14" max="16" width="17" style="4" customWidth="1"/>
    <col min="17" max="17" width="12" style="4" customWidth="1"/>
    <col min="18" max="18" width="5.3984375" style="4" customWidth="1"/>
    <col min="19" max="19" width="10" style="17" customWidth="1"/>
    <col min="20" max="20" width="8.3984375" style="5" customWidth="1"/>
    <col min="21" max="21" width="13" style="6" customWidth="1"/>
    <col min="22" max="22" width="10" style="5" customWidth="1"/>
    <col min="23" max="23" width="10.59765625" style="5" customWidth="1"/>
    <col min="24" max="24" width="12.59765625" style="5" customWidth="1"/>
    <col min="25" max="25" width="8" style="5" customWidth="1"/>
    <col min="26" max="26" width="10" style="5" customWidth="1"/>
    <col min="27" max="27" width="14" style="5" customWidth="1"/>
    <col min="28" max="28" width="14.59765625" style="5" bestFit="1" customWidth="1"/>
    <col min="29" max="29" width="10" style="5" customWidth="1"/>
    <col min="30" max="30" width="15" style="5" customWidth="1"/>
    <col min="31" max="31" width="12" style="5" customWidth="1"/>
    <col min="32" max="33" width="11.59765625" style="10" customWidth="1"/>
    <col min="34" max="34" width="11" style="10" customWidth="1"/>
    <col min="35" max="35" width="12.3984375" style="5" customWidth="1"/>
    <col min="36" max="36" width="6.59765625" style="5" customWidth="1"/>
    <col min="37" max="37" width="12" style="5" customWidth="1"/>
    <col min="38" max="38" width="6" style="5" customWidth="1"/>
    <col min="39" max="39" width="9" style="5" customWidth="1"/>
    <col min="40" max="40" width="9" style="5"/>
    <col min="41" max="41" width="11" style="5" bestFit="1" customWidth="1"/>
    <col min="42" max="42" width="10" style="5" customWidth="1"/>
    <col min="43" max="43" width="11" style="5" bestFit="1" customWidth="1"/>
    <col min="44" max="44" width="9" style="5"/>
    <col min="45" max="45" width="10" style="5" customWidth="1"/>
    <col min="46" max="46" width="13.59765625" style="5" customWidth="1"/>
    <col min="47" max="47" width="10" style="5" customWidth="1"/>
    <col min="48" max="48" width="21.59765625" style="8" customWidth="1"/>
    <col min="49" max="49" width="20" style="8" customWidth="1"/>
    <col min="50" max="50" width="8.3984375" style="8" customWidth="1"/>
    <col min="51" max="51" width="7.59765625" style="8" customWidth="1"/>
    <col min="52" max="52" width="34.59765625" style="5" customWidth="1"/>
    <col min="53" max="53" width="6.59765625" style="5" customWidth="1"/>
    <col min="54" max="54" width="10.3984375" style="5" customWidth="1"/>
    <col min="55" max="55" width="11" style="5" customWidth="1"/>
    <col min="56" max="59" width="9" style="5"/>
    <col min="60" max="60" width="11" style="5" customWidth="1"/>
    <col min="61" max="62" width="10" style="5" customWidth="1"/>
    <col min="63" max="73" width="9" style="5"/>
    <col min="74" max="74" width="10.796875" style="5" bestFit="1" customWidth="1"/>
    <col min="75" max="16384" width="9" style="5"/>
  </cols>
  <sheetData>
    <row r="1" spans="1:78" ht="15" thickBot="1" x14ac:dyDescent="0.25">
      <c r="B1" s="7"/>
      <c r="C1" s="7"/>
      <c r="D1" s="7"/>
      <c r="E1" s="7"/>
      <c r="F1" s="338" t="s">
        <v>11</v>
      </c>
      <c r="G1" s="339"/>
      <c r="H1" s="340" t="s">
        <v>3</v>
      </c>
      <c r="I1" s="340"/>
      <c r="J1" s="340"/>
      <c r="K1" s="340"/>
      <c r="L1" s="340"/>
      <c r="M1" s="340"/>
      <c r="N1" s="340"/>
      <c r="O1" s="340"/>
      <c r="P1" s="340"/>
      <c r="Q1" s="341" t="s">
        <v>12</v>
      </c>
      <c r="R1" s="341"/>
      <c r="S1" s="341"/>
      <c r="T1" s="341"/>
      <c r="U1" s="342"/>
      <c r="V1" s="341"/>
      <c r="W1" s="341"/>
      <c r="X1" s="341"/>
      <c r="Y1" s="341"/>
      <c r="Z1" s="341"/>
      <c r="AA1" s="341"/>
      <c r="AB1" s="343" t="s">
        <v>13</v>
      </c>
      <c r="AC1" s="343"/>
      <c r="AD1" s="343"/>
      <c r="AE1" s="343"/>
      <c r="AF1" s="344"/>
      <c r="AG1" s="345" t="s">
        <v>14</v>
      </c>
      <c r="AH1" s="346"/>
      <c r="AI1" s="346"/>
      <c r="AJ1" s="346"/>
      <c r="AK1" s="346"/>
      <c r="AL1" s="346"/>
      <c r="AM1" s="346"/>
      <c r="AN1" s="347"/>
      <c r="AO1" s="348" t="s">
        <v>15</v>
      </c>
      <c r="AP1" s="348"/>
      <c r="AQ1" s="348"/>
      <c r="AR1" s="348"/>
      <c r="AS1" s="348"/>
      <c r="AT1" s="348"/>
      <c r="AU1" s="348"/>
      <c r="AV1" s="337" t="s">
        <v>16</v>
      </c>
      <c r="AW1" s="337"/>
      <c r="AX1" s="337"/>
      <c r="AY1" s="337"/>
    </row>
    <row r="2" spans="1:78" ht="120" x14ac:dyDescent="0.2">
      <c r="A2" s="159" t="s">
        <v>141</v>
      </c>
      <c r="B2" s="142" t="s">
        <v>2</v>
      </c>
      <c r="C2" s="142" t="s">
        <v>1</v>
      </c>
      <c r="D2" s="142" t="s">
        <v>217</v>
      </c>
      <c r="E2" s="143" t="s">
        <v>222</v>
      </c>
      <c r="F2" s="143" t="s">
        <v>17</v>
      </c>
      <c r="G2" s="143" t="s">
        <v>18</v>
      </c>
      <c r="H2" s="143" t="s">
        <v>5</v>
      </c>
      <c r="I2" s="143" t="s">
        <v>19</v>
      </c>
      <c r="J2" s="144" t="s">
        <v>20</v>
      </c>
      <c r="K2" s="143" t="s">
        <v>4</v>
      </c>
      <c r="L2" s="142" t="s">
        <v>6</v>
      </c>
      <c r="M2" s="145" t="s">
        <v>21</v>
      </c>
      <c r="N2" s="143" t="s">
        <v>22</v>
      </c>
      <c r="O2" s="143" t="s">
        <v>23</v>
      </c>
      <c r="P2" s="143" t="s">
        <v>24</v>
      </c>
      <c r="Q2" s="146" t="s">
        <v>25</v>
      </c>
      <c r="R2" s="144" t="s">
        <v>20</v>
      </c>
      <c r="S2" s="144" t="s">
        <v>26</v>
      </c>
      <c r="T2" s="144" t="s">
        <v>27</v>
      </c>
      <c r="U2" s="147" t="s">
        <v>28</v>
      </c>
      <c r="V2" s="143" t="s">
        <v>29</v>
      </c>
      <c r="W2" s="144" t="s">
        <v>30</v>
      </c>
      <c r="X2" s="163" t="s">
        <v>178</v>
      </c>
      <c r="Y2" s="148" t="s">
        <v>89</v>
      </c>
      <c r="Z2" s="144" t="s">
        <v>31</v>
      </c>
      <c r="AA2" s="144" t="s">
        <v>32</v>
      </c>
      <c r="AB2" s="144" t="s">
        <v>33</v>
      </c>
      <c r="AC2" s="149" t="s">
        <v>34</v>
      </c>
      <c r="AD2" s="150" t="s">
        <v>35</v>
      </c>
      <c r="AE2" s="150" t="s">
        <v>36</v>
      </c>
      <c r="AF2" s="151" t="s">
        <v>37</v>
      </c>
      <c r="AG2" s="151" t="s">
        <v>25</v>
      </c>
      <c r="AH2" s="151" t="s">
        <v>20</v>
      </c>
      <c r="AI2" s="143" t="s">
        <v>4</v>
      </c>
      <c r="AJ2" s="142" t="s">
        <v>6</v>
      </c>
      <c r="AK2" s="143" t="s">
        <v>8</v>
      </c>
      <c r="AL2" s="143" t="s">
        <v>22</v>
      </c>
      <c r="AM2" s="143" t="s">
        <v>29</v>
      </c>
      <c r="AN2" s="143" t="s">
        <v>38</v>
      </c>
      <c r="AO2" s="150" t="s">
        <v>39</v>
      </c>
      <c r="AP2" s="150" t="s">
        <v>40</v>
      </c>
      <c r="AQ2" s="150" t="s">
        <v>41</v>
      </c>
      <c r="AR2" s="150" t="s">
        <v>14</v>
      </c>
      <c r="AS2" s="150" t="s">
        <v>42</v>
      </c>
      <c r="AT2" s="150" t="s">
        <v>43</v>
      </c>
      <c r="AU2" s="150" t="s">
        <v>44</v>
      </c>
      <c r="AV2" s="152" t="s">
        <v>45</v>
      </c>
      <c r="AW2" s="152" t="s">
        <v>46</v>
      </c>
      <c r="AX2" s="152" t="s">
        <v>47</v>
      </c>
      <c r="AY2" s="152" t="s">
        <v>48</v>
      </c>
      <c r="AZ2" s="153" t="s">
        <v>49</v>
      </c>
      <c r="BB2" s="23" t="s">
        <v>50</v>
      </c>
      <c r="BC2" s="23" t="s">
        <v>64</v>
      </c>
      <c r="BD2" s="23" t="s">
        <v>65</v>
      </c>
      <c r="BE2" s="23" t="s">
        <v>66</v>
      </c>
      <c r="BF2" s="23" t="s">
        <v>67</v>
      </c>
      <c r="BG2" s="23"/>
      <c r="BH2" s="23" t="s">
        <v>75</v>
      </c>
      <c r="BI2" s="23" t="s">
        <v>76</v>
      </c>
      <c r="BJ2" s="23" t="s">
        <v>77</v>
      </c>
      <c r="BK2" s="23" t="s">
        <v>68</v>
      </c>
      <c r="BL2" s="23" t="s">
        <v>69</v>
      </c>
      <c r="BM2" s="23" t="s">
        <v>70</v>
      </c>
      <c r="BN2" s="23" t="s">
        <v>78</v>
      </c>
      <c r="BO2" s="23" t="s">
        <v>79</v>
      </c>
      <c r="BP2" s="23" t="s">
        <v>80</v>
      </c>
      <c r="BQ2" s="23" t="s">
        <v>81</v>
      </c>
      <c r="BR2" s="23" t="s">
        <v>82</v>
      </c>
      <c r="BS2" s="24" t="s">
        <v>57</v>
      </c>
      <c r="BT2" s="24"/>
      <c r="BU2" s="23" t="s">
        <v>81</v>
      </c>
      <c r="BV2" s="23" t="s">
        <v>80</v>
      </c>
      <c r="BW2" s="23" t="s">
        <v>83</v>
      </c>
      <c r="BX2" s="23" t="s">
        <v>84</v>
      </c>
      <c r="BY2" s="23" t="s">
        <v>85</v>
      </c>
      <c r="BZ2" s="23" t="s">
        <v>86</v>
      </c>
    </row>
    <row r="3" spans="1:78" ht="45" x14ac:dyDescent="0.2">
      <c r="A3" s="154" t="s">
        <v>133</v>
      </c>
      <c r="B3" s="31" t="s">
        <v>245</v>
      </c>
      <c r="C3" s="252" t="s">
        <v>175</v>
      </c>
      <c r="D3" s="137" t="s">
        <v>207</v>
      </c>
      <c r="E3" s="137"/>
      <c r="F3" s="32" t="s">
        <v>55</v>
      </c>
      <c r="G3" s="33" t="s">
        <v>56</v>
      </c>
      <c r="H3" s="32" t="s">
        <v>3</v>
      </c>
      <c r="I3" s="32" t="s">
        <v>52</v>
      </c>
      <c r="J3" s="30" t="str">
        <f>IF(H3="Rack","No of Racks",(IF(H3="Space","Sq Ft","U Space")))</f>
        <v>Sq Ft</v>
      </c>
      <c r="K3" s="32">
        <v>560</v>
      </c>
      <c r="L3" s="32">
        <v>560</v>
      </c>
      <c r="M3" s="34">
        <v>0</v>
      </c>
      <c r="N3" s="32">
        <v>560</v>
      </c>
      <c r="O3" s="32"/>
      <c r="P3" s="253">
        <v>511700</v>
      </c>
      <c r="Q3" s="36" t="str">
        <f>F3</f>
        <v>Subscribed</v>
      </c>
      <c r="R3" s="32" t="s">
        <v>57</v>
      </c>
      <c r="S3" s="33">
        <v>216</v>
      </c>
      <c r="T3" s="58">
        <f>Y3</f>
        <v>88.336309523809518</v>
      </c>
      <c r="U3" s="39">
        <f>S3-T3</f>
        <v>127.66369047619048</v>
      </c>
      <c r="V3" s="33"/>
      <c r="W3" s="33">
        <f>IF(U3&lt;=0,0,(IF(Q3="Rated",(U3+V3)*#REF!,(U3+V3))))</f>
        <v>127.66369047619048</v>
      </c>
      <c r="X3" s="33">
        <f>IF(Q3="Rated",S3*#REF!,S3)</f>
        <v>216</v>
      </c>
      <c r="Y3" s="58">
        <f>AF3/28/24</f>
        <v>88.336309523809518</v>
      </c>
      <c r="Z3" s="33">
        <f>IF((U3*-1)&gt;0, (U3*-1), 0)</f>
        <v>0</v>
      </c>
      <c r="AA3" s="33"/>
      <c r="AB3" s="41" t="str">
        <f>G3</f>
        <v>Metered</v>
      </c>
      <c r="AC3" s="33"/>
      <c r="AD3" s="33"/>
      <c r="AE3" s="42"/>
      <c r="AF3" s="251">
        <v>59362</v>
      </c>
      <c r="AG3" s="43"/>
      <c r="AH3" s="44" t="str">
        <f>IF(AG3="No of Seats","No of Seats",(IF(AG3="Space","Sq Ft","")))</f>
        <v/>
      </c>
      <c r="AI3" s="33"/>
      <c r="AJ3" s="33"/>
      <c r="AK3" s="33"/>
      <c r="AL3" s="33"/>
      <c r="AM3" s="33"/>
      <c r="AN3" s="35"/>
      <c r="AO3" s="45"/>
      <c r="AP3" s="45"/>
      <c r="AQ3" s="46"/>
      <c r="AR3" s="45"/>
      <c r="AS3" s="47"/>
      <c r="AT3" s="48"/>
      <c r="AU3" s="48"/>
      <c r="AV3" s="125"/>
      <c r="AW3" s="56"/>
      <c r="AX3" s="57"/>
      <c r="AY3" s="56"/>
      <c r="AZ3" s="155"/>
      <c r="BB3" s="25"/>
      <c r="BC3" s="25"/>
      <c r="BD3" s="25"/>
      <c r="BE3" s="25"/>
      <c r="BF3" s="25"/>
      <c r="BG3" s="25"/>
      <c r="BH3" s="26"/>
      <c r="BI3" s="26"/>
      <c r="BJ3" s="26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</row>
    <row r="4" spans="1:78" s="16" customFormat="1" ht="30" x14ac:dyDescent="0.2">
      <c r="A4" s="154" t="s">
        <v>133</v>
      </c>
      <c r="B4" s="31" t="s">
        <v>246</v>
      </c>
      <c r="C4" s="252" t="s">
        <v>224</v>
      </c>
      <c r="D4" s="214" t="s">
        <v>207</v>
      </c>
      <c r="E4" s="214"/>
      <c r="F4" s="32" t="s">
        <v>55</v>
      </c>
      <c r="G4" s="33" t="s">
        <v>56</v>
      </c>
      <c r="H4" s="32" t="s">
        <v>3</v>
      </c>
      <c r="I4" s="32" t="s">
        <v>52</v>
      </c>
      <c r="J4" s="30" t="str">
        <f>IF(H4="Rack","No of Racks",(IF(H4="Space","Sq Ft","U Space")))</f>
        <v>Sq Ft</v>
      </c>
      <c r="K4" s="32">
        <v>256</v>
      </c>
      <c r="L4" s="32">
        <v>256</v>
      </c>
      <c r="M4" s="34">
        <v>0</v>
      </c>
      <c r="N4" s="32">
        <v>256</v>
      </c>
      <c r="O4" s="32"/>
      <c r="P4" s="253">
        <v>767000</v>
      </c>
      <c r="Q4" s="36" t="str">
        <f>F4</f>
        <v>Subscribed</v>
      </c>
      <c r="R4" s="32" t="s">
        <v>57</v>
      </c>
      <c r="S4" s="33">
        <v>100</v>
      </c>
      <c r="T4" s="58">
        <f>Y4</f>
        <v>13.47172619047619</v>
      </c>
      <c r="U4" s="39">
        <f>S4-T4</f>
        <v>86.52827380952381</v>
      </c>
      <c r="V4" s="33"/>
      <c r="W4" s="33">
        <f>IF(U4&lt;=0,0,(IF(Q4="Rated",(U4+V4)*#REF!,(U4+V4))))</f>
        <v>86.52827380952381</v>
      </c>
      <c r="X4" s="33">
        <f>IF(Q4="Rated",S4*#REF!,S4)</f>
        <v>100</v>
      </c>
      <c r="Y4" s="58">
        <f>AF4/28/24</f>
        <v>13.47172619047619</v>
      </c>
      <c r="Z4" s="33">
        <f>IF((U4*-1)&gt;0, (U4*-1), 0)</f>
        <v>0</v>
      </c>
      <c r="AA4" s="33"/>
      <c r="AB4" s="41" t="str">
        <f>G4</f>
        <v>Metered</v>
      </c>
      <c r="AC4" s="32"/>
      <c r="AD4" s="33"/>
      <c r="AE4" s="42"/>
      <c r="AF4" s="251">
        <v>9053</v>
      </c>
      <c r="AG4" s="43"/>
      <c r="AH4" s="44" t="str">
        <f>IF(AG4="No of Seats","No of Seats",(IF(AG4="Space","Sq Ft","")))</f>
        <v/>
      </c>
      <c r="AI4" s="33"/>
      <c r="AJ4" s="33"/>
      <c r="AK4" s="33"/>
      <c r="AL4" s="32"/>
      <c r="AM4" s="32"/>
      <c r="AN4" s="35"/>
      <c r="AO4" s="45"/>
      <c r="AP4" s="45"/>
      <c r="AQ4" s="46"/>
      <c r="AR4" s="45"/>
      <c r="AS4" s="47"/>
      <c r="AT4" s="48"/>
      <c r="AU4" s="48"/>
      <c r="AV4" s="125"/>
      <c r="AW4" s="56"/>
      <c r="AX4" s="57"/>
      <c r="AY4" s="56"/>
      <c r="AZ4" s="155"/>
      <c r="BB4" s="25"/>
      <c r="BC4" s="25"/>
      <c r="BD4" s="25"/>
      <c r="BE4" s="25"/>
      <c r="BF4" s="25"/>
      <c r="BG4" s="25"/>
      <c r="BH4" s="26"/>
      <c r="BI4" s="26"/>
      <c r="BJ4" s="26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</row>
    <row r="5" spans="1:78" s="16" customFormat="1" ht="15" x14ac:dyDescent="0.2">
      <c r="A5" s="154"/>
      <c r="B5" s="31" t="s">
        <v>225</v>
      </c>
      <c r="C5" s="252" t="s">
        <v>183</v>
      </c>
      <c r="D5" s="214" t="s">
        <v>207</v>
      </c>
      <c r="E5" s="214"/>
      <c r="F5" s="32" t="s">
        <v>55</v>
      </c>
      <c r="G5" s="33" t="s">
        <v>56</v>
      </c>
      <c r="H5" s="32" t="s">
        <v>3</v>
      </c>
      <c r="I5" s="32" t="s">
        <v>52</v>
      </c>
      <c r="J5" s="30" t="str">
        <f>IF(H5="Rack","No of Racks",(IF(H5="Space","Sq Ft","U Space")))</f>
        <v>Sq Ft</v>
      </c>
      <c r="K5" s="32">
        <v>432</v>
      </c>
      <c r="L5" s="32">
        <v>288</v>
      </c>
      <c r="M5" s="34">
        <v>144</v>
      </c>
      <c r="N5" s="32">
        <v>288</v>
      </c>
      <c r="O5" s="32"/>
      <c r="P5" s="253"/>
      <c r="Q5" s="36" t="str">
        <f>F5</f>
        <v>Subscribed</v>
      </c>
      <c r="R5" s="32" t="s">
        <v>57</v>
      </c>
      <c r="S5" s="33">
        <v>72</v>
      </c>
      <c r="T5" s="58">
        <f>Y5</f>
        <v>0</v>
      </c>
      <c r="U5" s="39">
        <f>S5-T5</f>
        <v>72</v>
      </c>
      <c r="V5" s="33"/>
      <c r="W5" s="33">
        <f>IF(U5&lt;=0,0,(IF(Q5="Rated",(U5+V5)*#REF!,(U5+V5))))</f>
        <v>72</v>
      </c>
      <c r="X5" s="33">
        <f>IF(Q5="Rated",S5*#REF!,S5)</f>
        <v>72</v>
      </c>
      <c r="Y5" s="58">
        <f>AF5/28/24</f>
        <v>0</v>
      </c>
      <c r="Z5" s="33">
        <f>IF((U5*-1)&gt;0, (U5*-1), 0)</f>
        <v>0</v>
      </c>
      <c r="AA5" s="33"/>
      <c r="AB5" s="41" t="s">
        <v>56</v>
      </c>
      <c r="AC5" s="32"/>
      <c r="AD5" s="33"/>
      <c r="AE5" s="42"/>
      <c r="AF5" s="251">
        <v>0</v>
      </c>
      <c r="AG5" s="43"/>
      <c r="AH5" s="44"/>
      <c r="AI5" s="33"/>
      <c r="AJ5" s="33"/>
      <c r="AK5" s="33"/>
      <c r="AL5" s="32"/>
      <c r="AM5" s="32"/>
      <c r="AN5" s="35"/>
      <c r="AO5" s="45"/>
      <c r="AP5" s="45"/>
      <c r="AQ5" s="46"/>
      <c r="AR5" s="45"/>
      <c r="AS5" s="47"/>
      <c r="AT5" s="48"/>
      <c r="AU5" s="48"/>
      <c r="AV5" s="125"/>
      <c r="AW5" s="56"/>
      <c r="AX5" s="57"/>
      <c r="AY5" s="56"/>
      <c r="AZ5" s="155"/>
      <c r="BB5" s="52"/>
      <c r="BC5" s="52"/>
      <c r="BD5" s="52"/>
      <c r="BE5" s="52"/>
      <c r="BF5" s="52"/>
      <c r="BG5" s="52"/>
      <c r="BH5" s="53"/>
      <c r="BI5" s="53"/>
      <c r="BJ5" s="53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</row>
    <row r="6" spans="1:78" s="16" customFormat="1" ht="15" x14ac:dyDescent="0.2">
      <c r="A6" s="154" t="s">
        <v>133</v>
      </c>
      <c r="B6" s="31" t="s">
        <v>226</v>
      </c>
      <c r="C6" s="252" t="s">
        <v>183</v>
      </c>
      <c r="D6" s="214" t="s">
        <v>207</v>
      </c>
      <c r="E6" s="214"/>
      <c r="F6" s="32" t="s">
        <v>55</v>
      </c>
      <c r="G6" s="33" t="s">
        <v>56</v>
      </c>
      <c r="H6" s="32" t="s">
        <v>3</v>
      </c>
      <c r="I6" s="32" t="s">
        <v>52</v>
      </c>
      <c r="J6" s="30" t="str">
        <f>IF(H6="Rack","No of Racks",(IF(H6="Space","Sq Ft","U Space")))</f>
        <v>Sq Ft</v>
      </c>
      <c r="K6" s="32">
        <v>5612</v>
      </c>
      <c r="L6" s="32">
        <v>0</v>
      </c>
      <c r="M6" s="34">
        <f>K6-L6</f>
        <v>5612</v>
      </c>
      <c r="N6" s="32">
        <v>0</v>
      </c>
      <c r="O6" s="32"/>
      <c r="P6" s="253">
        <v>2769200</v>
      </c>
      <c r="Q6" s="36" t="str">
        <f>F6</f>
        <v>Subscribed</v>
      </c>
      <c r="R6" s="32" t="s">
        <v>57</v>
      </c>
      <c r="S6" s="33">
        <v>578</v>
      </c>
      <c r="T6" s="58">
        <f>Y6</f>
        <v>583.6603720238096</v>
      </c>
      <c r="U6" s="39">
        <f>S6-T6</f>
        <v>-5.6603720238096003</v>
      </c>
      <c r="V6" s="33"/>
      <c r="W6" s="33">
        <f>IF(U6&lt;=0,0,(IF(Q6="Rated",(U6+V6)*#REF!,(U6+V6))))</f>
        <v>0</v>
      </c>
      <c r="X6" s="33">
        <f>IF(Q6="Rated",S6*#REF!,S6)</f>
        <v>578</v>
      </c>
      <c r="Y6" s="58">
        <f>AF6/28/24</f>
        <v>583.6603720238096</v>
      </c>
      <c r="Z6" s="33">
        <f>IF((U6*-1)&gt;0, (U6*-1), 0)</f>
        <v>5.6603720238096003</v>
      </c>
      <c r="AA6" s="33"/>
      <c r="AB6" s="41" t="str">
        <f>G6</f>
        <v>Metered</v>
      </c>
      <c r="AC6" s="32"/>
      <c r="AD6" s="33"/>
      <c r="AE6" s="42"/>
      <c r="AF6" s="251">
        <v>392219.77</v>
      </c>
      <c r="AG6" s="43"/>
      <c r="AH6" s="44" t="str">
        <f>IF(AG6="No of Seats","No of Seats",(IF(AG6="Space","Sq Ft","")))</f>
        <v/>
      </c>
      <c r="AI6" s="33"/>
      <c r="AJ6" s="33"/>
      <c r="AK6" s="33"/>
      <c r="AL6" s="32"/>
      <c r="AM6" s="32"/>
      <c r="AN6" s="35"/>
      <c r="AO6" s="45"/>
      <c r="AP6" s="45"/>
      <c r="AQ6" s="46"/>
      <c r="AR6" s="45"/>
      <c r="AS6" s="47"/>
      <c r="AT6" s="48"/>
      <c r="AU6" s="48"/>
      <c r="AV6" s="125"/>
      <c r="AW6" s="56"/>
      <c r="AX6" s="57"/>
      <c r="AY6" s="56"/>
      <c r="AZ6" s="156"/>
      <c r="BB6" s="25"/>
      <c r="BC6" s="25"/>
      <c r="BD6" s="25"/>
      <c r="BE6" s="25"/>
      <c r="BF6" s="25"/>
      <c r="BG6" s="25"/>
      <c r="BH6" s="26"/>
      <c r="BI6" s="26"/>
      <c r="BJ6" s="26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</row>
    <row r="7" spans="1:78" s="16" customFormat="1" ht="15" x14ac:dyDescent="0.2">
      <c r="A7" s="154"/>
      <c r="B7" s="31" t="s">
        <v>248</v>
      </c>
      <c r="C7" s="252" t="s">
        <v>232</v>
      </c>
      <c r="D7" s="214" t="s">
        <v>207</v>
      </c>
      <c r="E7" s="214"/>
      <c r="F7" s="32" t="s">
        <v>55</v>
      </c>
      <c r="G7" s="217" t="s">
        <v>56</v>
      </c>
      <c r="H7" s="216" t="s">
        <v>7</v>
      </c>
      <c r="I7" s="216" t="s">
        <v>59</v>
      </c>
      <c r="J7" s="218" t="s">
        <v>229</v>
      </c>
      <c r="K7" s="216">
        <v>2</v>
      </c>
      <c r="L7" s="32">
        <v>2</v>
      </c>
      <c r="M7" s="34">
        <v>0</v>
      </c>
      <c r="N7" s="32">
        <v>2</v>
      </c>
      <c r="O7" s="32"/>
      <c r="P7" s="253">
        <v>205833</v>
      </c>
      <c r="Q7" s="36" t="str">
        <f t="shared" ref="Q7" si="0">F7</f>
        <v>Subscribed</v>
      </c>
      <c r="R7" s="32" t="s">
        <v>57</v>
      </c>
      <c r="S7" s="33">
        <v>24</v>
      </c>
      <c r="T7" s="58">
        <f>Y7</f>
        <v>10.052083333333334</v>
      </c>
      <c r="U7" s="39">
        <f>S7-T7</f>
        <v>13.947916666666666</v>
      </c>
      <c r="V7" s="33"/>
      <c r="W7" s="33">
        <f>IF(U7&lt;=0,0,(IF(Q7="Rated",(U7+V7)*#REF!,(U7+V7))))</f>
        <v>13.947916666666666</v>
      </c>
      <c r="X7" s="33">
        <f>IF(Q7="Rated",S7*#REF!,S7)</f>
        <v>24</v>
      </c>
      <c r="Y7" s="58">
        <f>AF7/28/24</f>
        <v>10.052083333333334</v>
      </c>
      <c r="Z7" s="33">
        <f>IF((U7*-1)&gt;0, (U7*-1), 0)</f>
        <v>0</v>
      </c>
      <c r="AA7" s="33"/>
      <c r="AB7" s="41" t="s">
        <v>56</v>
      </c>
      <c r="AC7" s="32"/>
      <c r="AD7" s="33"/>
      <c r="AE7" s="42"/>
      <c r="AF7" s="251">
        <v>6755</v>
      </c>
      <c r="AG7" s="43"/>
      <c r="AH7" s="44"/>
      <c r="AI7" s="33"/>
      <c r="AJ7" s="33"/>
      <c r="AK7" s="33"/>
      <c r="AL7" s="32"/>
      <c r="AM7" s="32"/>
      <c r="AN7" s="35"/>
      <c r="AO7" s="45"/>
      <c r="AP7" s="45"/>
      <c r="AQ7" s="46"/>
      <c r="AR7" s="45"/>
      <c r="AS7" s="47"/>
      <c r="AT7" s="48"/>
      <c r="AU7" s="48"/>
      <c r="AV7" s="125"/>
      <c r="AW7" s="56"/>
      <c r="AX7" s="57"/>
      <c r="AY7" s="56"/>
      <c r="AZ7" s="156"/>
      <c r="BB7" s="64"/>
      <c r="BC7" s="64"/>
      <c r="BD7" s="64"/>
      <c r="BE7" s="64"/>
      <c r="BF7" s="64"/>
      <c r="BG7" s="64"/>
      <c r="BH7" s="65"/>
      <c r="BI7" s="65"/>
      <c r="BJ7" s="65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</row>
    <row r="8" spans="1:78" s="179" customFormat="1" ht="16" thickBot="1" x14ac:dyDescent="0.25">
      <c r="A8" s="164"/>
      <c r="B8" s="165" t="s">
        <v>223</v>
      </c>
      <c r="C8" s="166"/>
      <c r="D8" s="166"/>
      <c r="E8" s="166"/>
      <c r="F8" s="167"/>
      <c r="G8" s="201"/>
      <c r="H8" s="201"/>
      <c r="I8" s="201"/>
      <c r="J8" s="201"/>
      <c r="K8" s="202"/>
      <c r="L8" s="166"/>
      <c r="M8" s="168"/>
      <c r="N8" s="166"/>
      <c r="O8" s="166"/>
      <c r="P8" s="166"/>
      <c r="Q8" s="169"/>
      <c r="R8" s="166"/>
      <c r="S8" s="170">
        <f>SUM(S3:S7)</f>
        <v>990</v>
      </c>
      <c r="T8" s="170">
        <f>SUM(T3:T7)</f>
        <v>695.52049107142864</v>
      </c>
      <c r="U8" s="171"/>
      <c r="V8" s="170"/>
      <c r="W8" s="170">
        <f>SUM(W3:W7)</f>
        <v>300.13988095238096</v>
      </c>
      <c r="X8" s="170">
        <f>SUM(X3:X7)</f>
        <v>990</v>
      </c>
      <c r="Y8" s="170">
        <f>SUM(Y3:Y7)</f>
        <v>695.52049107142864</v>
      </c>
      <c r="Z8" s="170"/>
      <c r="AA8" s="172"/>
      <c r="AB8" s="172"/>
      <c r="AC8" s="170"/>
      <c r="AD8" s="170"/>
      <c r="AE8" s="170"/>
      <c r="AF8" s="170"/>
      <c r="AG8" s="173"/>
      <c r="AH8" s="174"/>
      <c r="AI8" s="170"/>
      <c r="AJ8" s="170"/>
      <c r="AK8" s="170"/>
      <c r="AL8" s="170"/>
      <c r="AM8" s="170"/>
      <c r="AN8" s="170"/>
      <c r="AO8" s="175"/>
      <c r="AP8" s="175"/>
      <c r="AQ8" s="175"/>
      <c r="AR8" s="175"/>
      <c r="AS8" s="175"/>
      <c r="AT8" s="170"/>
      <c r="AU8" s="167"/>
      <c r="AV8" s="176"/>
      <c r="AW8" s="176"/>
      <c r="AX8" s="177"/>
      <c r="AY8" s="176"/>
      <c r="AZ8" s="178"/>
      <c r="BZ8" s="180"/>
    </row>
    <row r="9" spans="1:78" s="194" customFormat="1" x14ac:dyDescent="0.2">
      <c r="A9" s="181"/>
      <c r="B9" s="182"/>
      <c r="C9" s="182"/>
      <c r="D9" s="242"/>
      <c r="E9" s="242"/>
      <c r="F9" s="197"/>
      <c r="G9" s="205" t="s">
        <v>7</v>
      </c>
      <c r="H9" s="206">
        <f>COUNTIF(H3:H7,"=Rack")</f>
        <v>1</v>
      </c>
      <c r="I9" s="206"/>
      <c r="J9" s="206" t="s">
        <v>179</v>
      </c>
      <c r="K9" s="207">
        <f>SUMIF(H3:H7,"Rack",K3:K7)</f>
        <v>2</v>
      </c>
      <c r="L9" s="199"/>
      <c r="M9" s="183"/>
      <c r="N9" s="182"/>
      <c r="O9" s="182"/>
      <c r="P9" s="182"/>
      <c r="Q9" s="184"/>
      <c r="R9" s="182"/>
      <c r="S9" s="185"/>
      <c r="T9" s="185"/>
      <c r="U9" s="186"/>
      <c r="V9" s="185"/>
      <c r="W9" s="185"/>
      <c r="X9" s="185"/>
      <c r="Y9" s="185"/>
      <c r="Z9" s="185"/>
      <c r="AA9" s="187"/>
      <c r="AB9" s="187"/>
      <c r="AC9" s="185"/>
      <c r="AD9" s="185"/>
      <c r="AE9" s="185"/>
      <c r="AF9" s="185"/>
      <c r="AG9" s="188"/>
      <c r="AH9" s="189"/>
      <c r="AI9" s="185"/>
      <c r="AJ9" s="185"/>
      <c r="AK9" s="185"/>
      <c r="AL9" s="185"/>
      <c r="AM9" s="185"/>
      <c r="AN9" s="185"/>
      <c r="AO9" s="190"/>
      <c r="AP9" s="190"/>
      <c r="AQ9" s="190"/>
      <c r="AR9" s="190"/>
      <c r="AS9" s="190"/>
      <c r="AT9" s="185"/>
      <c r="AU9" s="129"/>
      <c r="AV9" s="191"/>
      <c r="AW9" s="191"/>
      <c r="AX9" s="192"/>
      <c r="AY9" s="191"/>
      <c r="AZ9" s="193"/>
      <c r="BZ9" s="195"/>
    </row>
    <row r="10" spans="1:78" s="194" customFormat="1" x14ac:dyDescent="0.2">
      <c r="A10" s="181"/>
      <c r="B10" s="182"/>
      <c r="C10" s="182"/>
      <c r="D10" s="242"/>
      <c r="E10" s="242"/>
      <c r="F10" s="197"/>
      <c r="G10" s="208" t="s">
        <v>3</v>
      </c>
      <c r="H10" s="196">
        <f>COUNTIF(H3:H7,"=Space")</f>
        <v>4</v>
      </c>
      <c r="I10" s="196"/>
      <c r="J10" s="196" t="s">
        <v>180</v>
      </c>
      <c r="K10" s="209">
        <f>SUMIF(H3:H7,"Space",K3:K7)/21</f>
        <v>326.66666666666669</v>
      </c>
      <c r="L10" s="199"/>
      <c r="M10" s="183"/>
      <c r="N10" s="182"/>
      <c r="O10" s="182"/>
      <c r="P10" s="182"/>
      <c r="Q10" s="184"/>
      <c r="R10" s="182"/>
      <c r="S10" s="185"/>
      <c r="T10" s="185"/>
      <c r="U10" s="186"/>
      <c r="V10" s="185"/>
      <c r="W10" s="185"/>
      <c r="X10" s="185"/>
      <c r="Y10" s="185"/>
      <c r="Z10" s="185"/>
      <c r="AA10" s="187"/>
      <c r="AB10" s="187"/>
      <c r="AC10" s="185"/>
      <c r="AD10" s="185"/>
      <c r="AE10" s="185"/>
      <c r="AF10" s="185"/>
      <c r="AG10" s="188"/>
      <c r="AH10" s="189"/>
      <c r="AI10" s="185"/>
      <c r="AJ10" s="185"/>
      <c r="AK10" s="185"/>
      <c r="AL10" s="185"/>
      <c r="AM10" s="185"/>
      <c r="AN10" s="185"/>
      <c r="AO10" s="190"/>
      <c r="AP10" s="190"/>
      <c r="AQ10" s="190"/>
      <c r="AR10" s="190"/>
      <c r="AS10" s="190"/>
      <c r="AT10" s="185"/>
      <c r="AU10" s="129"/>
      <c r="AV10" s="191"/>
      <c r="AW10" s="191"/>
      <c r="AX10" s="192"/>
      <c r="AY10" s="191"/>
      <c r="AZ10" s="193"/>
      <c r="BZ10" s="195"/>
    </row>
    <row r="11" spans="1:78" s="194" customFormat="1" x14ac:dyDescent="0.2">
      <c r="A11" s="181"/>
      <c r="B11" s="182"/>
      <c r="C11" s="182"/>
      <c r="D11" s="242"/>
      <c r="E11" s="242"/>
      <c r="F11" s="197"/>
      <c r="G11" s="208" t="s">
        <v>58</v>
      </c>
      <c r="H11" s="196">
        <f>COUNTIF(H3:H7,"=U space")</f>
        <v>0</v>
      </c>
      <c r="I11" s="196"/>
      <c r="J11" s="196" t="s">
        <v>58</v>
      </c>
      <c r="K11" s="209">
        <v>0</v>
      </c>
      <c r="L11" s="199"/>
      <c r="M11" s="183"/>
      <c r="N11" s="182"/>
      <c r="O11" s="182"/>
      <c r="P11" s="182"/>
      <c r="Q11" s="184"/>
      <c r="R11" s="182"/>
      <c r="S11" s="185"/>
      <c r="T11" s="185"/>
      <c r="U11" s="186"/>
      <c r="V11" s="185"/>
      <c r="W11" s="185"/>
      <c r="X11" s="185"/>
      <c r="Y11" s="185"/>
      <c r="Z11" s="185"/>
      <c r="AA11" s="187"/>
      <c r="AB11" s="187"/>
      <c r="AC11" s="185"/>
      <c r="AD11" s="185"/>
      <c r="AE11" s="185"/>
      <c r="AF11" s="185"/>
      <c r="AG11" s="188"/>
      <c r="AH11" s="189"/>
      <c r="AI11" s="185"/>
      <c r="AJ11" s="185"/>
      <c r="AK11" s="185"/>
      <c r="AL11" s="185"/>
      <c r="AM11" s="185"/>
      <c r="AN11" s="185"/>
      <c r="AO11" s="190"/>
      <c r="AP11" s="190"/>
      <c r="AQ11" s="190"/>
      <c r="AR11" s="190"/>
      <c r="AS11" s="190"/>
      <c r="AT11" s="185"/>
      <c r="AU11" s="129"/>
      <c r="AV11" s="191"/>
      <c r="AW11" s="191"/>
      <c r="AX11" s="192"/>
      <c r="AY11" s="191"/>
      <c r="AZ11" s="193"/>
      <c r="BZ11" s="195"/>
    </row>
    <row r="12" spans="1:78" ht="15" thickBot="1" x14ac:dyDescent="0.25">
      <c r="A12" s="181"/>
      <c r="B12" s="129"/>
      <c r="C12" s="63"/>
      <c r="D12" s="198"/>
      <c r="E12" s="198"/>
      <c r="F12" s="198"/>
      <c r="G12" s="210"/>
      <c r="H12" s="211"/>
      <c r="I12" s="211"/>
      <c r="J12" s="212" t="s">
        <v>0</v>
      </c>
      <c r="K12" s="213">
        <f>SUM(K9:K11)</f>
        <v>328.66666666666669</v>
      </c>
      <c r="L12" s="200"/>
      <c r="M12" s="130"/>
      <c r="N12" s="131"/>
      <c r="O12" s="131"/>
      <c r="P12" s="132"/>
      <c r="Q12" s="131"/>
      <c r="R12" s="131"/>
      <c r="S12" s="133"/>
      <c r="T12" s="63"/>
      <c r="U12" s="130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134"/>
      <c r="AG12" s="134"/>
      <c r="AH12" s="134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77"/>
      <c r="AW12" s="77"/>
      <c r="AX12" s="77"/>
      <c r="AY12" s="77"/>
      <c r="AZ12" s="81"/>
    </row>
    <row r="13" spans="1:78" s="16" customFormat="1" ht="15" x14ac:dyDescent="0.2">
      <c r="A13" s="154"/>
      <c r="B13" s="31" t="s">
        <v>237</v>
      </c>
      <c r="C13" s="252" t="s">
        <v>236</v>
      </c>
      <c r="D13" s="214" t="s">
        <v>207</v>
      </c>
      <c r="E13" s="214"/>
      <c r="F13" s="32" t="s">
        <v>55</v>
      </c>
      <c r="G13" s="217" t="s">
        <v>56</v>
      </c>
      <c r="H13" s="216" t="s">
        <v>7</v>
      </c>
      <c r="I13" s="216" t="s">
        <v>59</v>
      </c>
      <c r="J13" s="218" t="s">
        <v>229</v>
      </c>
      <c r="K13" s="216">
        <v>319</v>
      </c>
      <c r="L13" s="32">
        <v>53</v>
      </c>
      <c r="M13" s="34">
        <v>266</v>
      </c>
      <c r="N13" s="32">
        <v>53</v>
      </c>
      <c r="O13" s="32"/>
      <c r="P13" s="250"/>
      <c r="Q13" s="36" t="str">
        <f t="shared" ref="Q13" si="1">F13</f>
        <v>Subscribed</v>
      </c>
      <c r="R13" s="32" t="s">
        <v>57</v>
      </c>
      <c r="S13" s="33">
        <v>2160</v>
      </c>
      <c r="T13" s="58">
        <f>Y13</f>
        <v>360.56845238095235</v>
      </c>
      <c r="U13" s="39">
        <f>S13-T13</f>
        <v>1799.4315476190477</v>
      </c>
      <c r="V13" s="33"/>
      <c r="W13" s="33">
        <f>IF(U13&lt;=0,0,(IF(Q13="Rated",(U13+V13)*#REF!,(U13+V13))))</f>
        <v>1799.4315476190477</v>
      </c>
      <c r="X13" s="33">
        <f>IF(Q13="Rated",S13*#REF!,S13)</f>
        <v>2160</v>
      </c>
      <c r="Y13" s="58">
        <f>AF13/28/24</f>
        <v>360.56845238095235</v>
      </c>
      <c r="Z13" s="33">
        <f t="shared" ref="Z13" si="2">IF((U13*-1)&gt;0, (U13*-1), 0)</f>
        <v>0</v>
      </c>
      <c r="AA13" s="33"/>
      <c r="AB13" s="41" t="s">
        <v>56</v>
      </c>
      <c r="AC13" s="32"/>
      <c r="AD13" s="33"/>
      <c r="AE13" s="42"/>
      <c r="AF13" s="251">
        <v>242302</v>
      </c>
      <c r="AG13" s="43"/>
      <c r="AH13" s="44"/>
      <c r="AI13" s="33"/>
      <c r="AJ13" s="33"/>
      <c r="AK13" s="33"/>
      <c r="AL13" s="32"/>
      <c r="AM13" s="32"/>
      <c r="AN13" s="35"/>
      <c r="AO13" s="45"/>
      <c r="AP13" s="45"/>
      <c r="AQ13" s="46"/>
      <c r="AR13" s="45"/>
      <c r="AS13" s="47"/>
      <c r="AT13" s="48"/>
      <c r="AU13" s="48"/>
      <c r="AV13" s="125"/>
      <c r="AW13" s="56"/>
      <c r="AX13" s="57"/>
      <c r="AY13" s="56"/>
      <c r="AZ13" s="156"/>
      <c r="BB13" s="64"/>
      <c r="BC13" s="64"/>
      <c r="BD13" s="64"/>
      <c r="BE13" s="64"/>
      <c r="BF13" s="64"/>
      <c r="BG13" s="64"/>
      <c r="BH13" s="65"/>
      <c r="BI13" s="65"/>
      <c r="BJ13" s="65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</row>
    <row r="14" spans="1:78" s="179" customFormat="1" ht="16" thickBot="1" x14ac:dyDescent="0.25">
      <c r="A14" s="164"/>
      <c r="B14" s="165" t="s">
        <v>235</v>
      </c>
      <c r="C14" s="166"/>
      <c r="D14" s="166"/>
      <c r="E14" s="166"/>
      <c r="F14" s="167"/>
      <c r="G14" s="201"/>
      <c r="H14" s="201"/>
      <c r="I14" s="201"/>
      <c r="J14" s="201"/>
      <c r="K14" s="202"/>
      <c r="L14" s="166"/>
      <c r="M14" s="168"/>
      <c r="N14" s="166"/>
      <c r="O14" s="166"/>
      <c r="P14" s="166"/>
      <c r="Q14" s="169"/>
      <c r="R14" s="166"/>
      <c r="S14" s="170">
        <f>SUM(S13:S13)</f>
        <v>2160</v>
      </c>
      <c r="T14" s="170">
        <f>SUM(T13:T13)</f>
        <v>360.56845238095235</v>
      </c>
      <c r="U14" s="171"/>
      <c r="V14" s="170"/>
      <c r="W14" s="170">
        <f>SUM(W13:W13)</f>
        <v>1799.4315476190477</v>
      </c>
      <c r="X14" s="170">
        <f>SUM(X13:X13)</f>
        <v>2160</v>
      </c>
      <c r="Y14" s="170">
        <f>SUM(Y13:Y13)</f>
        <v>360.56845238095235</v>
      </c>
      <c r="Z14" s="170"/>
      <c r="AA14" s="172"/>
      <c r="AB14" s="172"/>
      <c r="AC14" s="170"/>
      <c r="AD14" s="170"/>
      <c r="AE14" s="170"/>
      <c r="AF14" s="170"/>
      <c r="AG14" s="173"/>
      <c r="AH14" s="174"/>
      <c r="AI14" s="170"/>
      <c r="AJ14" s="170"/>
      <c r="AK14" s="170"/>
      <c r="AL14" s="170"/>
      <c r="AM14" s="170"/>
      <c r="AN14" s="170"/>
      <c r="AO14" s="175"/>
      <c r="AP14" s="175"/>
      <c r="AQ14" s="175"/>
      <c r="AR14" s="175"/>
      <c r="AS14" s="175"/>
      <c r="AT14" s="170"/>
      <c r="AU14" s="167"/>
      <c r="AV14" s="176"/>
      <c r="AW14" s="176"/>
      <c r="AX14" s="177"/>
      <c r="AY14" s="176"/>
      <c r="AZ14" s="178"/>
      <c r="BZ14" s="180"/>
    </row>
    <row r="15" spans="1:78" s="194" customFormat="1" x14ac:dyDescent="0.2">
      <c r="A15" s="181"/>
      <c r="B15" s="182"/>
      <c r="C15" s="182"/>
      <c r="D15" s="242"/>
      <c r="E15" s="242"/>
      <c r="F15" s="197"/>
      <c r="G15" s="205" t="s">
        <v>7</v>
      </c>
      <c r="H15" s="206">
        <f>COUNTIF(H13:H13,"=Rack")</f>
        <v>1</v>
      </c>
      <c r="I15" s="206"/>
      <c r="J15" s="206" t="s">
        <v>179</v>
      </c>
      <c r="K15" s="207">
        <f>SUMIF(H13:H13,"Rack",K13:K13)</f>
        <v>319</v>
      </c>
      <c r="L15" s="199"/>
      <c r="M15" s="183"/>
      <c r="N15" s="182"/>
      <c r="O15" s="182"/>
      <c r="P15" s="182"/>
      <c r="Q15" s="184"/>
      <c r="R15" s="182"/>
      <c r="S15" s="185"/>
      <c r="T15" s="185"/>
      <c r="U15" s="186"/>
      <c r="V15" s="185"/>
      <c r="W15" s="185"/>
      <c r="X15" s="185"/>
      <c r="Y15" s="185"/>
      <c r="Z15" s="185"/>
      <c r="AA15" s="187"/>
      <c r="AB15" s="187"/>
      <c r="AC15" s="185"/>
      <c r="AD15" s="185"/>
      <c r="AE15" s="185"/>
      <c r="AF15" s="185"/>
      <c r="AG15" s="188"/>
      <c r="AH15" s="189"/>
      <c r="AI15" s="185"/>
      <c r="AJ15" s="185"/>
      <c r="AK15" s="185"/>
      <c r="AL15" s="185"/>
      <c r="AM15" s="185"/>
      <c r="AN15" s="185"/>
      <c r="AO15" s="190"/>
      <c r="AP15" s="190"/>
      <c r="AQ15" s="190"/>
      <c r="AR15" s="190"/>
      <c r="AS15" s="190"/>
      <c r="AT15" s="185"/>
      <c r="AU15" s="129"/>
      <c r="AV15" s="191"/>
      <c r="AW15" s="191"/>
      <c r="AX15" s="192"/>
      <c r="AY15" s="191"/>
      <c r="AZ15" s="193"/>
      <c r="BZ15" s="195"/>
    </row>
    <row r="16" spans="1:78" s="194" customFormat="1" x14ac:dyDescent="0.2">
      <c r="A16" s="181"/>
      <c r="B16" s="182"/>
      <c r="C16" s="182"/>
      <c r="D16" s="242"/>
      <c r="E16" s="242"/>
      <c r="F16" s="197"/>
      <c r="G16" s="208" t="s">
        <v>3</v>
      </c>
      <c r="H16" s="196">
        <f>COUNTIF(H13:H13,"=Space")</f>
        <v>0</v>
      </c>
      <c r="I16" s="196"/>
      <c r="J16" s="196" t="s">
        <v>180</v>
      </c>
      <c r="K16" s="209">
        <f>SUMIF(H13:H13,"Space",K13:K13)/21</f>
        <v>0</v>
      </c>
      <c r="L16" s="199"/>
      <c r="M16" s="183"/>
      <c r="N16" s="182"/>
      <c r="O16" s="182"/>
      <c r="P16" s="182"/>
      <c r="Q16" s="184"/>
      <c r="R16" s="182"/>
      <c r="S16" s="185"/>
      <c r="T16" s="185"/>
      <c r="U16" s="186"/>
      <c r="V16" s="185"/>
      <c r="W16" s="185"/>
      <c r="X16" s="185"/>
      <c r="Y16" s="185"/>
      <c r="Z16" s="185"/>
      <c r="AA16" s="187"/>
      <c r="AB16" s="187"/>
      <c r="AC16" s="185"/>
      <c r="AD16" s="185"/>
      <c r="AE16" s="185"/>
      <c r="AF16" s="185"/>
      <c r="AG16" s="188"/>
      <c r="AH16" s="189"/>
      <c r="AI16" s="185"/>
      <c r="AJ16" s="185"/>
      <c r="AK16" s="185"/>
      <c r="AL16" s="185"/>
      <c r="AM16" s="185"/>
      <c r="AN16" s="185"/>
      <c r="AO16" s="190"/>
      <c r="AP16" s="190"/>
      <c r="AQ16" s="190"/>
      <c r="AR16" s="190"/>
      <c r="AS16" s="190"/>
      <c r="AT16" s="185"/>
      <c r="AU16" s="129"/>
      <c r="AV16" s="191"/>
      <c r="AW16" s="191"/>
      <c r="AX16" s="192"/>
      <c r="AY16" s="191"/>
      <c r="AZ16" s="193"/>
      <c r="BZ16" s="195"/>
    </row>
    <row r="17" spans="1:78" s="194" customFormat="1" x14ac:dyDescent="0.2">
      <c r="A17" s="181"/>
      <c r="B17" s="182"/>
      <c r="C17" s="182"/>
      <c r="D17" s="242"/>
      <c r="E17" s="242"/>
      <c r="F17" s="197"/>
      <c r="G17" s="208" t="s">
        <v>58</v>
      </c>
      <c r="H17" s="196">
        <f>COUNTIF(H13:H13,"=U space")</f>
        <v>0</v>
      </c>
      <c r="I17" s="196"/>
      <c r="J17" s="196" t="s">
        <v>58</v>
      </c>
      <c r="K17" s="209">
        <v>0</v>
      </c>
      <c r="L17" s="199"/>
      <c r="M17" s="183"/>
      <c r="N17" s="182"/>
      <c r="O17" s="182"/>
      <c r="P17" s="182"/>
      <c r="Q17" s="184"/>
      <c r="R17" s="182"/>
      <c r="S17" s="185"/>
      <c r="T17" s="185"/>
      <c r="U17" s="186"/>
      <c r="V17" s="185"/>
      <c r="W17" s="185"/>
      <c r="X17" s="185"/>
      <c r="Y17" s="185"/>
      <c r="Z17" s="185"/>
      <c r="AA17" s="187"/>
      <c r="AB17" s="187"/>
      <c r="AC17" s="185"/>
      <c r="AD17" s="185"/>
      <c r="AE17" s="185"/>
      <c r="AF17" s="185"/>
      <c r="AG17" s="188"/>
      <c r="AH17" s="189"/>
      <c r="AI17" s="185"/>
      <c r="AJ17" s="185"/>
      <c r="AK17" s="185"/>
      <c r="AL17" s="185"/>
      <c r="AM17" s="185"/>
      <c r="AN17" s="185"/>
      <c r="AO17" s="190"/>
      <c r="AP17" s="190"/>
      <c r="AQ17" s="190"/>
      <c r="AR17" s="190"/>
      <c r="AS17" s="190"/>
      <c r="AT17" s="185"/>
      <c r="AU17" s="129"/>
      <c r="AV17" s="191"/>
      <c r="AW17" s="191"/>
      <c r="AX17" s="192"/>
      <c r="AY17" s="191"/>
      <c r="AZ17" s="193"/>
      <c r="BZ17" s="195"/>
    </row>
    <row r="18" spans="1:78" ht="15" thickBot="1" x14ac:dyDescent="0.25">
      <c r="A18" s="181"/>
      <c r="B18" s="129"/>
      <c r="C18" s="63"/>
      <c r="D18" s="198"/>
      <c r="E18" s="198"/>
      <c r="F18" s="198"/>
      <c r="G18" s="210"/>
      <c r="H18" s="211"/>
      <c r="I18" s="211"/>
      <c r="J18" s="212" t="s">
        <v>0</v>
      </c>
      <c r="K18" s="213">
        <f>SUM(K15:K17)</f>
        <v>319</v>
      </c>
      <c r="L18" s="200"/>
      <c r="M18" s="130"/>
      <c r="N18" s="131"/>
      <c r="O18" s="131"/>
      <c r="P18" s="132"/>
      <c r="Q18" s="131"/>
      <c r="R18" s="131"/>
      <c r="S18" s="133"/>
      <c r="T18" s="63"/>
      <c r="U18" s="130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134"/>
      <c r="AG18" s="134"/>
      <c r="AH18" s="134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77"/>
      <c r="AW18" s="77"/>
      <c r="AX18" s="77"/>
      <c r="AY18" s="77"/>
      <c r="AZ18" s="81"/>
    </row>
    <row r="19" spans="1:78" s="179" customFormat="1" ht="15" x14ac:dyDescent="0.2">
      <c r="A19" s="164"/>
      <c r="B19" s="165" t="s">
        <v>239</v>
      </c>
      <c r="C19" s="166"/>
      <c r="D19" s="166"/>
      <c r="E19" s="166"/>
      <c r="F19" s="167"/>
      <c r="G19" s="201"/>
      <c r="H19" s="201"/>
      <c r="I19" s="201"/>
      <c r="J19" s="201"/>
      <c r="K19" s="202"/>
      <c r="L19" s="166"/>
      <c r="M19" s="168"/>
      <c r="N19" s="166"/>
      <c r="O19" s="166"/>
      <c r="P19" s="166"/>
      <c r="Q19" s="169"/>
      <c r="R19" s="166"/>
      <c r="S19" s="170">
        <f>SUM(S20:S25)</f>
        <v>87</v>
      </c>
      <c r="T19" s="170">
        <f>SUM(T20:T25)</f>
        <v>43.21875</v>
      </c>
      <c r="U19" s="171"/>
      <c r="V19" s="170"/>
      <c r="W19" s="170">
        <f>SUM(W20:W25)</f>
        <v>43.78125</v>
      </c>
      <c r="X19" s="170">
        <f>SUM(X20:X25)</f>
        <v>87</v>
      </c>
      <c r="Y19" s="170">
        <f>SUM(Y20:Y25)</f>
        <v>43.21875</v>
      </c>
      <c r="Z19" s="170"/>
      <c r="AA19" s="172"/>
      <c r="AB19" s="172"/>
      <c r="AC19" s="170"/>
      <c r="AD19" s="170"/>
      <c r="AE19" s="170"/>
      <c r="AF19" s="170"/>
      <c r="AG19" s="173"/>
      <c r="AH19" s="174"/>
      <c r="AI19" s="170"/>
      <c r="AJ19" s="170"/>
      <c r="AK19" s="170"/>
      <c r="AL19" s="170"/>
      <c r="AM19" s="170"/>
      <c r="AN19" s="170"/>
      <c r="AO19" s="175"/>
      <c r="AP19" s="175"/>
      <c r="AQ19" s="175"/>
      <c r="AR19" s="175"/>
      <c r="AS19" s="175"/>
      <c r="AT19" s="170"/>
      <c r="AU19" s="167"/>
      <c r="AV19" s="176"/>
      <c r="AW19" s="176"/>
      <c r="AX19" s="177"/>
      <c r="AY19" s="176"/>
      <c r="AZ19" s="178"/>
      <c r="BZ19" s="180"/>
    </row>
    <row r="20" spans="1:78" ht="15" x14ac:dyDescent="0.2">
      <c r="A20" s="154" t="s">
        <v>133</v>
      </c>
      <c r="B20" s="31" t="s">
        <v>243</v>
      </c>
      <c r="C20" s="252" t="s">
        <v>240</v>
      </c>
      <c r="D20" s="137" t="s">
        <v>207</v>
      </c>
      <c r="E20" s="137"/>
      <c r="F20" s="32" t="s">
        <v>55</v>
      </c>
      <c r="G20" s="33" t="s">
        <v>56</v>
      </c>
      <c r="H20" s="32" t="s">
        <v>3</v>
      </c>
      <c r="I20" s="32" t="s">
        <v>52</v>
      </c>
      <c r="J20" s="30" t="str">
        <f t="shared" ref="J20" si="3">IF(H20="Rack","No of Racks",(IF(H20="Space","Sq Ft","U Space")))</f>
        <v>Sq Ft</v>
      </c>
      <c r="K20" s="32">
        <v>280</v>
      </c>
      <c r="L20" s="32">
        <v>280</v>
      </c>
      <c r="M20" s="34">
        <v>0</v>
      </c>
      <c r="N20" s="32">
        <v>280</v>
      </c>
      <c r="O20" s="32"/>
      <c r="P20" s="253">
        <v>725000</v>
      </c>
      <c r="Q20" s="36" t="str">
        <f t="shared" ref="Q20:Q21" si="4">F20</f>
        <v>Subscribed</v>
      </c>
      <c r="R20" s="32" t="s">
        <v>57</v>
      </c>
      <c r="S20" s="33">
        <v>30</v>
      </c>
      <c r="T20" s="58">
        <f>Y20</f>
        <v>22.592261904761902</v>
      </c>
      <c r="U20" s="39">
        <f>S20-T20</f>
        <v>7.4077380952380985</v>
      </c>
      <c r="V20" s="33"/>
      <c r="W20" s="33">
        <f>IF(U20&lt;=0,0,(IF(Q20="Rated",(U20+V20)*#REF!,(U20+V20))))</f>
        <v>7.4077380952380985</v>
      </c>
      <c r="X20" s="33">
        <f>IF(Q20="Rated",S20*#REF!,S20)</f>
        <v>30</v>
      </c>
      <c r="Y20" s="58">
        <f>AF20/28/24</f>
        <v>22.592261904761902</v>
      </c>
      <c r="Z20" s="33">
        <f t="shared" ref="Z20:Z22" si="5">IF((U20*-1)&gt;0, (U20*-1), 0)</f>
        <v>0</v>
      </c>
      <c r="AA20" s="33"/>
      <c r="AB20" s="41" t="str">
        <f>G20</f>
        <v>Metered</v>
      </c>
      <c r="AC20" s="33"/>
      <c r="AD20" s="33"/>
      <c r="AE20" s="42"/>
      <c r="AF20" s="251">
        <v>15182</v>
      </c>
      <c r="AG20" s="43"/>
      <c r="AH20" s="44" t="str">
        <f t="shared" ref="AH20:AH21" si="6">IF(AG20="No of Seats","No of Seats",(IF(AG20="Space","Sq Ft","")))</f>
        <v/>
      </c>
      <c r="AI20" s="33"/>
      <c r="AJ20" s="33"/>
      <c r="AK20" s="33"/>
      <c r="AL20" s="33"/>
      <c r="AM20" s="33"/>
      <c r="AN20" s="35"/>
      <c r="AO20" s="45"/>
      <c r="AP20" s="45"/>
      <c r="AQ20" s="46"/>
      <c r="AR20" s="45"/>
      <c r="AS20" s="47"/>
      <c r="AT20" s="48"/>
      <c r="AU20" s="48"/>
      <c r="AV20" s="125"/>
      <c r="AW20" s="56"/>
      <c r="AX20" s="57"/>
      <c r="AY20" s="56"/>
      <c r="AZ20" s="155"/>
      <c r="BB20" s="25"/>
      <c r="BC20" s="25"/>
      <c r="BD20" s="25"/>
      <c r="BE20" s="25"/>
      <c r="BF20" s="25"/>
      <c r="BG20" s="25"/>
      <c r="BH20" s="26"/>
      <c r="BI20" s="26"/>
      <c r="BJ20" s="26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</row>
    <row r="21" spans="1:78" s="16" customFormat="1" ht="15" x14ac:dyDescent="0.2">
      <c r="A21" s="154" t="s">
        <v>133</v>
      </c>
      <c r="B21" s="67" t="s">
        <v>242</v>
      </c>
      <c r="C21" s="252" t="s">
        <v>241</v>
      </c>
      <c r="D21" s="214" t="s">
        <v>207</v>
      </c>
      <c r="E21" s="214"/>
      <c r="F21" s="32" t="s">
        <v>55</v>
      </c>
      <c r="G21" s="33" t="s">
        <v>56</v>
      </c>
      <c r="H21" s="32" t="s">
        <v>7</v>
      </c>
      <c r="I21" s="32" t="s">
        <v>59</v>
      </c>
      <c r="J21" s="30" t="s">
        <v>7</v>
      </c>
      <c r="K21" s="32">
        <v>2</v>
      </c>
      <c r="L21" s="32">
        <v>2</v>
      </c>
      <c r="M21" s="34">
        <v>0</v>
      </c>
      <c r="N21" s="32">
        <v>2</v>
      </c>
      <c r="O21" s="32"/>
      <c r="P21" s="253">
        <v>26666</v>
      </c>
      <c r="Q21" s="36" t="str">
        <f t="shared" si="4"/>
        <v>Subscribed</v>
      </c>
      <c r="R21" s="32" t="s">
        <v>57</v>
      </c>
      <c r="S21" s="33">
        <v>12</v>
      </c>
      <c r="T21" s="58">
        <f>Y21</f>
        <v>3.1130952380952377</v>
      </c>
      <c r="U21" s="39">
        <f t="shared" ref="U21" si="7">S21-T21</f>
        <v>8.8869047619047628</v>
      </c>
      <c r="V21" s="33"/>
      <c r="W21" s="33">
        <f>IF(U21&lt;=0,0,(IF(Q21="Rated",(U21+V21)*#REF!,(U21+V21))))</f>
        <v>8.8869047619047628</v>
      </c>
      <c r="X21" s="33">
        <f>IF(Q21="Rated",S21*#REF!,S21)</f>
        <v>12</v>
      </c>
      <c r="Y21" s="58">
        <f>AF21/28/24</f>
        <v>3.1130952380952377</v>
      </c>
      <c r="Z21" s="33">
        <f t="shared" si="5"/>
        <v>0</v>
      </c>
      <c r="AA21" s="33"/>
      <c r="AB21" s="41" t="str">
        <f t="shared" ref="AB21:AB22" si="8">G21</f>
        <v>Metered</v>
      </c>
      <c r="AC21" s="32"/>
      <c r="AD21" s="33"/>
      <c r="AE21" s="42"/>
      <c r="AF21" s="251">
        <v>2092</v>
      </c>
      <c r="AG21" s="43"/>
      <c r="AH21" s="44" t="str">
        <f t="shared" si="6"/>
        <v/>
      </c>
      <c r="AI21" s="33"/>
      <c r="AJ21" s="33"/>
      <c r="AK21" s="33"/>
      <c r="AL21" s="32"/>
      <c r="AM21" s="32"/>
      <c r="AN21" s="35"/>
      <c r="AO21" s="45"/>
      <c r="AP21" s="45"/>
      <c r="AQ21" s="46"/>
      <c r="AR21" s="45"/>
      <c r="AS21" s="47"/>
      <c r="AT21" s="48"/>
      <c r="AU21" s="48"/>
      <c r="AV21" s="125"/>
      <c r="AW21" s="56"/>
      <c r="AX21" s="57"/>
      <c r="AY21" s="56"/>
      <c r="AZ21" s="155"/>
      <c r="BB21" s="25"/>
      <c r="BC21" s="25"/>
      <c r="BD21" s="25"/>
      <c r="BE21" s="25"/>
      <c r="BF21" s="25"/>
      <c r="BG21" s="25"/>
      <c r="BH21" s="26"/>
      <c r="BI21" s="26"/>
      <c r="BJ21" s="26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</row>
    <row r="22" spans="1:78" s="16" customFormat="1" ht="15" x14ac:dyDescent="0.2">
      <c r="A22" s="154"/>
      <c r="B22" s="249" t="s">
        <v>249</v>
      </c>
      <c r="C22" s="252" t="s">
        <v>228</v>
      </c>
      <c r="D22" s="214" t="s">
        <v>207</v>
      </c>
      <c r="E22" s="214"/>
      <c r="F22" s="32" t="s">
        <v>55</v>
      </c>
      <c r="G22" s="33" t="s">
        <v>51</v>
      </c>
      <c r="H22" s="32" t="s">
        <v>7</v>
      </c>
      <c r="I22" s="32" t="s">
        <v>59</v>
      </c>
      <c r="J22" s="30" t="s">
        <v>7</v>
      </c>
      <c r="K22" s="32">
        <v>5</v>
      </c>
      <c r="L22" s="32">
        <v>5</v>
      </c>
      <c r="M22" s="34">
        <v>0</v>
      </c>
      <c r="N22" s="32">
        <v>5</v>
      </c>
      <c r="O22" s="32"/>
      <c r="P22" s="253">
        <v>157500</v>
      </c>
      <c r="Q22" s="36" t="s">
        <v>55</v>
      </c>
      <c r="R22" s="32" t="s">
        <v>57</v>
      </c>
      <c r="S22" s="33">
        <v>45</v>
      </c>
      <c r="T22" s="58">
        <f>Y22</f>
        <v>17.513392857142858</v>
      </c>
      <c r="U22" s="39">
        <f t="shared" ref="U22" si="9">S22-T22</f>
        <v>27.486607142857142</v>
      </c>
      <c r="V22" s="33"/>
      <c r="W22" s="33">
        <f>IF(U22&lt;=0,0,(IF(Q22="Rated",(U22+V22)*#REF!,(U22+V22))))</f>
        <v>27.486607142857142</v>
      </c>
      <c r="X22" s="33">
        <f>IF(Q22="Rated",S22*#REF!,S22)</f>
        <v>45</v>
      </c>
      <c r="Y22" s="58">
        <f>AF22/28/24</f>
        <v>17.513392857142858</v>
      </c>
      <c r="Z22" s="33">
        <f t="shared" si="5"/>
        <v>0</v>
      </c>
      <c r="AA22" s="33"/>
      <c r="AB22" s="41" t="str">
        <f t="shared" si="8"/>
        <v>Bundled</v>
      </c>
      <c r="AC22" s="32"/>
      <c r="AD22" s="33"/>
      <c r="AE22" s="42"/>
      <c r="AF22" s="251">
        <v>11769</v>
      </c>
      <c r="AG22" s="43"/>
      <c r="AH22" s="44"/>
      <c r="AI22" s="33"/>
      <c r="AJ22" s="33"/>
      <c r="AK22" s="33"/>
      <c r="AL22" s="32"/>
      <c r="AM22" s="32"/>
      <c r="AN22" s="35"/>
      <c r="AO22" s="45"/>
      <c r="AP22" s="45"/>
      <c r="AQ22" s="46"/>
      <c r="AR22" s="45"/>
      <c r="AS22" s="47"/>
      <c r="AT22" s="48"/>
      <c r="AU22" s="48"/>
      <c r="AV22" s="125"/>
      <c r="AW22" s="56"/>
      <c r="AX22" s="57"/>
      <c r="AY22" s="56"/>
      <c r="AZ22" s="155"/>
      <c r="BB22" s="52"/>
      <c r="BC22" s="52"/>
      <c r="BD22" s="52"/>
      <c r="BE22" s="52"/>
      <c r="BF22" s="52"/>
      <c r="BG22" s="52"/>
      <c r="BH22" s="53"/>
      <c r="BI22" s="53"/>
      <c r="BJ22" s="53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</row>
    <row r="23" spans="1:78" s="16" customFormat="1" x14ac:dyDescent="0.2">
      <c r="A23" s="154"/>
      <c r="B23" s="31"/>
      <c r="C23" s="252"/>
      <c r="D23" s="214"/>
      <c r="E23" s="214"/>
      <c r="F23" s="32"/>
      <c r="G23" s="33"/>
      <c r="H23" s="32"/>
      <c r="I23" s="32"/>
      <c r="J23" s="30"/>
      <c r="K23" s="32"/>
      <c r="L23" s="32"/>
      <c r="M23" s="34"/>
      <c r="N23" s="32"/>
      <c r="O23" s="32"/>
      <c r="P23" s="250"/>
      <c r="Q23" s="36"/>
      <c r="R23" s="32"/>
      <c r="S23" s="33"/>
      <c r="T23" s="58"/>
      <c r="U23" s="39"/>
      <c r="V23" s="33"/>
      <c r="W23" s="33"/>
      <c r="X23" s="33"/>
      <c r="Y23" s="58"/>
      <c r="Z23" s="33"/>
      <c r="AA23" s="33"/>
      <c r="AB23" s="41"/>
      <c r="AC23" s="32"/>
      <c r="AD23" s="33"/>
      <c r="AE23" s="42"/>
      <c r="AF23" s="251"/>
      <c r="AG23" s="43"/>
      <c r="AH23" s="44"/>
      <c r="AI23" s="33"/>
      <c r="AJ23" s="33"/>
      <c r="AK23" s="33"/>
      <c r="AL23" s="32"/>
      <c r="AM23" s="32"/>
      <c r="AN23" s="35"/>
      <c r="AO23" s="45"/>
      <c r="AP23" s="45"/>
      <c r="AQ23" s="46"/>
      <c r="AR23" s="45"/>
      <c r="AS23" s="47"/>
      <c r="AT23" s="48"/>
      <c r="AU23" s="48"/>
      <c r="AV23" s="125"/>
      <c r="AW23" s="56"/>
      <c r="AX23" s="57"/>
      <c r="AY23" s="56"/>
      <c r="AZ23" s="156"/>
      <c r="BB23" s="25"/>
      <c r="BC23" s="25"/>
      <c r="BD23" s="25"/>
      <c r="BE23" s="25"/>
      <c r="BF23" s="25"/>
      <c r="BG23" s="25"/>
      <c r="BH23" s="26"/>
      <c r="BI23" s="26"/>
      <c r="BJ23" s="26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</row>
    <row r="24" spans="1:78" s="16" customFormat="1" x14ac:dyDescent="0.2">
      <c r="A24" s="154"/>
      <c r="B24" s="31"/>
      <c r="C24" s="252"/>
      <c r="D24" s="214"/>
      <c r="E24" s="214"/>
      <c r="F24" s="32"/>
      <c r="G24" s="217"/>
      <c r="H24" s="216"/>
      <c r="I24" s="216"/>
      <c r="J24" s="218"/>
      <c r="K24" s="216"/>
      <c r="L24" s="32"/>
      <c r="M24" s="34"/>
      <c r="N24" s="32"/>
      <c r="O24" s="32"/>
      <c r="P24" s="250"/>
      <c r="Q24" s="36"/>
      <c r="R24" s="32"/>
      <c r="S24" s="33"/>
      <c r="T24" s="58"/>
      <c r="U24" s="39"/>
      <c r="V24" s="33"/>
      <c r="W24" s="33"/>
      <c r="X24" s="33"/>
      <c r="Y24" s="58"/>
      <c r="Z24" s="33"/>
      <c r="AA24" s="33"/>
      <c r="AB24" s="41"/>
      <c r="AC24" s="32"/>
      <c r="AD24" s="33"/>
      <c r="AE24" s="42"/>
      <c r="AF24" s="251"/>
      <c r="AG24" s="43"/>
      <c r="AH24" s="44"/>
      <c r="AI24" s="33"/>
      <c r="AJ24" s="33"/>
      <c r="AK24" s="33"/>
      <c r="AL24" s="32"/>
      <c r="AM24" s="32"/>
      <c r="AN24" s="35"/>
      <c r="AO24" s="45"/>
      <c r="AP24" s="45"/>
      <c r="AQ24" s="46"/>
      <c r="AR24" s="45"/>
      <c r="AS24" s="47"/>
      <c r="AT24" s="48"/>
      <c r="AU24" s="48"/>
      <c r="AV24" s="125"/>
      <c r="AW24" s="56"/>
      <c r="AX24" s="57"/>
      <c r="AY24" s="56"/>
      <c r="AZ24" s="156"/>
      <c r="BB24" s="64"/>
      <c r="BC24" s="64"/>
      <c r="BD24" s="64"/>
      <c r="BE24" s="64"/>
      <c r="BF24" s="64"/>
      <c r="BG24" s="64"/>
      <c r="BH24" s="65"/>
      <c r="BI24" s="65"/>
      <c r="BJ24" s="65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</row>
    <row r="25" spans="1:78" s="16" customFormat="1" ht="15" thickBot="1" x14ac:dyDescent="0.25">
      <c r="A25" s="154"/>
      <c r="B25" s="31"/>
      <c r="C25" s="252"/>
      <c r="D25" s="214"/>
      <c r="E25" s="214"/>
      <c r="F25" s="32"/>
      <c r="G25" s="217"/>
      <c r="H25" s="216"/>
      <c r="I25" s="216"/>
      <c r="J25" s="218"/>
      <c r="K25" s="216"/>
      <c r="L25" s="32"/>
      <c r="M25" s="34"/>
      <c r="N25" s="32"/>
      <c r="O25" s="32"/>
      <c r="P25" s="250"/>
      <c r="Q25" s="36"/>
      <c r="R25" s="32"/>
      <c r="S25" s="33"/>
      <c r="T25" s="58"/>
      <c r="U25" s="39"/>
      <c r="V25" s="33"/>
      <c r="W25" s="33"/>
      <c r="X25" s="33"/>
      <c r="Y25" s="58"/>
      <c r="Z25" s="33"/>
      <c r="AA25" s="33"/>
      <c r="AB25" s="41"/>
      <c r="AC25" s="32"/>
      <c r="AD25" s="33"/>
      <c r="AE25" s="42"/>
      <c r="AF25" s="251"/>
      <c r="AG25" s="43"/>
      <c r="AH25" s="44"/>
      <c r="AI25" s="33"/>
      <c r="AJ25" s="33"/>
      <c r="AK25" s="33"/>
      <c r="AL25" s="32"/>
      <c r="AM25" s="32"/>
      <c r="AN25" s="35"/>
      <c r="AO25" s="45"/>
      <c r="AP25" s="45"/>
      <c r="AQ25" s="46"/>
      <c r="AR25" s="45"/>
      <c r="AS25" s="47"/>
      <c r="AT25" s="48"/>
      <c r="AU25" s="48"/>
      <c r="AV25" s="125"/>
      <c r="AW25" s="56"/>
      <c r="AX25" s="57"/>
      <c r="AY25" s="56"/>
      <c r="AZ25" s="156"/>
      <c r="BB25" s="64"/>
      <c r="BC25" s="64"/>
      <c r="BD25" s="64"/>
      <c r="BE25" s="64"/>
      <c r="BF25" s="64"/>
      <c r="BG25" s="64"/>
      <c r="BH25" s="65"/>
      <c r="BI25" s="65"/>
      <c r="BJ25" s="65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</row>
    <row r="26" spans="1:78" s="194" customFormat="1" x14ac:dyDescent="0.2">
      <c r="A26" s="181"/>
      <c r="B26" s="182"/>
      <c r="C26" s="182"/>
      <c r="D26" s="242"/>
      <c r="E26" s="242"/>
      <c r="F26" s="197"/>
      <c r="G26" s="205" t="s">
        <v>7</v>
      </c>
      <c r="H26" s="206">
        <f>COUNTIF(H20:H25,"=Rack")</f>
        <v>2</v>
      </c>
      <c r="I26" s="206"/>
      <c r="J26" s="206" t="s">
        <v>179</v>
      </c>
      <c r="K26" s="207">
        <f>SUMIF(H20:H25,"Rack",K20:K25)</f>
        <v>7</v>
      </c>
      <c r="L26" s="199"/>
      <c r="M26" s="183"/>
      <c r="N26" s="182"/>
      <c r="O26" s="182"/>
      <c r="P26" s="182"/>
      <c r="Q26" s="184"/>
      <c r="R26" s="182"/>
      <c r="S26" s="185"/>
      <c r="T26" s="185"/>
      <c r="U26" s="186"/>
      <c r="V26" s="185"/>
      <c r="W26" s="185"/>
      <c r="X26" s="185"/>
      <c r="Y26" s="185"/>
      <c r="Z26" s="185"/>
      <c r="AA26" s="187"/>
      <c r="AB26" s="187"/>
      <c r="AC26" s="185"/>
      <c r="AD26" s="185"/>
      <c r="AE26" s="185"/>
      <c r="AF26" s="185"/>
      <c r="AG26" s="188"/>
      <c r="AH26" s="189"/>
      <c r="AI26" s="185"/>
      <c r="AJ26" s="185"/>
      <c r="AK26" s="185"/>
      <c r="AL26" s="185"/>
      <c r="AM26" s="185"/>
      <c r="AN26" s="185"/>
      <c r="AO26" s="190"/>
      <c r="AP26" s="190"/>
      <c r="AQ26" s="190"/>
      <c r="AR26" s="190"/>
      <c r="AS26" s="190"/>
      <c r="AT26" s="185"/>
      <c r="AU26" s="129"/>
      <c r="AV26" s="191"/>
      <c r="AW26" s="191"/>
      <c r="AX26" s="192"/>
      <c r="AY26" s="191"/>
      <c r="AZ26" s="193"/>
      <c r="BZ26" s="195"/>
    </row>
    <row r="27" spans="1:78" s="194" customFormat="1" x14ac:dyDescent="0.2">
      <c r="A27" s="181"/>
      <c r="B27" s="182"/>
      <c r="C27" s="182"/>
      <c r="D27" s="242"/>
      <c r="E27" s="242"/>
      <c r="F27" s="197"/>
      <c r="G27" s="208" t="s">
        <v>3</v>
      </c>
      <c r="H27" s="196">
        <f>COUNTIF(H20:H25,"=Space")</f>
        <v>1</v>
      </c>
      <c r="I27" s="196"/>
      <c r="J27" s="196" t="s">
        <v>180</v>
      </c>
      <c r="K27" s="209">
        <f>SUMIF(H20:H25,"Space",K20:K25)/21</f>
        <v>13.333333333333334</v>
      </c>
      <c r="L27" s="199"/>
      <c r="M27" s="183"/>
      <c r="N27" s="182"/>
      <c r="O27" s="182"/>
      <c r="P27" s="182"/>
      <c r="Q27" s="184"/>
      <c r="R27" s="182"/>
      <c r="S27" s="185"/>
      <c r="T27" s="185"/>
      <c r="U27" s="186"/>
      <c r="V27" s="185"/>
      <c r="W27" s="185"/>
      <c r="X27" s="185"/>
      <c r="Y27" s="185"/>
      <c r="Z27" s="185"/>
      <c r="AA27" s="187"/>
      <c r="AB27" s="187"/>
      <c r="AC27" s="185"/>
      <c r="AD27" s="185"/>
      <c r="AE27" s="185"/>
      <c r="AF27" s="185"/>
      <c r="AG27" s="188"/>
      <c r="AH27" s="189"/>
      <c r="AI27" s="185"/>
      <c r="AJ27" s="185"/>
      <c r="AK27" s="185"/>
      <c r="AL27" s="185"/>
      <c r="AM27" s="185"/>
      <c r="AN27" s="185"/>
      <c r="AO27" s="190"/>
      <c r="AP27" s="190"/>
      <c r="AQ27" s="190"/>
      <c r="AR27" s="190"/>
      <c r="AS27" s="190"/>
      <c r="AT27" s="185"/>
      <c r="AU27" s="129"/>
      <c r="AV27" s="191"/>
      <c r="AW27" s="191"/>
      <c r="AX27" s="192"/>
      <c r="AY27" s="191"/>
      <c r="AZ27" s="193"/>
      <c r="BZ27" s="195"/>
    </row>
    <row r="28" spans="1:78" s="194" customFormat="1" x14ac:dyDescent="0.2">
      <c r="A28" s="181"/>
      <c r="B28" s="182"/>
      <c r="C28" s="182"/>
      <c r="D28" s="242"/>
      <c r="E28" s="242"/>
      <c r="F28" s="197"/>
      <c r="G28" s="208" t="s">
        <v>58</v>
      </c>
      <c r="H28" s="196">
        <f>COUNTIF(H20:H25,"=U space")</f>
        <v>0</v>
      </c>
      <c r="I28" s="196"/>
      <c r="J28" s="196" t="s">
        <v>58</v>
      </c>
      <c r="K28" s="209">
        <v>0</v>
      </c>
      <c r="L28" s="199"/>
      <c r="M28" s="183"/>
      <c r="N28" s="182"/>
      <c r="O28" s="182"/>
      <c r="P28" s="272"/>
      <c r="Q28" s="184"/>
      <c r="R28" s="182"/>
      <c r="S28" s="185"/>
      <c r="T28" s="185"/>
      <c r="U28" s="186"/>
      <c r="V28" s="185"/>
      <c r="W28" s="185"/>
      <c r="X28" s="185"/>
      <c r="Y28" s="185"/>
      <c r="Z28" s="185"/>
      <c r="AA28" s="187"/>
      <c r="AB28" s="187"/>
      <c r="AC28" s="185"/>
      <c r="AD28" s="185"/>
      <c r="AE28" s="185"/>
      <c r="AF28" s="185"/>
      <c r="AG28" s="188"/>
      <c r="AH28" s="189"/>
      <c r="AI28" s="185"/>
      <c r="AJ28" s="185"/>
      <c r="AK28" s="185"/>
      <c r="AL28" s="185"/>
      <c r="AM28" s="185"/>
      <c r="AN28" s="185"/>
      <c r="AO28" s="190"/>
      <c r="AP28" s="190"/>
      <c r="AQ28" s="190"/>
      <c r="AR28" s="190"/>
      <c r="AS28" s="190"/>
      <c r="AT28" s="185"/>
      <c r="AU28" s="129"/>
      <c r="AV28" s="191"/>
      <c r="AW28" s="191"/>
      <c r="AX28" s="192"/>
      <c r="AY28" s="191"/>
      <c r="AZ28" s="193"/>
      <c r="BZ28" s="195"/>
    </row>
    <row r="29" spans="1:78" ht="15" thickBot="1" x14ac:dyDescent="0.25">
      <c r="A29" s="181"/>
      <c r="B29" s="129"/>
      <c r="C29" s="63"/>
      <c r="D29" s="198"/>
      <c r="E29" s="198"/>
      <c r="F29" s="198"/>
      <c r="G29" s="210"/>
      <c r="H29" s="211"/>
      <c r="I29" s="211"/>
      <c r="J29" s="212" t="s">
        <v>0</v>
      </c>
      <c r="K29" s="213">
        <f>SUM(K26:K28)</f>
        <v>20.333333333333336</v>
      </c>
      <c r="L29" s="200"/>
      <c r="M29" s="130"/>
      <c r="N29" s="131"/>
      <c r="O29" s="131"/>
      <c r="P29" s="132"/>
      <c r="Q29" s="131"/>
      <c r="R29" s="131"/>
      <c r="S29" s="133"/>
      <c r="T29" s="63"/>
      <c r="U29" s="130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134"/>
      <c r="AG29" s="134"/>
      <c r="AH29" s="134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77"/>
      <c r="AW29" s="77"/>
      <c r="AX29" s="77"/>
      <c r="AY29" s="77"/>
      <c r="AZ29" s="81"/>
    </row>
  </sheetData>
  <mergeCells count="7">
    <mergeCell ref="AV1:AY1"/>
    <mergeCell ref="F1:G1"/>
    <mergeCell ref="H1:P1"/>
    <mergeCell ref="Q1:AA1"/>
    <mergeCell ref="AB1:AF1"/>
    <mergeCell ref="AG1:AN1"/>
    <mergeCell ref="AO1:AU1"/>
  </mergeCells>
  <conditionalFormatting sqref="BD6:BG19 BD23:BG29">
    <cfRule type="cellIs" dxfId="14" priority="42" operator="lessThan">
      <formula>#REF!</formula>
    </cfRule>
    <cfRule type="cellIs" dxfId="13" priority="43" operator="between">
      <formula>#REF!</formula>
      <formula>#REF!</formula>
    </cfRule>
    <cfRule type="cellIs" dxfId="12" priority="44" operator="between">
      <formula>#REF!</formula>
      <formula>#REF!</formula>
    </cfRule>
  </conditionalFormatting>
  <conditionalFormatting sqref="BD14:BG19 BD26:BG29">
    <cfRule type="cellIs" dxfId="11" priority="19" operator="greaterThan">
      <formula>#REF!</formula>
    </cfRule>
    <cfRule type="cellIs" dxfId="10" priority="20" operator="between">
      <formula>#REF!</formula>
      <formula>#REF!</formula>
    </cfRule>
  </conditionalFormatting>
  <conditionalFormatting sqref="BE3:BG5 BD4:BD5">
    <cfRule type="cellIs" dxfId="9" priority="127" operator="lessThan">
      <formula>#REF!</formula>
    </cfRule>
    <cfRule type="cellIs" dxfId="8" priority="128" operator="between">
      <formula>#REF!</formula>
      <formula>#REF!</formula>
    </cfRule>
    <cfRule type="cellIs" dxfId="7" priority="129" operator="between">
      <formula>#REF!</formula>
      <formula>#REF!</formula>
    </cfRule>
  </conditionalFormatting>
  <conditionalFormatting sqref="BE3:BG6 BD4:BD6 BD7:BG13">
    <cfRule type="cellIs" dxfId="6" priority="130" operator="greaterThan">
      <formula>#REF!</formula>
    </cfRule>
    <cfRule type="cellIs" dxfId="5" priority="131" operator="between">
      <formula>#REF!</formula>
      <formula>#REF!</formula>
    </cfRule>
  </conditionalFormatting>
  <conditionalFormatting sqref="BE20:BG22 BD21:BD22">
    <cfRule type="cellIs" dxfId="4" priority="5" operator="lessThan">
      <formula>#REF!</formula>
    </cfRule>
    <cfRule type="cellIs" dxfId="3" priority="6" operator="between">
      <formula>#REF!</formula>
      <formula>#REF!</formula>
    </cfRule>
    <cfRule type="cellIs" dxfId="2" priority="7" operator="between">
      <formula>#REF!</formula>
      <formula>#REF!</formula>
    </cfRule>
  </conditionalFormatting>
  <conditionalFormatting sqref="BE20:BG25 BD21:BD25">
    <cfRule type="cellIs" dxfId="1" priority="8" operator="greaterThan">
      <formula>#REF!</formula>
    </cfRule>
    <cfRule type="cellIs" dxfId="0" priority="9" operator="between">
      <formula>#REF!</formula>
      <formula>#REF!</formula>
    </cfRule>
  </conditionalFormatting>
  <conditionalFormatting sqref="BX3:BZ5">
    <cfRule type="colorScale" priority="20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6:BZ7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13:BZ1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0:BZ2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3:BZ2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G13:AG17 AG19:AG28 AG3:AG6 AG7:AG11" xr:uid="{2E0ECCD7-FC5F-4415-A146-D161148D3FE0}">
      <formula1>"No of Seats, Space"</formula1>
    </dataValidation>
    <dataValidation type="list" allowBlank="1" showInputMessage="1" showErrorMessage="1" sqref="F13 F20:F25 F3:F6 F7" xr:uid="{BADE2676-0DCD-4394-B2A7-9D532CF2E016}">
      <formula1>"Rated, Subscribed"</formula1>
    </dataValidation>
    <dataValidation type="list" allowBlank="1" showInputMessage="1" showErrorMessage="1" sqref="AU13 AU20:AU25 AU3:AU6 AU7" xr:uid="{B361C8C8-E448-4433-80DA-F845EBC6FF63}">
      <formula1>"Qtrly Adv, Qtry Ars, Monthly Adv, Monthly Ars"</formula1>
    </dataValidation>
    <dataValidation type="list" allowBlank="1" showInputMessage="1" showErrorMessage="1" sqref="R13 R20:R25 R3:R6 R7" xr:uid="{876F9D1F-4790-43D6-8A25-8F8877C473EA}">
      <formula1>"KW, KVA"</formula1>
    </dataValidation>
    <dataValidation type="list" allowBlank="1" showInputMessage="1" showErrorMessage="1" sqref="G13 G20:G25 G3:G6 G7" xr:uid="{D5007E4C-7042-4E2D-80FF-632CFC0855C1}">
      <formula1>"Bundled, Metered"</formula1>
    </dataValidation>
    <dataValidation type="list" allowBlank="1" showInputMessage="1" showErrorMessage="1" promptTitle="Rack, U Space, Cage" sqref="I13 I20:I25 I3:I6 I7" xr:uid="{E59F4775-1FCE-4B4B-B832-BE06D07AEB4D}">
      <formula1>"Caged, Uncaged"</formula1>
    </dataValidation>
    <dataValidation type="list" allowBlank="1" showInputMessage="1" showErrorMessage="1" sqref="AD13 AD20:AD25 AD3:AD6 AD7" xr:uid="{6A3AEF82-FA96-472C-8A5B-6A0F7411D0AA}">
      <formula1>"Fixed, Variable"</formula1>
    </dataValidation>
    <dataValidation type="list" allowBlank="1" showInputMessage="1" showErrorMessage="1" promptTitle="Rack, U Space, Cage" sqref="H13 H20:H25 H3:H6 H7" xr:uid="{44367A32-BF2C-4212-8CB2-2E252445E179}">
      <formula1>"Space, Rack, U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Terminated</vt:lpstr>
      <vt:lpstr>Noida-02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</dc:creator>
  <cp:lastModifiedBy>Roopesh Kumar P</cp:lastModifiedBy>
  <cp:lastPrinted>2026-03-08T11:15:50Z</cp:lastPrinted>
  <dcterms:created xsi:type="dcterms:W3CDTF">2008-09-01T12:11:01Z</dcterms:created>
  <dcterms:modified xsi:type="dcterms:W3CDTF">2026-03-18T06:32:34Z</dcterms:modified>
</cp:coreProperties>
</file>