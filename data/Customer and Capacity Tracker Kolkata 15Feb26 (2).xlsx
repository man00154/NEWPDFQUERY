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015762\Downloads\"/>
    </mc:Choice>
  </mc:AlternateContent>
  <bookViews>
    <workbookView xWindow="0" yWindow="0" windowWidth="20490" windowHeight="7635" tabRatio="500" activeTab="3"/>
  </bookViews>
  <sheets>
    <sheet name="Summary" sheetId="1" r:id="rId1"/>
    <sheet name="Inventory Summary" sheetId="2" r:id="rId2"/>
    <sheet name="Facility details " sheetId="3" r:id="rId3"/>
    <sheet name="Customer details" sheetId="4" r:id="rId4"/>
    <sheet name="Disconnection details" sheetId="5" r:id="rId5"/>
  </sheets>
  <definedNames>
    <definedName name="_xlnm._FilterDatabase" localSheetId="3" hidden="1">'Customer details'!$A$3:$BA$3</definedName>
  </definedNames>
  <calcPr calcId="15251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29" i="4" l="1"/>
  <c r="AQ29" i="4"/>
  <c r="AP29" i="4"/>
  <c r="AO29" i="4"/>
  <c r="AT29" i="4" s="1"/>
  <c r="X29" i="4"/>
  <c r="T29" i="4"/>
  <c r="P29" i="4"/>
  <c r="W29" i="4" s="1"/>
  <c r="N29" i="4"/>
  <c r="L29" i="4"/>
  <c r="I29" i="4"/>
  <c r="X28" i="4"/>
  <c r="T28" i="4"/>
  <c r="X27" i="4"/>
  <c r="T27" i="4"/>
  <c r="V27" i="4" s="1"/>
  <c r="AR28" i="4"/>
  <c r="AR27" i="4"/>
  <c r="AQ28" i="4"/>
  <c r="AQ27" i="4"/>
  <c r="AP28" i="4"/>
  <c r="AP27" i="4"/>
  <c r="AO28" i="4"/>
  <c r="AO27" i="4"/>
  <c r="P28" i="4"/>
  <c r="I28" i="4"/>
  <c r="P27" i="4"/>
  <c r="W27" i="4" s="1"/>
  <c r="I27" i="4"/>
  <c r="AR26" i="4"/>
  <c r="AQ26" i="4"/>
  <c r="AO26" i="4"/>
  <c r="X26" i="4"/>
  <c r="T26" i="4"/>
  <c r="AP26" i="4" s="1"/>
  <c r="P26" i="4"/>
  <c r="W26" i="4" s="1"/>
  <c r="N26" i="4"/>
  <c r="L26" i="4"/>
  <c r="I26" i="4"/>
  <c r="AR25" i="4"/>
  <c r="AQ25" i="4"/>
  <c r="AO25" i="4"/>
  <c r="X25" i="4"/>
  <c r="T25" i="4"/>
  <c r="P25" i="4"/>
  <c r="W25" i="4" s="1"/>
  <c r="N25" i="4"/>
  <c r="L25" i="4"/>
  <c r="I25" i="4"/>
  <c r="X16" i="4"/>
  <c r="AE1" i="5"/>
  <c r="AC1" i="5"/>
  <c r="AF1" i="5" s="1"/>
  <c r="Z1" i="5"/>
  <c r="AR24" i="4"/>
  <c r="AQ24" i="4"/>
  <c r="AO24" i="4"/>
  <c r="X24" i="4"/>
  <c r="T24" i="4"/>
  <c r="AP24" i="4" s="1"/>
  <c r="P24" i="4"/>
  <c r="I24" i="4"/>
  <c r="AR23" i="4"/>
  <c r="AQ23" i="4"/>
  <c r="AO23" i="4"/>
  <c r="X23" i="4"/>
  <c r="T23" i="4"/>
  <c r="P23" i="4"/>
  <c r="W23" i="4" s="1"/>
  <c r="N23" i="4"/>
  <c r="L23" i="4"/>
  <c r="I23" i="4"/>
  <c r="AR22" i="4"/>
  <c r="AQ22" i="4"/>
  <c r="AO22" i="4"/>
  <c r="X22" i="4"/>
  <c r="T22" i="4"/>
  <c r="P22" i="4"/>
  <c r="W22" i="4" s="1"/>
  <c r="N22" i="4"/>
  <c r="L22" i="4"/>
  <c r="I22" i="4"/>
  <c r="AR21" i="4"/>
  <c r="AQ21" i="4"/>
  <c r="AO21" i="4"/>
  <c r="X21" i="4"/>
  <c r="T21" i="4"/>
  <c r="P21" i="4"/>
  <c r="W21" i="4" s="1"/>
  <c r="N21" i="4"/>
  <c r="L21" i="4"/>
  <c r="I21" i="4"/>
  <c r="AR20" i="4"/>
  <c r="AQ20" i="4"/>
  <c r="AO20" i="4"/>
  <c r="X20" i="4"/>
  <c r="T20" i="4"/>
  <c r="P20" i="4"/>
  <c r="W20" i="4" s="1"/>
  <c r="N20" i="4"/>
  <c r="L20" i="4"/>
  <c r="I20" i="4"/>
  <c r="AR19" i="4"/>
  <c r="AQ19" i="4"/>
  <c r="AO19" i="4"/>
  <c r="X19" i="4"/>
  <c r="T19" i="4"/>
  <c r="P19" i="4"/>
  <c r="W19" i="4" s="1"/>
  <c r="N19" i="4"/>
  <c r="L19" i="4"/>
  <c r="I19" i="4"/>
  <c r="AR18" i="4"/>
  <c r="AQ18" i="4"/>
  <c r="AP18" i="4"/>
  <c r="AO18" i="4"/>
  <c r="AT18" i="4" s="1"/>
  <c r="X18" i="4"/>
  <c r="T18" i="4"/>
  <c r="P18" i="4"/>
  <c r="W18" i="4" s="1"/>
  <c r="N18" i="4"/>
  <c r="L18" i="4"/>
  <c r="I18" i="4"/>
  <c r="AR17" i="4"/>
  <c r="AQ17" i="4"/>
  <c r="AP17" i="4"/>
  <c r="AO17" i="4"/>
  <c r="AT17" i="4" s="1"/>
  <c r="X17" i="4"/>
  <c r="T17" i="4"/>
  <c r="P17" i="4"/>
  <c r="W17" i="4" s="1"/>
  <c r="N17" i="4"/>
  <c r="L17" i="4"/>
  <c r="I17" i="4"/>
  <c r="AR16" i="4"/>
  <c r="AQ16" i="4"/>
  <c r="AO16" i="4"/>
  <c r="T16" i="4"/>
  <c r="AP16" i="4" s="1"/>
  <c r="P16" i="4"/>
  <c r="W16" i="4" s="1"/>
  <c r="N16" i="4"/>
  <c r="L16" i="4"/>
  <c r="I16" i="4"/>
  <c r="AR15" i="4"/>
  <c r="AQ15" i="4"/>
  <c r="AP15" i="4"/>
  <c r="AO15" i="4"/>
  <c r="AT15" i="4" s="1"/>
  <c r="X15" i="4"/>
  <c r="T15" i="4"/>
  <c r="P15" i="4"/>
  <c r="W15" i="4" s="1"/>
  <c r="N15" i="4"/>
  <c r="L15" i="4"/>
  <c r="I15" i="4"/>
  <c r="AR14" i="4"/>
  <c r="AQ14" i="4"/>
  <c r="AO14" i="4"/>
  <c r="X14" i="4"/>
  <c r="T14" i="4"/>
  <c r="P14" i="4"/>
  <c r="W14" i="4" s="1"/>
  <c r="N14" i="4"/>
  <c r="L14" i="4"/>
  <c r="I14" i="4"/>
  <c r="AR13" i="4"/>
  <c r="AQ13" i="4"/>
  <c r="AP13" i="4"/>
  <c r="AO13" i="4"/>
  <c r="AT13" i="4" s="1"/>
  <c r="X13" i="4"/>
  <c r="T13" i="4"/>
  <c r="P13" i="4"/>
  <c r="W13" i="4" s="1"/>
  <c r="N13" i="4"/>
  <c r="L13" i="4"/>
  <c r="I13" i="4"/>
  <c r="AR12" i="4"/>
  <c r="AQ12" i="4"/>
  <c r="AP12" i="4"/>
  <c r="AO12" i="4"/>
  <c r="AT12" i="4" s="1"/>
  <c r="X12" i="4"/>
  <c r="T12" i="4"/>
  <c r="P12" i="4"/>
  <c r="W12" i="4" s="1"/>
  <c r="N12" i="4"/>
  <c r="L12" i="4"/>
  <c r="I12" i="4"/>
  <c r="AR11" i="4"/>
  <c r="AQ11" i="4"/>
  <c r="AO11" i="4"/>
  <c r="X11" i="4"/>
  <c r="T11" i="4"/>
  <c r="P11" i="4"/>
  <c r="W11" i="4" s="1"/>
  <c r="N11" i="4"/>
  <c r="L11" i="4"/>
  <c r="I11" i="4"/>
  <c r="AR10" i="4"/>
  <c r="AQ10" i="4"/>
  <c r="AO10" i="4"/>
  <c r="X10" i="4"/>
  <c r="T10" i="4"/>
  <c r="P10" i="4"/>
  <c r="W10" i="4" s="1"/>
  <c r="N10" i="4"/>
  <c r="L10" i="4"/>
  <c r="I10" i="4"/>
  <c r="AR9" i="4"/>
  <c r="AQ9" i="4"/>
  <c r="AO9" i="4"/>
  <c r="X9" i="4"/>
  <c r="T9" i="4"/>
  <c r="P9" i="4"/>
  <c r="W9" i="4" s="1"/>
  <c r="N9" i="4"/>
  <c r="L9" i="4"/>
  <c r="I9" i="4"/>
  <c r="AR8" i="4"/>
  <c r="AQ8" i="4"/>
  <c r="AP8" i="4"/>
  <c r="AO8" i="4"/>
  <c r="AT8" i="4" s="1"/>
  <c r="X8" i="4"/>
  <c r="T8" i="4"/>
  <c r="P8" i="4"/>
  <c r="W8" i="4" s="1"/>
  <c r="N8" i="4"/>
  <c r="L8" i="4"/>
  <c r="I8" i="4"/>
  <c r="AR7" i="4"/>
  <c r="AQ7" i="4"/>
  <c r="AO7" i="4"/>
  <c r="X7" i="4"/>
  <c r="T7" i="4"/>
  <c r="P7" i="4"/>
  <c r="W7" i="4" s="1"/>
  <c r="N7" i="4"/>
  <c r="L7" i="4"/>
  <c r="I7" i="4"/>
  <c r="AR6" i="4"/>
  <c r="AQ6" i="4"/>
  <c r="AP6" i="4"/>
  <c r="AO6" i="4"/>
  <c r="AT6" i="4" s="1"/>
  <c r="X6" i="4"/>
  <c r="T6" i="4"/>
  <c r="P6" i="4"/>
  <c r="W6" i="4" s="1"/>
  <c r="N6" i="4"/>
  <c r="L6" i="4"/>
  <c r="I6" i="4"/>
  <c r="AR5" i="4"/>
  <c r="AQ5" i="4"/>
  <c r="AO5" i="4"/>
  <c r="X5" i="4"/>
  <c r="T5" i="4"/>
  <c r="P5" i="4"/>
  <c r="W5" i="4" s="1"/>
  <c r="N5" i="4"/>
  <c r="L5" i="4"/>
  <c r="I5" i="4"/>
  <c r="AR4" i="4"/>
  <c r="AQ4" i="4"/>
  <c r="AP4" i="4"/>
  <c r="AO4" i="4"/>
  <c r="AT4" i="4" s="1"/>
  <c r="X4" i="4"/>
  <c r="T4" i="4"/>
  <c r="P4" i="4"/>
  <c r="W4" i="4" s="1"/>
  <c r="N4" i="4"/>
  <c r="L4" i="4"/>
  <c r="I4" i="4"/>
  <c r="AE1" i="4"/>
  <c r="AC1" i="4"/>
  <c r="AF1" i="4" s="1"/>
  <c r="Z1" i="4"/>
  <c r="X8" i="3"/>
  <c r="Z8" i="3" s="1"/>
  <c r="V8" i="3"/>
  <c r="N8" i="3"/>
  <c r="R8" i="3" s="1"/>
  <c r="B3" i="3"/>
  <c r="C4" i="3" s="1"/>
  <c r="K10" i="2"/>
  <c r="D10" i="2"/>
  <c r="E10" i="2" s="1"/>
  <c r="H3" i="2"/>
  <c r="F3" i="2"/>
  <c r="C7" i="1"/>
  <c r="W28" i="4" l="1"/>
  <c r="V28" i="4"/>
  <c r="V29" i="4"/>
  <c r="AT28" i="4"/>
  <c r="AT27" i="4"/>
  <c r="AT16" i="4"/>
  <c r="AT26" i="4"/>
  <c r="V26" i="4"/>
  <c r="AP25" i="4"/>
  <c r="V25" i="4"/>
  <c r="AT25" i="4"/>
  <c r="V4" i="4"/>
  <c r="AP5" i="4"/>
  <c r="V5" i="4"/>
  <c r="AT5" i="4"/>
  <c r="V6" i="4"/>
  <c r="AP7" i="4"/>
  <c r="V7" i="4"/>
  <c r="AT7" i="4"/>
  <c r="V8" i="4"/>
  <c r="AP9" i="4"/>
  <c r="V9" i="4"/>
  <c r="AT9" i="4"/>
  <c r="AP10" i="4"/>
  <c r="V10" i="4"/>
  <c r="AT10" i="4"/>
  <c r="AP11" i="4"/>
  <c r="V11" i="4"/>
  <c r="AT11" i="4"/>
  <c r="V12" i="4"/>
  <c r="V13" i="4"/>
  <c r="AP14" i="4"/>
  <c r="V14" i="4"/>
  <c r="AT14" i="4"/>
  <c r="V15" i="4"/>
  <c r="V16" i="4"/>
  <c r="V17" i="4"/>
  <c r="V18" i="4"/>
  <c r="AP19" i="4"/>
  <c r="V19" i="4"/>
  <c r="AT19" i="4"/>
  <c r="AP20" i="4"/>
  <c r="V20" i="4"/>
  <c r="AT20" i="4"/>
  <c r="AP21" i="4"/>
  <c r="V21" i="4"/>
  <c r="AT21" i="4"/>
  <c r="AP22" i="4"/>
  <c r="V22" i="4"/>
  <c r="AT22" i="4"/>
  <c r="AP23" i="4"/>
  <c r="V23" i="4"/>
  <c r="AT23" i="4"/>
  <c r="AT24" i="4"/>
</calcChain>
</file>

<file path=xl/comments1.xml><?xml version="1.0" encoding="utf-8"?>
<comments xmlns="http://schemas.openxmlformats.org/spreadsheetml/2006/main">
  <authors>
    <author/>
  </authors>
  <commentList>
    <comment ref="L16" authorId="0" shapeId="0">
      <text>
        <r>
          <rPr>
            <sz val="10"/>
            <color rgb="FF000000"/>
            <rFont val="Calibri"/>
            <family val="2"/>
            <charset val="1"/>
          </rPr>
          <t xml:space="preserve">800 KW for L6 &amp; 800 KW for L5
</t>
        </r>
      </text>
    </comment>
    <comment ref="L17" authorId="0" shapeId="0">
      <text>
        <r>
          <rPr>
            <sz val="10"/>
            <color rgb="FF000000"/>
            <rFont val="Calibri"/>
            <family val="2"/>
            <charset val="1"/>
          </rPr>
          <t>800 KW for L3 &amp; 800 KW for L4</t>
        </r>
      </text>
    </comment>
  </commentList>
</comments>
</file>

<file path=xl/sharedStrings.xml><?xml version="1.0" encoding="utf-8"?>
<sst xmlns="http://schemas.openxmlformats.org/spreadsheetml/2006/main" count="655" uniqueCount="249">
  <si>
    <t>Description</t>
  </si>
  <si>
    <t>UOM</t>
  </si>
  <si>
    <t>Value</t>
  </si>
  <si>
    <t>Actual Load KVA</t>
  </si>
  <si>
    <t>Remarks</t>
  </si>
  <si>
    <t>Utility Sanction Load kW</t>
  </si>
  <si>
    <t>KVA</t>
  </si>
  <si>
    <t xml:space="preserve">Utility Minimum billed Demand % </t>
  </si>
  <si>
    <t xml:space="preserve">Customer contracted capacity </t>
  </si>
  <si>
    <t xml:space="preserve">Actual Utilization IT Power </t>
  </si>
  <si>
    <t>POWER SUMMARY</t>
  </si>
  <si>
    <t>Contract Demand</t>
  </si>
  <si>
    <t>Utility Consumption</t>
  </si>
  <si>
    <t>Demand %</t>
  </si>
  <si>
    <t>IT Consump</t>
  </si>
  <si>
    <t>PUE</t>
  </si>
  <si>
    <t>TOTAL KOLKATA</t>
  </si>
  <si>
    <t>Inventory Summary</t>
  </si>
  <si>
    <t>IT kW Capacity</t>
  </si>
  <si>
    <t>IT kW Consumption</t>
  </si>
  <si>
    <t>Rackspace Capacity</t>
  </si>
  <si>
    <t>Design</t>
  </si>
  <si>
    <t>Sold</t>
  </si>
  <si>
    <t>Available</t>
  </si>
  <si>
    <t>Consumed</t>
  </si>
  <si>
    <t>% of Sold</t>
  </si>
  <si>
    <t>Des - Losses</t>
  </si>
  <si>
    <t xml:space="preserve">  Sold</t>
  </si>
  <si>
    <t>Total Overall</t>
  </si>
  <si>
    <t>L2</t>
  </si>
  <si>
    <t>As per the Sanction Letter</t>
  </si>
  <si>
    <t>Usage measured on 1of every month</t>
  </si>
  <si>
    <t>Utility Sanction Load KVA</t>
  </si>
  <si>
    <t xml:space="preserve">Utility Minimum Demand % </t>
  </si>
  <si>
    <t>Capacity Installed</t>
  </si>
  <si>
    <t>Transformer kW</t>
  </si>
  <si>
    <t>No of TX</t>
  </si>
  <si>
    <t>Catcher TX kW</t>
  </si>
  <si>
    <t>No. Of catcher</t>
  </si>
  <si>
    <t>Actual Load kW</t>
  </si>
  <si>
    <t>Generator kW</t>
  </si>
  <si>
    <t>No of DG</t>
  </si>
  <si>
    <t>Catcher DG kW</t>
  </si>
  <si>
    <t>UPS kW</t>
  </si>
  <si>
    <t>UPS Config</t>
  </si>
  <si>
    <t>IT capacity Installed kW</t>
  </si>
  <si>
    <t>IT Power Sold in kW ( concidering unity as PF)</t>
  </si>
  <si>
    <t>Allocated IT Power to customer ( Taking 50% as divercity factor for rated power customer )</t>
  </si>
  <si>
    <t>IT kW Usage</t>
  </si>
  <si>
    <t>Avaialble IT kW Design-Used</t>
  </si>
  <si>
    <t>Available IT kW Design-Sold</t>
  </si>
  <si>
    <t>Available IT kW Design-Sold ( Allocated capacity)</t>
  </si>
  <si>
    <t>MAX Rack Capacity</t>
  </si>
  <si>
    <t>Racks which can be placed on floor</t>
  </si>
  <si>
    <t>Rack losss ( Cage+ non standard rack+ path)</t>
  </si>
  <si>
    <t>Available space</t>
  </si>
  <si>
    <t>Designed White Space ( in SQ FT)</t>
  </si>
  <si>
    <t>Used White Space( in SQ FT)</t>
  </si>
  <si>
    <t>Avaialble White Space ( in SQ FT)</t>
  </si>
  <si>
    <t>Mention the design kW capacity of Transformer</t>
  </si>
  <si>
    <t>Mention the design kW capacity of Generator</t>
  </si>
  <si>
    <t>Mention the design N capacity in kw in a N+N Configuration</t>
  </si>
  <si>
    <t>Installed including interfloor shared capacity</t>
  </si>
  <si>
    <t>Customer subscribed IT kW</t>
  </si>
  <si>
    <t>Allocated power</t>
  </si>
  <si>
    <t>Measured on 1st of every month</t>
  </si>
  <si>
    <t xml:space="preserve">Bank A (600 KW) </t>
  </si>
  <si>
    <t xml:space="preserve">Bank B (600 KW) </t>
  </si>
  <si>
    <t xml:space="preserve">Divisification </t>
  </si>
  <si>
    <t>Rated to Consumed</t>
  </si>
  <si>
    <t>Actual PUE</t>
  </si>
  <si>
    <t>Actual Unit Rate:</t>
  </si>
  <si>
    <t>Genset Hr/Mo</t>
  </si>
  <si>
    <t>Billing Model</t>
  </si>
  <si>
    <t>Space</t>
  </si>
  <si>
    <t>Power Capacity</t>
  </si>
  <si>
    <t>Power Usage</t>
  </si>
  <si>
    <t>Seating Space</t>
  </si>
  <si>
    <t>Revenue (Monthly )</t>
  </si>
  <si>
    <t>Contract Information</t>
  </si>
  <si>
    <t>Floor</t>
  </si>
  <si>
    <t>Floor / Module</t>
  </si>
  <si>
    <t>Customer Name</t>
  </si>
  <si>
    <t>RHS/SH</t>
  </si>
  <si>
    <t>Power Subscription Model (Rated/Subscribed)</t>
  </si>
  <si>
    <t>Power Usage Model (Bundled / Metered)</t>
  </si>
  <si>
    <t>Subscription Mode</t>
  </si>
  <si>
    <t>Caged /Uncaged</t>
  </si>
  <si>
    <t>UoM</t>
  </si>
  <si>
    <t>Subscription</t>
  </si>
  <si>
    <t>In Use</t>
  </si>
  <si>
    <t>Yet to be given/</t>
  </si>
  <si>
    <t>Billed</t>
  </si>
  <si>
    <t>Reserved Capacity if any (Non-Billable)</t>
  </si>
  <si>
    <t>Per Unit rate (MRC)</t>
  </si>
  <si>
    <t>Subscription Model</t>
  </si>
  <si>
    <t xml:space="preserve">Total Capacity Purchased </t>
  </si>
  <si>
    <t>Capacity in Use</t>
  </si>
  <si>
    <t>Capacity to be given</t>
  </si>
  <si>
    <t>Reserved Capacity        if any</t>
  </si>
  <si>
    <t>Subscribed Capacity to be given in KW</t>
  </si>
  <si>
    <t>"Allocated" Capacity in KW</t>
  </si>
  <si>
    <t>DC NW Infra</t>
  </si>
  <si>
    <t>Usage in KW</t>
  </si>
  <si>
    <t>Billable Additional Capacity</t>
  </si>
  <si>
    <t>Additional Capacity Charges (MRC)</t>
  </si>
  <si>
    <t>Usage Model</t>
  </si>
  <si>
    <t>Multiplier</t>
  </si>
  <si>
    <t>Unit rate Model (Fixed/Variable)</t>
  </si>
  <si>
    <t>Unit Rate (per KW-HR)</t>
  </si>
  <si>
    <t>No Of Units 
(KW-HR/ Month</t>
  </si>
  <si>
    <t>Yet to be given</t>
  </si>
  <si>
    <t>Per Unit rate</t>
  </si>
  <si>
    <t>Space revenue including capacity</t>
  </si>
  <si>
    <t>Additional Capacity Revenue</t>
  </si>
  <si>
    <t>Power Usage revenue</t>
  </si>
  <si>
    <t>Any Other Items</t>
  </si>
  <si>
    <t>Total Revenue</t>
  </si>
  <si>
    <t>Billing Frequency</t>
  </si>
  <si>
    <t>Sales Order ref No</t>
  </si>
  <si>
    <t>Contract Start Date</t>
  </si>
  <si>
    <t>Term of Contract (No of Years)</t>
  </si>
  <si>
    <t>Current Expiry Date</t>
  </si>
  <si>
    <t>Remarks if any</t>
  </si>
  <si>
    <t>2nd Floor, RDB|PRIMARC-01, Tower-C</t>
  </si>
  <si>
    <t>NU VISTA LIMITED</t>
  </si>
  <si>
    <t>YES</t>
  </si>
  <si>
    <t>Rated</t>
  </si>
  <si>
    <t>Bundled</t>
  </si>
  <si>
    <t>Rack</t>
  </si>
  <si>
    <t>Uncaged</t>
  </si>
  <si>
    <t>Fixed</t>
  </si>
  <si>
    <t>No of Seats</t>
  </si>
  <si>
    <t>NA</t>
  </si>
  <si>
    <t>25.08.2020</t>
  </si>
  <si>
    <t>PO Expiry date is not mention.Any Other Item (column AS) add RHS cost and 3 Cross connect cost MRC. customer having Ethernet-4 (Sify-2,Airtel-1,TCL-1) cross connect.</t>
  </si>
  <si>
    <t>EASTERN &amp; NORTH- EAST FRONTIER RAILWAY CO-OP BANK LTD</t>
  </si>
  <si>
    <t>NO</t>
  </si>
  <si>
    <t>CB/CBS/SIFY/DC_HOSTING/PO_REV/2020-21</t>
  </si>
  <si>
    <t>22.11.2020</t>
  </si>
  <si>
    <t>Yes</t>
  </si>
  <si>
    <t>12.12.2025</t>
  </si>
  <si>
    <r>
      <rPr>
        <sz val="8"/>
        <color rgb="FF000000"/>
        <rFont val="Trebuchet MS"/>
      </rPr>
      <t>This customer having Ethernet-4 (Sify-2,BSNL-2) cross connect . RHS and Cross connect ARC is not mention at customer PO.PO validity-5 Years.</t>
    </r>
    <r>
      <rPr>
        <sz val="8"/>
        <color rgb="FFFF0000"/>
        <rFont val="Trebuchet MS"/>
      </rPr>
      <t>As per mail this customer service disconnected. We are waiting for confirmation mail.</t>
    </r>
  </si>
  <si>
    <t>IFB INDUSTRIES LIMITED</t>
  </si>
  <si>
    <t>15.02.2024</t>
  </si>
  <si>
    <r>
      <rPr>
        <sz val="8"/>
        <color rgb="FF000000"/>
        <rFont val="Trebuchet MS"/>
      </rPr>
      <t xml:space="preserve">PO Number not mention at Customer PO Copy. RHS , Fire proof vault MRC added at Any Other Item (column AS).Cross connect cost not mention ,as we have only 3 month PO but not impliment the same. </t>
    </r>
    <r>
      <rPr>
        <sz val="8"/>
        <color rgb="FFFF0000"/>
        <rFont val="Trebuchet MS"/>
      </rPr>
      <t>As per PO 6 no. RHS per Qtr and daily basis tape rotation. We received additionl Power PO 11 KVA , The MRC cost added at additional power column.</t>
    </r>
  </si>
  <si>
    <t>WIPRO LIMITED [IFB]</t>
  </si>
  <si>
    <t>08.04.2021</t>
  </si>
  <si>
    <t>08.04.2024</t>
  </si>
  <si>
    <t>As Per PO 3 Years contact. PO Number not mention at PO copy. Customer have Ethernet-3 (Sify-2,TCL-1) cross connect but PO is not available with us.</t>
  </si>
  <si>
    <t>SHIVTEL COMMUNICATIONS PRIVATE LIMITED</t>
  </si>
  <si>
    <t>U Space</t>
  </si>
  <si>
    <t>KW</t>
  </si>
  <si>
    <t>08.10.2021</t>
  </si>
  <si>
    <t>03.09.2024</t>
  </si>
  <si>
    <t>As per PO  3 Years contact and PO number is not mention at PO Copy. RHS and 1 cross connect added at Any Other Item (column AS) MRC.Customer having Ethernet-3 (Sify-1 , Vi-2) cross connect.</t>
  </si>
  <si>
    <t>TRIPURA STATE CO-OPERATIVE BANK LIMITED</t>
  </si>
  <si>
    <t>5112-13/21</t>
  </si>
  <si>
    <t>27.11.2021 &amp;  28.11.2021</t>
  </si>
  <si>
    <t>31.08.2026</t>
  </si>
  <si>
    <t>Cross connect ARC Is not mention after 1 year.Seating and Vault cost taken MRC. Rack no-3 live at 28.11.2021</t>
  </si>
  <si>
    <t>PARAHIT TECHNOLOGIES LIMITED</t>
  </si>
  <si>
    <t>25.02.2022</t>
  </si>
  <si>
    <t>25.02.2023</t>
  </si>
  <si>
    <t>Contact Period mention at PO minimum 1 year and renewal basis.As per PO 3 cross connect ARC mention which added at Any Other Item (column AS) MRC.Customer having Ethernet-5 (Sify-2,TTSL-2,AIRTEL-1) cross connect.</t>
  </si>
  <si>
    <t>KRISH COMMUNICATION</t>
  </si>
  <si>
    <t>001/23-24</t>
  </si>
  <si>
    <t>11.05.2023</t>
  </si>
  <si>
    <t>11.05.2028</t>
  </si>
  <si>
    <t>Contact Period mention at PO minimum 1 year and renewal basis.As per PO cross cost is mention 0. Customer had Ethernet-1 (Sify-1) cross connect and which disconnected. Rack-L2-R-01 / KOL-01, All deviced are moved to Rack-KOL-34 date-04-10-2025. PO renewal till 2028. confirmed by moumita.jauhari@sifycorp.com at mail</t>
  </si>
  <si>
    <t>0101/23-24</t>
  </si>
  <si>
    <t>06.03.2024</t>
  </si>
  <si>
    <t>06.03.2026</t>
  </si>
  <si>
    <t>Contact Period mention at PO minimum 1 year and renewal basis.As per PO cross cost is mention 0. Customer having no cross connect in this rack. Rack-L2-R-02/KOL-02 all devices are shifted to Rack-L2-Q-07/KOL-24. Renewal PO will be shared with us after getting from customer.</t>
  </si>
  <si>
    <t>DIC INDIA LIMITED</t>
  </si>
  <si>
    <t>12.06.2023</t>
  </si>
  <si>
    <t>As per PO Contact period is not mention and Ethernet crossconnect mention 6 and fiber mention 1 . Cross connect and  RHS cost mention at Any Other Item (column AS) MRC. Note We only taken ARC from CE PO. customer cross connect- Ethernet-3 , Fiber-1 ((Sify-2 , TCL-1 ,Sify-1(Fiber))</t>
  </si>
  <si>
    <t>PRIMENET GLOBAL PRIVATE LIMITED</t>
  </si>
  <si>
    <t xml:space="preserve"> Primenet 001/2023-24</t>
  </si>
  <si>
    <t>24.08.2023</t>
  </si>
  <si>
    <t>Contact period is not mention at PO. Customer having Ethernet-8,Fiber-2(TCL-8,LI.Strome-1(Fiber),TTSL-1(Fiber)) cross connect. ARC cost added at Any Other Item (column AS) MRC.</t>
  </si>
  <si>
    <t>THE EASTERN INDIA HEART CARE &amp; RESEARCH FOUNDATION</t>
  </si>
  <si>
    <t>Subscribed</t>
  </si>
  <si>
    <t>Metered</t>
  </si>
  <si>
    <t>Variable</t>
  </si>
  <si>
    <t>EIHCRF/WO-036/2023-24</t>
  </si>
  <si>
    <t>25.11.2023</t>
  </si>
  <si>
    <t>Contact period is not mention at PO. RHS,Ethernet and fiber cross ARC added at Any Other Item (column AS) MRC. Customer having Ethernet-1 (Sify-1) Cross connect.</t>
  </si>
  <si>
    <t>R R SEN &amp; BROS PRIVATE LIMITED</t>
  </si>
  <si>
    <t>20.12.2023</t>
  </si>
  <si>
    <t>07.12.2026</t>
  </si>
  <si>
    <t>As per PO Contract period-3 years. RHS and 1 ETH Cross connect cost added at Any Other Item (column AS) MRC. Customer having Ethernet-1 (Sify-1) cross connect.</t>
  </si>
  <si>
    <t>NATIONAL STOCK EXCHANGE OF INDIA LIMITED</t>
  </si>
  <si>
    <t>2324NSEILIT315 dated on 07-DEC-23_x000D_</t>
  </si>
  <si>
    <t>16.02.2024</t>
  </si>
  <si>
    <t>Customer project number-121002047. PO details is not shared with us.</t>
  </si>
  <si>
    <t>RP WORLD WEBNET P LTD</t>
  </si>
  <si>
    <t>22.03.2024</t>
  </si>
  <si>
    <t>22.03.2027</t>
  </si>
  <si>
    <t>As per PO Contract period is for a minimum of 3 years . 2 fiber cross connect cost and RHS cost added at Any Other Item (column AS) MRC. Customer having Fiber-8 (Sify-2,Airtel-3,TTSL-1,Vi-1, TCL-1) Cross connect.</t>
  </si>
  <si>
    <t>IMERIT TECHNOLOGY SERVICES PVT LTD</t>
  </si>
  <si>
    <t xml:space="preserve"> IMERIT/2023-24/91</t>
  </si>
  <si>
    <t>18.04.2024</t>
  </si>
  <si>
    <t>As per PO contact periods is not mention. 2 Fiber cross connect and RHS,SHS cost added at Any Other Item (column AS) MRC. customer having Fiber-1 (Sify-1) cross connect.</t>
  </si>
  <si>
    <t>SERVERWALA CLOUD DATA CENTERS PVT LTD</t>
  </si>
  <si>
    <t>03.10.2024</t>
  </si>
  <si>
    <t>03.10.2027</t>
  </si>
  <si>
    <r>
      <rPr>
        <sz val="8"/>
        <color rgb="FF000000"/>
        <rFont val="Trebuchet MS"/>
        <charset val="1"/>
      </rPr>
      <t xml:space="preserve">As per PO Contract period is for a minimum of 3 years . 1 ETH cross connect cost added at Any Other Item (column AS) MRC. customer having Ethernet-1 (Sify-1) cross connect. </t>
    </r>
    <r>
      <rPr>
        <sz val="8"/>
        <color rgb="FFFF0000"/>
        <rFont val="Trebuchet MS"/>
        <charset val="1"/>
      </rPr>
      <t>Customer's all devices are switch off at Rack.</t>
    </r>
  </si>
  <si>
    <t>0101/24-25</t>
  </si>
  <si>
    <t>25.10.2024</t>
  </si>
  <si>
    <t>25.10.2027</t>
  </si>
  <si>
    <t>Contact Period mention at PO minimum 1 year and renewal basis.As per PO cross cost is mention 0. Customer having 2 cross connect in this rack.  PO renewal till 2027. confirmed by moumita.jauhari@sifycorp.com at mail</t>
  </si>
  <si>
    <t>EDGEREDE PRIVATE LIMITED</t>
  </si>
  <si>
    <t xml:space="preserve">#POEPL00003
</t>
  </si>
  <si>
    <t>21.04.2025</t>
  </si>
  <si>
    <t>23.02.2026</t>
  </si>
  <si>
    <t>As Per PO ,Service Term of the Order Form is 1 year. Customer have 9 fiber cross connect (TCL-2,Onemind-2,JIO-2,AIRTEL-1,NXTRA(Airtel)-2) cost added at Any Other Item(Column AS) MRC. PO also mention MRC not ARC.</t>
  </si>
  <si>
    <t>ONEMIND CLOUD SERVICES PRIVATE LIMITED</t>
  </si>
  <si>
    <t>21.04.2025 &amp; 05.05.2025</t>
  </si>
  <si>
    <t>26.03.2026</t>
  </si>
  <si>
    <t>As Per PO ,Service Term of the Order Form is 1 year. Customer have 1 fiber cross connect which is not delivered as service provider details is not shared from custmer end. PO Date-26.03.2025</t>
  </si>
  <si>
    <t>24ONLINE INFO TECHNOLOGIES PRIVATE LIMITED</t>
  </si>
  <si>
    <t>U space</t>
  </si>
  <si>
    <t>21.05.2025</t>
  </si>
  <si>
    <t>21.05.2026</t>
  </si>
  <si>
    <t>As Per PO ,Service Term of the Order Form is 1 year. Customer have 1 Ethernet cross connect which cost is 0 and service provider is SIFY.</t>
  </si>
  <si>
    <t>KCPL/0008/25-26_x000D_</t>
  </si>
  <si>
    <t>02.01.2026</t>
  </si>
  <si>
    <t>01.01.2027</t>
  </si>
  <si>
    <t>Contact Period mention at PO minimum 3 year and renewal basis.As per PO cross cost is mention 0. Customer having (1 cross connect is pending for service provider details is not shared by customer )as per customer this cross connect is not required. So, we closed the RITM incompleted.</t>
  </si>
  <si>
    <t>25.10.2025</t>
  </si>
  <si>
    <t>26.10.2026</t>
  </si>
  <si>
    <t xml:space="preserve">As per PO Contract period-1 years. 1 tray installed at Rack which provided by customer. </t>
  </si>
  <si>
    <t>MAYUSH IT SERVICES PRIVATE LIMITED</t>
  </si>
  <si>
    <t>#MAISPL/25-26/P29</t>
  </si>
  <si>
    <t>05.11.2025</t>
  </si>
  <si>
    <t>04.11.2026</t>
  </si>
  <si>
    <t>As per PO, Service Term of the Order Form is 1 year. Customer have 1 ethernet cross connect (SIFY-1) cost added at Any Other Item(Column AS) MRC.</t>
  </si>
  <si>
    <t>VOICETREE TECHNOLOGIES PVT LTD</t>
  </si>
  <si>
    <t>VT/2025-26/SERVICE/36/37/38</t>
  </si>
  <si>
    <t>14.11.2025</t>
  </si>
  <si>
    <t>13.11.2026</t>
  </si>
  <si>
    <t>As per PO, Service Term of the Order Form is 1 year. Customer have 3 ethernet cross connect (TTSL- 2, AIRTEL-1) and RHS cost added at Any Other Item(Column AS) MRC.</t>
  </si>
  <si>
    <t>ISHAN NETSOL PVT LTD</t>
  </si>
  <si>
    <t>INPL/25-26/79</t>
  </si>
  <si>
    <t>10.01.2026</t>
  </si>
  <si>
    <t>09.01.2027</t>
  </si>
  <si>
    <r>
      <rPr>
        <sz val="8"/>
        <color rgb="FF000000"/>
        <rFont val="Trebuchet MS"/>
      </rPr>
      <t xml:space="preserve">As per PO Contact period- 1 year. Cross connect cost mention at Any Other Item (column AS) MRC. Customer having  Fiber-7(Outside Pit-7) cross connect. </t>
    </r>
    <r>
      <rPr>
        <sz val="8"/>
        <color rgb="FFFF0000"/>
        <rFont val="Trebuchet MS"/>
      </rPr>
      <t>As Per PO customer have 6 cross connect, But they required only 3. So , We added 3 cross MRC at any other columns.</t>
    </r>
  </si>
  <si>
    <t>Reserved Capacity if any</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</si>
</sst>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4" formatCode="_(* #,##0.00_);_(* \(#,##0.00\);_(* \-??_);_(@_)"/>
    <numFmt numFmtId="165" formatCode="0.00_);[Red]\(0.00\)"/>
    <numFmt numFmtId="166" formatCode="0.000"/>
    <numFmt numFmtId="167" formatCode="0.000_);[Red]\(0.000\)"/>
    <numFmt numFmtId="168" formatCode="_(* #,##0_);_(* \(#,##0\);_(* \-??_);_(@_)"/>
    <numFmt numFmtId="169" formatCode="_ [$₹-4009]\ * #,##0.00_ ;_ [$₹-4009]\ * \-#,##0.00_ ;_ [$₹-4009]\ * \-??_ ;_ @_ "/>
    <numFmt numFmtId="170" formatCode="0_);[Red]\(0\)"/>
    <numFmt numFmtId="171" formatCode="_ [$₹-4009]\ * #,##0_ ;_ [$₹-4009]\ * \-#,##0_ ;_ [$₹-4009]\ * \-??_ ;_ @_ "/>
    <numFmt numFmtId="172" formatCode="[$₹-4009]\ #,##0.00"/>
    <numFmt numFmtId="173" formatCode="mm/yy"/>
    <numFmt numFmtId="174" formatCode="_(* #,##0.0_);_(* \(#,##0.0\);_(* \-??_);_(@_)"/>
    <numFmt numFmtId="175" formatCode="0.0"/>
    <numFmt numFmtId="176" formatCode="&quot;_ &quot;[$₹-4009]\ * #,##0.00&quot; _ &quot;;&quot;_ &quot;[$₹-4009]\ * \-#,##0.00&quot; _ &quot;;&quot;_ &quot;[$₹-4009]\ * \-??&quot; _ &quot;;_ @_ "/>
    <numFmt numFmtId="177" formatCode="&quot;_ &quot;[$₹-4009]\ * #,##0&quot; _ &quot;;&quot;_ &quot;[$₹-4009]\ * \-#,##0&quot; _ &quot;;&quot;_ &quot;[$₹-4009]\ * \-??&quot; _ &quot;;_ @_ "/>
  </numFmts>
  <fonts count="30">
    <font>
      <sz val="10"/>
      <color rgb="FF000000"/>
      <name val="Calibri"/>
      <family val="2"/>
      <charset val="1"/>
    </font>
    <font>
      <u/>
      <sz val="11"/>
      <color rgb="FF0000FF"/>
      <name val="Calibri"/>
      <family val="2"/>
      <charset val="1"/>
    </font>
    <font>
      <u/>
      <sz val="11"/>
      <color rgb="FF0000FF"/>
      <name val="Calibri"/>
      <charset val="134"/>
    </font>
    <font>
      <sz val="11"/>
      <color rgb="FF000000"/>
      <name val="Calibri"/>
      <family val="2"/>
      <charset val="1"/>
    </font>
    <font>
      <sz val="10"/>
      <name val="Arial"/>
      <family val="2"/>
      <charset val="1"/>
    </font>
    <font>
      <sz val="10"/>
      <color rgb="FF000000"/>
      <name val="Calibri"/>
      <charset val="134"/>
    </font>
    <font>
      <b/>
      <sz val="10"/>
      <color rgb="FF000000"/>
      <name val="Calibri"/>
      <family val="2"/>
      <charset val="1"/>
    </font>
    <font>
      <b/>
      <sz val="10"/>
      <color rgb="FF000000"/>
      <name val="Calibri"/>
      <charset val="1"/>
    </font>
    <font>
      <sz val="10"/>
      <color rgb="FF000000"/>
      <name val="Calibri"/>
      <charset val="1"/>
    </font>
    <font>
      <b/>
      <sz val="7.5"/>
      <color rgb="FF000000"/>
      <name val="Calibri"/>
      <charset val="1"/>
    </font>
    <font>
      <b/>
      <sz val="10"/>
      <color rgb="FFC0504D"/>
      <name val="Calibri"/>
      <charset val="1"/>
    </font>
    <font>
      <sz val="8"/>
      <color rgb="FF000000"/>
      <name val="Trebuchet MS"/>
      <charset val="134"/>
    </font>
    <font>
      <b/>
      <sz val="8"/>
      <color rgb="FF000000"/>
      <name val="Trebuchet MS"/>
      <charset val="134"/>
    </font>
    <font>
      <sz val="8"/>
      <name val="Trebuchet MS"/>
      <charset val="134"/>
    </font>
    <font>
      <b/>
      <sz val="8"/>
      <name val="Trebuchet MS"/>
      <charset val="134"/>
    </font>
    <font>
      <sz val="8"/>
      <color rgb="FF000000"/>
      <name val="Trebuchet MS"/>
      <family val="2"/>
      <charset val="1"/>
    </font>
    <font>
      <sz val="10"/>
      <color rgb="FF000000"/>
      <name val="Trebuchet MS"/>
      <charset val="134"/>
    </font>
    <font>
      <sz val="11"/>
      <color rgb="FF242424"/>
      <name val="Aptos Narrow"/>
      <charset val="1"/>
    </font>
    <font>
      <sz val="8"/>
      <color rgb="FF000000"/>
      <name val="Trebuchet MS"/>
      <charset val="1"/>
    </font>
    <font>
      <sz val="8"/>
      <color rgb="FFFF0000"/>
      <name val="Trebuchet MS"/>
      <charset val="1"/>
    </font>
    <font>
      <sz val="9"/>
      <color rgb="FF000000"/>
      <name val="Bookman Old Style"/>
      <family val="1"/>
      <charset val="1"/>
    </font>
    <font>
      <sz val="9"/>
      <color rgb="FF000000"/>
      <name val="Calibri"/>
      <family val="2"/>
      <charset val="1"/>
    </font>
    <font>
      <b/>
      <sz val="9"/>
      <color rgb="FF000000"/>
      <name val="Calibri"/>
      <family val="2"/>
      <charset val="1"/>
    </font>
    <font>
      <sz val="9"/>
      <name val="Calibri"/>
      <family val="2"/>
      <charset val="1"/>
    </font>
    <font>
      <b/>
      <sz val="9"/>
      <name val="Calibri"/>
      <family val="2"/>
      <charset val="1"/>
    </font>
    <font>
      <sz val="10"/>
      <name val="Calibri"/>
      <family val="2"/>
      <charset val="1"/>
    </font>
    <font>
      <b/>
      <sz val="10"/>
      <name val="Arial"/>
      <family val="2"/>
      <charset val="1"/>
    </font>
    <font>
      <sz val="10"/>
      <color rgb="FF000000"/>
      <name val="Calibri"/>
      <family val="2"/>
      <charset val="1"/>
    </font>
    <font>
      <sz val="8"/>
      <color rgb="FF000000"/>
      <name val="Trebuchet MS"/>
    </font>
    <font>
      <sz val="8"/>
      <color rgb="FFFF0000"/>
      <name val="Trebuchet MS"/>
    </font>
  </fonts>
  <fills count="23">
    <fill>
      <patternFill patternType="none"/>
    </fill>
    <fill>
      <patternFill patternType="gray125"/>
    </fill>
    <fill>
      <patternFill patternType="solid">
        <fgColor rgb="FF92D050"/>
        <bgColor rgb="FFC4D79B"/>
      </patternFill>
    </fill>
    <fill>
      <patternFill patternType="solid">
        <fgColor rgb="FFFFFFFF"/>
        <bgColor rgb="FFE2F0D9"/>
      </patternFill>
    </fill>
    <fill>
      <patternFill patternType="solid">
        <fgColor rgb="FFA6A6A6"/>
        <bgColor rgb="FF99A8BD"/>
      </patternFill>
    </fill>
    <fill>
      <patternFill patternType="solid">
        <fgColor rgb="FFE2F0D9"/>
        <bgColor rgb="FFDAEEF3"/>
      </patternFill>
    </fill>
    <fill>
      <patternFill patternType="solid">
        <fgColor rgb="FFF4B183"/>
        <bgColor rgb="FFFCD5B5"/>
      </patternFill>
    </fill>
    <fill>
      <patternFill patternType="solid">
        <fgColor rgb="FFA2ECF5"/>
        <bgColor rgb="FF92CDDC"/>
      </patternFill>
    </fill>
    <fill>
      <patternFill patternType="solid">
        <fgColor rgb="FFC5E0B4"/>
        <bgColor rgb="FFC4D79B"/>
      </patternFill>
    </fill>
    <fill>
      <patternFill patternType="solid">
        <fgColor rgb="FFFFE699"/>
        <bgColor rgb="FFFCD5B5"/>
      </patternFill>
    </fill>
    <fill>
      <patternFill patternType="solid">
        <fgColor rgb="FFC9C9C9"/>
        <bgColor rgb="FFDBDBDB"/>
      </patternFill>
    </fill>
    <fill>
      <patternFill patternType="solid">
        <fgColor rgb="FF8FAADC"/>
        <bgColor rgb="FF8DB4E2"/>
      </patternFill>
    </fill>
    <fill>
      <patternFill patternType="solid">
        <fgColor rgb="FFFFFF00"/>
        <bgColor rgb="FFFFFF00"/>
      </patternFill>
    </fill>
    <fill>
      <patternFill patternType="solid">
        <fgColor rgb="FFDAEEF3"/>
        <bgColor rgb="FFDCE6F1"/>
      </patternFill>
    </fill>
    <fill>
      <patternFill patternType="solid">
        <fgColor rgb="FF99A8BD"/>
        <bgColor rgb="FFA6A6A6"/>
      </patternFill>
    </fill>
    <fill>
      <patternFill patternType="solid">
        <fgColor rgb="FFDBDBDB"/>
        <bgColor rgb="FFDCE6F1"/>
      </patternFill>
    </fill>
    <fill>
      <patternFill patternType="solid">
        <fgColor rgb="FFC4D79B"/>
        <bgColor rgb="FFC5E0B4"/>
      </patternFill>
    </fill>
    <fill>
      <patternFill patternType="solid">
        <fgColor rgb="FFDCE6F1"/>
        <bgColor rgb="FFDAEEF3"/>
      </patternFill>
    </fill>
    <fill>
      <patternFill patternType="solid">
        <fgColor rgb="FF92CDDC"/>
        <bgColor rgb="FF8DB4E2"/>
      </patternFill>
    </fill>
    <fill>
      <patternFill patternType="solid">
        <fgColor rgb="FF8DB4E2"/>
        <bgColor rgb="FF8FAADC"/>
      </patternFill>
    </fill>
    <fill>
      <patternFill patternType="solid">
        <fgColor rgb="FFADB9CA"/>
        <bgColor rgb="FF99A8BD"/>
      </patternFill>
    </fill>
    <fill>
      <patternFill patternType="solid">
        <fgColor theme="0"/>
        <bgColor indexed="64"/>
      </patternFill>
    </fill>
    <fill>
      <patternFill patternType="solid">
        <fgColor rgb="FFFFFF00"/>
        <bgColor indexed="64"/>
      </patternFill>
    </fill>
  </fills>
  <borders count="28">
    <border>
      <left/>
      <right/>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ck">
        <color auto="1"/>
      </top>
      <bottom style="thick">
        <color auto="1"/>
      </bottom>
      <diagonal/>
    </border>
    <border>
      <left style="thin">
        <color auto="1"/>
      </left>
      <right style="thin">
        <color auto="1"/>
      </right>
      <top/>
      <bottom/>
      <diagonal/>
    </border>
    <border>
      <left style="thin">
        <color auto="1"/>
      </left>
      <right style="thin">
        <color auto="1"/>
      </right>
      <top style="thick">
        <color auto="1"/>
      </top>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bottom/>
      <diagonal/>
    </border>
    <border>
      <left/>
      <right/>
      <top style="thin">
        <color auto="1"/>
      </top>
      <bottom style="thin">
        <color auto="1"/>
      </bottom>
      <diagonal/>
    </border>
    <border>
      <left style="thin">
        <color auto="1"/>
      </left>
      <right style="medium">
        <color auto="1"/>
      </right>
      <top style="medium">
        <color auto="1"/>
      </top>
      <bottom style="thin">
        <color auto="1"/>
      </bottom>
      <diagonal/>
    </border>
  </borders>
  <cellStyleXfs count="31">
    <xf numFmtId="0" fontId="0" fillId="0" borderId="0"/>
    <xf numFmtId="164" fontId="27" fillId="0" borderId="0" applyBorder="0" applyProtection="0"/>
    <xf numFmtId="9" fontId="27" fillId="0" borderId="0" applyBorder="0" applyProtection="0"/>
    <xf numFmtId="164" fontId="27" fillId="0" borderId="0" applyBorder="0" applyProtection="0"/>
    <xf numFmtId="0" fontId="1" fillId="0" borderId="0" applyBorder="0" applyProtection="0"/>
    <xf numFmtId="0" fontId="1" fillId="0" borderId="0" applyBorder="0" applyProtection="0"/>
    <xf numFmtId="0" fontId="1" fillId="0" borderId="0" applyBorder="0" applyProtection="0"/>
    <xf numFmtId="0" fontId="2" fillId="0" borderId="0" applyBorder="0" applyProtection="0"/>
    <xf numFmtId="0" fontId="27" fillId="0" borderId="0"/>
    <xf numFmtId="0" fontId="3" fillId="0" borderId="0"/>
    <xf numFmtId="0" fontId="4" fillId="0" borderId="0"/>
    <xf numFmtId="0" fontId="27" fillId="0" borderId="0"/>
    <xf numFmtId="0" fontId="4" fillId="0" borderId="0"/>
    <xf numFmtId="0" fontId="3" fillId="0" borderId="0"/>
    <xf numFmtId="0" fontId="27" fillId="0" borderId="0"/>
    <xf numFmtId="0" fontId="4" fillId="0" borderId="0"/>
    <xf numFmtId="0" fontId="4" fillId="0" borderId="0"/>
    <xf numFmtId="0" fontId="5" fillId="0" borderId="0"/>
    <xf numFmtId="0" fontId="3" fillId="0" borderId="0"/>
    <xf numFmtId="9" fontId="27" fillId="0" borderId="0" applyBorder="0" applyProtection="0"/>
    <xf numFmtId="9" fontId="27" fillId="0" borderId="0" applyBorder="0" applyProtection="0"/>
    <xf numFmtId="0" fontId="27" fillId="0" borderId="0"/>
    <xf numFmtId="0" fontId="27" fillId="0" borderId="0"/>
    <xf numFmtId="0" fontId="5" fillId="0" borderId="0"/>
    <xf numFmtId="0" fontId="5" fillId="0" borderId="0"/>
    <xf numFmtId="0" fontId="8" fillId="0" borderId="0"/>
    <xf numFmtId="0" fontId="5" fillId="0" borderId="0"/>
    <xf numFmtId="0" fontId="27" fillId="0" borderId="0"/>
    <xf numFmtId="0" fontId="27" fillId="0" borderId="0"/>
    <xf numFmtId="0" fontId="27" fillId="0" borderId="0"/>
    <xf numFmtId="0" fontId="25" fillId="0" borderId="0"/>
  </cellStyleXfs>
  <cellXfs count="313">
    <xf numFmtId="0" fontId="0" fillId="0" borderId="0" xfId="0"/>
    <xf numFmtId="0" fontId="6" fillId="2" borderId="1" xfId="22" applyFont="1" applyFill="1" applyBorder="1" applyAlignment="1">
      <alignment horizontal="center" vertical="center" wrapText="1"/>
    </xf>
    <xf numFmtId="0" fontId="6" fillId="2" borderId="2" xfId="22" applyFont="1" applyFill="1" applyBorder="1" applyAlignment="1">
      <alignment horizontal="center" vertical="center" wrapText="1"/>
    </xf>
    <xf numFmtId="2" fontId="6" fillId="2" borderId="3" xfId="22" applyNumberFormat="1" applyFont="1" applyFill="1" applyBorder="1" applyAlignment="1">
      <alignment horizontal="center" vertical="center" wrapText="1"/>
    </xf>
    <xf numFmtId="2" fontId="6" fillId="2" borderId="4" xfId="22" applyNumberFormat="1" applyFont="1" applyFill="1" applyBorder="1" applyAlignment="1">
      <alignment horizontal="center" vertical="center" wrapText="1"/>
    </xf>
    <xf numFmtId="2" fontId="6" fillId="2" borderId="5" xfId="22" applyNumberFormat="1" applyFont="1" applyFill="1" applyBorder="1" applyAlignment="1">
      <alignment horizontal="center" vertical="center" wrapText="1"/>
    </xf>
    <xf numFmtId="0" fontId="6" fillId="0" borderId="6" xfId="22" applyFont="1" applyBorder="1" applyAlignment="1">
      <alignment horizontal="center" vertical="center" wrapText="1"/>
    </xf>
    <xf numFmtId="2" fontId="27" fillId="0" borderId="6" xfId="22" applyNumberFormat="1" applyBorder="1" applyAlignment="1">
      <alignment horizontal="center" vertical="center" wrapText="1"/>
    </xf>
    <xf numFmtId="0" fontId="27" fillId="0" borderId="6" xfId="22" applyBorder="1" applyAlignment="1">
      <alignment horizontal="center" vertical="center" wrapText="1"/>
    </xf>
    <xf numFmtId="0" fontId="0" fillId="0" borderId="6" xfId="0" applyBorder="1"/>
    <xf numFmtId="9" fontId="27" fillId="0" borderId="6" xfId="2" applyBorder="1" applyAlignment="1" applyProtection="1">
      <alignment horizontal="center" vertical="center" wrapText="1"/>
    </xf>
    <xf numFmtId="0" fontId="0" fillId="0" borderId="6" xfId="0" applyBorder="1" applyAlignment="1">
      <alignment wrapText="1"/>
    </xf>
    <xf numFmtId="0" fontId="6" fillId="0" borderId="6" xfId="0" applyFont="1" applyBorder="1" applyAlignment="1">
      <alignment horizontal="center"/>
    </xf>
    <xf numFmtId="0" fontId="0" fillId="0" borderId="6" xfId="0" applyBorder="1" applyAlignment="1">
      <alignment horizontal="center"/>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0" borderId="10" xfId="0" applyFont="1" applyBorder="1" applyAlignment="1">
      <alignment horizontal="center" vertical="center" wrapText="1"/>
    </xf>
    <xf numFmtId="1" fontId="6" fillId="3" borderId="11" xfId="0" applyNumberFormat="1" applyFont="1" applyFill="1" applyBorder="1" applyAlignment="1">
      <alignment horizontal="center" vertical="center" wrapText="1"/>
    </xf>
    <xf numFmtId="0" fontId="0" fillId="3" borderId="11" xfId="0" applyFill="1" applyBorder="1" applyAlignment="1">
      <alignment horizontal="center" vertical="center" wrapText="1"/>
    </xf>
    <xf numFmtId="9" fontId="27" fillId="3" borderId="11" xfId="2" applyFill="1" applyBorder="1" applyAlignment="1" applyProtection="1">
      <alignment horizontal="center" vertical="center" wrapText="1"/>
    </xf>
    <xf numFmtId="1" fontId="0" fillId="3" borderId="11" xfId="0" applyNumberFormat="1" applyFill="1" applyBorder="1" applyAlignment="1">
      <alignment horizontal="center" vertical="center" wrapText="1"/>
    </xf>
    <xf numFmtId="2" fontId="0" fillId="3" borderId="12" xfId="0" applyNumberFormat="1" applyFill="1" applyBorder="1" applyAlignment="1">
      <alignment horizontal="center" vertical="center" wrapText="1"/>
    </xf>
    <xf numFmtId="0" fontId="6" fillId="0" borderId="6" xfId="0" applyFont="1" applyBorder="1" applyAlignment="1">
      <alignment horizontal="center" vertical="center"/>
    </xf>
    <xf numFmtId="0" fontId="0" fillId="0" borderId="6" xfId="0" applyBorder="1" applyAlignment="1">
      <alignment horizontal="center" vertical="center"/>
    </xf>
    <xf numFmtId="10" fontId="0" fillId="0" borderId="6" xfId="0" applyNumberFormat="1" applyBorder="1" applyAlignment="1">
      <alignment horizontal="center" vertical="center"/>
    </xf>
    <xf numFmtId="1" fontId="0" fillId="0" borderId="6" xfId="0" applyNumberFormat="1" applyBorder="1" applyAlignment="1">
      <alignment horizontal="center" vertical="center"/>
    </xf>
    <xf numFmtId="0" fontId="0" fillId="0" borderId="0" xfId="0" applyAlignment="1">
      <alignment wrapText="1"/>
    </xf>
    <xf numFmtId="0" fontId="6" fillId="2" borderId="6" xfId="22" applyFont="1" applyFill="1" applyBorder="1" applyAlignment="1">
      <alignment horizontal="center" vertical="center" wrapText="1"/>
    </xf>
    <xf numFmtId="2" fontId="6" fillId="2" borderId="6" xfId="22" applyNumberFormat="1" applyFont="1" applyFill="1" applyBorder="1" applyAlignment="1">
      <alignment horizontal="center" vertical="center" wrapText="1"/>
    </xf>
    <xf numFmtId="2" fontId="6" fillId="3" borderId="0" xfId="22" applyNumberFormat="1" applyFont="1" applyFill="1" applyAlignment="1">
      <alignment horizontal="center" vertical="center" wrapText="1"/>
    </xf>
    <xf numFmtId="0" fontId="27" fillId="3" borderId="0" xfId="22" applyFill="1" applyAlignment="1">
      <alignment vertical="center" wrapText="1"/>
    </xf>
    <xf numFmtId="2" fontId="27" fillId="3" borderId="0" xfId="22" applyNumberFormat="1" applyFill="1" applyAlignment="1">
      <alignment vertical="center" wrapText="1"/>
    </xf>
    <xf numFmtId="0" fontId="6" fillId="3" borderId="6" xfId="22" applyFont="1" applyFill="1" applyBorder="1" applyAlignment="1">
      <alignment horizontal="left" vertical="center" wrapText="1"/>
    </xf>
    <xf numFmtId="2" fontId="6" fillId="3" borderId="6" xfId="22" applyNumberFormat="1" applyFont="1" applyFill="1" applyBorder="1" applyAlignment="1">
      <alignment horizontal="left" vertical="center" wrapText="1"/>
    </xf>
    <xf numFmtId="2" fontId="6" fillId="3" borderId="0" xfId="22" applyNumberFormat="1" applyFont="1" applyFill="1" applyAlignment="1">
      <alignment horizontal="left" vertical="center" wrapText="1"/>
    </xf>
    <xf numFmtId="0" fontId="27" fillId="3" borderId="0" xfId="22" applyFill="1" applyAlignment="1">
      <alignment horizontal="left" vertical="center" wrapText="1"/>
    </xf>
    <xf numFmtId="2" fontId="27" fillId="3" borderId="0" xfId="22" applyNumberFormat="1" applyFill="1" applyAlignment="1">
      <alignment horizontal="left" vertical="center" wrapText="1"/>
    </xf>
    <xf numFmtId="0" fontId="0" fillId="0" borderId="0" xfId="0" applyAlignment="1">
      <alignment horizontal="left" wrapText="1"/>
    </xf>
    <xf numFmtId="0" fontId="6" fillId="3" borderId="6" xfId="22" applyFont="1" applyFill="1" applyBorder="1" applyAlignment="1">
      <alignment horizontal="center" vertical="center" wrapText="1"/>
    </xf>
    <xf numFmtId="2" fontId="27" fillId="3" borderId="6" xfId="22" applyNumberFormat="1" applyFill="1" applyBorder="1" applyAlignment="1">
      <alignment horizontal="center" vertical="center" wrapText="1"/>
    </xf>
    <xf numFmtId="0" fontId="27" fillId="3" borderId="6" xfId="22" applyFill="1" applyBorder="1" applyAlignment="1">
      <alignment horizontal="center" vertical="center" wrapText="1"/>
    </xf>
    <xf numFmtId="0" fontId="6" fillId="3" borderId="0" xfId="22" applyFont="1" applyFill="1" applyAlignment="1">
      <alignment horizontal="center" vertical="center"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0" fillId="0" borderId="0" xfId="0" applyAlignment="1">
      <alignment horizontal="center" vertical="center" wrapText="1"/>
    </xf>
    <xf numFmtId="0" fontId="8" fillId="3" borderId="17" xfId="0" applyFont="1" applyFill="1" applyBorder="1" applyAlignment="1">
      <alignment horizontal="center" wrapText="1"/>
    </xf>
    <xf numFmtId="0" fontId="9" fillId="3" borderId="19" xfId="0" applyFont="1" applyFill="1" applyBorder="1" applyAlignment="1">
      <alignment horizontal="center" wrapText="1"/>
    </xf>
    <xf numFmtId="0" fontId="8" fillId="3" borderId="19" xfId="0" applyFont="1" applyFill="1" applyBorder="1" applyAlignment="1">
      <alignment horizontal="center" wrapText="1"/>
    </xf>
    <xf numFmtId="0" fontId="0" fillId="0" borderId="0" xfId="0" applyAlignment="1">
      <alignment horizontal="center" wrapText="1"/>
    </xf>
    <xf numFmtId="0" fontId="8" fillId="3" borderId="6" xfId="0" applyFont="1" applyFill="1" applyBorder="1"/>
    <xf numFmtId="0" fontId="11" fillId="0" borderId="0" xfId="23" applyFont="1" applyAlignment="1">
      <alignment vertical="center"/>
    </xf>
    <xf numFmtId="165" fontId="11" fillId="0" borderId="0" xfId="23" applyNumberFormat="1" applyFont="1" applyAlignment="1">
      <alignment vertical="center"/>
    </xf>
    <xf numFmtId="2" fontId="11" fillId="0" borderId="0" xfId="23" applyNumberFormat="1" applyFont="1" applyAlignment="1">
      <alignment vertical="center"/>
    </xf>
    <xf numFmtId="166" fontId="11" fillId="0" borderId="0" xfId="23" applyNumberFormat="1" applyFont="1" applyAlignment="1">
      <alignment horizontal="center" vertical="center"/>
    </xf>
    <xf numFmtId="167" fontId="11" fillId="0" borderId="0" xfId="23" applyNumberFormat="1" applyFont="1" applyAlignment="1">
      <alignment vertical="center"/>
    </xf>
    <xf numFmtId="166" fontId="11" fillId="0" borderId="0" xfId="23" applyNumberFormat="1" applyFont="1" applyAlignment="1">
      <alignment vertical="center"/>
    </xf>
    <xf numFmtId="0" fontId="11" fillId="3" borderId="0" xfId="23" applyFont="1" applyFill="1" applyAlignment="1">
      <alignment vertical="center"/>
    </xf>
    <xf numFmtId="168" fontId="11" fillId="0" borderId="0" xfId="3" applyNumberFormat="1" applyFont="1" applyBorder="1" applyAlignment="1" applyProtection="1">
      <alignment vertical="center"/>
    </xf>
    <xf numFmtId="0" fontId="11" fillId="0" borderId="0" xfId="23" applyFont="1" applyAlignment="1">
      <alignment horizontal="left" vertical="center"/>
    </xf>
    <xf numFmtId="0" fontId="12" fillId="0" borderId="0" xfId="24" applyFont="1" applyAlignment="1">
      <alignment vertical="center"/>
    </xf>
    <xf numFmtId="0" fontId="13" fillId="0" borderId="0" xfId="24" applyFont="1" applyAlignment="1">
      <alignment vertical="center"/>
    </xf>
    <xf numFmtId="0" fontId="11" fillId="0" borderId="0" xfId="24" applyFont="1" applyAlignment="1">
      <alignment vertical="center"/>
    </xf>
    <xf numFmtId="165" fontId="11" fillId="0" borderId="0" xfId="24" applyNumberFormat="1" applyFont="1" applyAlignment="1">
      <alignment vertical="center"/>
    </xf>
    <xf numFmtId="2" fontId="11" fillId="0" borderId="0" xfId="24" applyNumberFormat="1" applyFont="1" applyAlignment="1">
      <alignment vertical="center"/>
    </xf>
    <xf numFmtId="2" fontId="11" fillId="0" borderId="0" xfId="24" applyNumberFormat="1" applyFont="1" applyAlignment="1">
      <alignment horizontal="center" vertical="center"/>
    </xf>
    <xf numFmtId="166" fontId="11" fillId="0" borderId="0" xfId="24" applyNumberFormat="1" applyFont="1" applyAlignment="1">
      <alignment vertical="center"/>
    </xf>
    <xf numFmtId="167" fontId="11" fillId="0" borderId="0" xfId="25" applyNumberFormat="1" applyFont="1" applyAlignment="1">
      <alignment vertical="center"/>
    </xf>
    <xf numFmtId="2" fontId="11" fillId="0" borderId="0" xfId="25" applyNumberFormat="1" applyFont="1" applyAlignment="1">
      <alignment horizontal="center" vertical="center"/>
    </xf>
    <xf numFmtId="2" fontId="11" fillId="0" borderId="0" xfId="25" applyNumberFormat="1" applyFont="1" applyAlignment="1">
      <alignment horizontal="left" vertical="center"/>
    </xf>
    <xf numFmtId="166" fontId="11" fillId="0" borderId="0" xfId="25" applyNumberFormat="1" applyFont="1" applyAlignment="1">
      <alignment horizontal="left" vertical="center"/>
    </xf>
    <xf numFmtId="166" fontId="11" fillId="0" borderId="0" xfId="25" applyNumberFormat="1" applyFont="1" applyAlignment="1">
      <alignment horizontal="center" vertical="center"/>
    </xf>
    <xf numFmtId="9" fontId="11" fillId="0" borderId="0" xfId="20" applyFont="1" applyBorder="1" applyAlignment="1" applyProtection="1">
      <alignment horizontal="center" vertical="center"/>
    </xf>
    <xf numFmtId="2" fontId="11" fillId="3" borderId="0" xfId="25" applyNumberFormat="1" applyFont="1" applyFill="1" applyAlignment="1">
      <alignment horizontal="center" vertical="center"/>
    </xf>
    <xf numFmtId="169" fontId="11" fillId="0" borderId="6" xfId="23" applyNumberFormat="1" applyFont="1" applyBorder="1" applyAlignment="1">
      <alignment horizontal="center" vertical="center" wrapText="1"/>
    </xf>
    <xf numFmtId="168" fontId="11" fillId="0" borderId="0" xfId="3" applyNumberFormat="1" applyFont="1" applyBorder="1" applyAlignment="1" applyProtection="1">
      <alignment horizontal="center" vertical="center"/>
    </xf>
    <xf numFmtId="0" fontId="12" fillId="11" borderId="6" xfId="24" applyFont="1" applyFill="1" applyBorder="1" applyAlignment="1">
      <alignment horizontal="center" vertical="center"/>
    </xf>
    <xf numFmtId="0" fontId="12" fillId="11" borderId="6" xfId="24" applyFont="1" applyFill="1" applyBorder="1" applyAlignment="1">
      <alignment horizontal="center" vertical="center" wrapText="1"/>
    </xf>
    <xf numFmtId="2" fontId="14" fillId="11" borderId="6" xfId="24" applyNumberFormat="1" applyFont="1" applyFill="1" applyBorder="1" applyAlignment="1">
      <alignment horizontal="center" vertical="center" wrapText="1"/>
    </xf>
    <xf numFmtId="165" fontId="12" fillId="11" borderId="6" xfId="24" applyNumberFormat="1" applyFont="1" applyFill="1" applyBorder="1" applyAlignment="1">
      <alignment horizontal="center" vertical="center" wrapText="1"/>
    </xf>
    <xf numFmtId="0" fontId="12" fillId="11" borderId="6" xfId="26" applyFont="1" applyFill="1" applyBorder="1" applyAlignment="1">
      <alignment horizontal="center" vertical="center" wrapText="1"/>
    </xf>
    <xf numFmtId="166" fontId="14" fillId="11" borderId="6" xfId="24" applyNumberFormat="1" applyFont="1" applyFill="1" applyBorder="1" applyAlignment="1">
      <alignment horizontal="center" vertical="center" wrapText="1"/>
    </xf>
    <xf numFmtId="167" fontId="14" fillId="11" borderId="6" xfId="24" applyNumberFormat="1" applyFont="1" applyFill="1" applyBorder="1" applyAlignment="1">
      <alignment horizontal="center" vertical="center" wrapText="1"/>
    </xf>
    <xf numFmtId="0" fontId="12" fillId="11" borderId="6" xfId="23" applyFont="1" applyFill="1" applyBorder="1" applyAlignment="1">
      <alignment vertical="center"/>
    </xf>
    <xf numFmtId="0" fontId="12" fillId="11" borderId="6" xfId="23" applyFont="1" applyFill="1" applyBorder="1" applyAlignment="1">
      <alignment vertical="center" wrapText="1"/>
    </xf>
    <xf numFmtId="0" fontId="12" fillId="11" borderId="6" xfId="23" applyFont="1" applyFill="1" applyBorder="1" applyAlignment="1">
      <alignment horizontal="center" vertical="center" wrapText="1"/>
    </xf>
    <xf numFmtId="0" fontId="12" fillId="11" borderId="6" xfId="23" applyFont="1" applyFill="1" applyBorder="1" applyAlignment="1">
      <alignment horizontal="left" vertical="center" wrapText="1"/>
    </xf>
    <xf numFmtId="0" fontId="11" fillId="11" borderId="0" xfId="23" applyFont="1" applyFill="1" applyAlignment="1">
      <alignment vertical="center"/>
    </xf>
    <xf numFmtId="0" fontId="27" fillId="3" borderId="20" xfId="27" applyFill="1" applyBorder="1" applyAlignment="1">
      <alignment horizontal="center" vertical="center"/>
    </xf>
    <xf numFmtId="0" fontId="27" fillId="3" borderId="6" xfId="28" applyFill="1" applyBorder="1" applyAlignment="1">
      <alignment horizontal="center" vertical="center" wrapText="1"/>
    </xf>
    <xf numFmtId="0" fontId="0" fillId="0" borderId="21" xfId="0" applyBorder="1" applyAlignment="1">
      <alignment horizontal="center" vertical="center" wrapText="1"/>
    </xf>
    <xf numFmtId="2" fontId="27" fillId="3" borderId="6" xfId="28" applyNumberFormat="1" applyFill="1" applyBorder="1" applyAlignment="1">
      <alignment horizontal="center" vertical="center" wrapText="1"/>
    </xf>
    <xf numFmtId="0" fontId="27" fillId="3" borderId="6" xfId="28" applyFill="1" applyBorder="1" applyAlignment="1">
      <alignment horizontal="center" vertical="center"/>
    </xf>
    <xf numFmtId="170" fontId="27" fillId="3" borderId="22" xfId="28" applyNumberFormat="1" applyFill="1" applyBorder="1" applyAlignment="1">
      <alignment horizontal="center" vertical="center" wrapText="1"/>
    </xf>
    <xf numFmtId="0" fontId="27" fillId="3" borderId="23" xfId="28" applyFill="1" applyBorder="1" applyAlignment="1">
      <alignment horizontal="center" vertical="center" wrapText="1"/>
    </xf>
    <xf numFmtId="0" fontId="27" fillId="3" borderId="21" xfId="28" applyFill="1" applyBorder="1" applyAlignment="1">
      <alignment horizontal="center" vertical="center" wrapText="1"/>
    </xf>
    <xf numFmtId="171" fontId="27" fillId="3" borderId="6" xfId="28" applyNumberFormat="1" applyFill="1" applyBorder="1" applyAlignment="1">
      <alignment horizontal="center" vertical="center" wrapText="1"/>
    </xf>
    <xf numFmtId="2" fontId="27" fillId="3" borderId="6" xfId="28" applyNumberFormat="1" applyFill="1" applyBorder="1" applyAlignment="1">
      <alignment horizontal="center" vertical="center"/>
    </xf>
    <xf numFmtId="166" fontId="27" fillId="3" borderId="6" xfId="28" applyNumberFormat="1" applyFill="1" applyBorder="1" applyAlignment="1">
      <alignment horizontal="center" vertical="center" wrapText="1"/>
    </xf>
    <xf numFmtId="167" fontId="27" fillId="3" borderId="6" xfId="28" applyNumberFormat="1" applyFill="1" applyBorder="1" applyAlignment="1">
      <alignment horizontal="center" vertical="center" wrapText="1"/>
    </xf>
    <xf numFmtId="172" fontId="15" fillId="3" borderId="6" xfId="1" applyNumberFormat="1" applyFont="1" applyFill="1" applyBorder="1" applyAlignment="1" applyProtection="1">
      <alignment horizontal="center" vertical="center" wrapText="1"/>
    </xf>
    <xf numFmtId="2" fontId="27" fillId="3" borderId="22" xfId="29" applyNumberFormat="1" applyFill="1" applyBorder="1" applyAlignment="1">
      <alignment horizontal="center" vertical="center"/>
    </xf>
    <xf numFmtId="0" fontId="11" fillId="0" borderId="6" xfId="23" applyFont="1" applyBorder="1" applyAlignment="1">
      <alignment horizontal="center" vertical="center" wrapText="1"/>
    </xf>
    <xf numFmtId="2" fontId="11" fillId="0" borderId="6" xfId="23" applyNumberFormat="1" applyFont="1" applyBorder="1" applyAlignment="1">
      <alignment horizontal="center" vertical="center" wrapText="1"/>
    </xf>
    <xf numFmtId="169" fontId="11" fillId="3" borderId="6" xfId="23" applyNumberFormat="1" applyFont="1" applyFill="1" applyBorder="1" applyAlignment="1">
      <alignment horizontal="center" vertical="center" wrapText="1"/>
    </xf>
    <xf numFmtId="0" fontId="11" fillId="3" borderId="6" xfId="23" applyFont="1" applyFill="1" applyBorder="1" applyAlignment="1">
      <alignment horizontal="center" vertical="center" wrapText="1"/>
    </xf>
    <xf numFmtId="0" fontId="11" fillId="0" borderId="6" xfId="23" applyFont="1" applyBorder="1" applyAlignment="1">
      <alignment horizontal="left" vertical="center"/>
    </xf>
    <xf numFmtId="172" fontId="27" fillId="3" borderId="6" xfId="28" applyNumberFormat="1" applyFill="1" applyBorder="1" applyAlignment="1">
      <alignment horizontal="center" vertical="center" wrapText="1"/>
    </xf>
    <xf numFmtId="171" fontId="11" fillId="0" borderId="6" xfId="3" applyNumberFormat="1" applyFont="1" applyBorder="1" applyAlignment="1" applyProtection="1">
      <alignment vertical="center" wrapText="1"/>
    </xf>
    <xf numFmtId="171" fontId="11" fillId="0" borderId="6" xfId="23" applyNumberFormat="1" applyFont="1" applyBorder="1" applyAlignment="1">
      <alignment vertical="center"/>
    </xf>
    <xf numFmtId="171" fontId="16" fillId="0" borderId="6" xfId="3" applyNumberFormat="1" applyFont="1" applyBorder="1" applyAlignment="1" applyProtection="1">
      <alignment vertical="center"/>
    </xf>
    <xf numFmtId="171" fontId="12" fillId="0" borderId="6" xfId="3" applyNumberFormat="1" applyFont="1" applyBorder="1" applyAlignment="1" applyProtection="1">
      <alignment vertical="center"/>
    </xf>
    <xf numFmtId="173" fontId="11" fillId="0" borderId="6" xfId="23" applyNumberFormat="1" applyFont="1" applyBorder="1" applyAlignment="1">
      <alignment horizontal="left" vertical="center" wrapText="1"/>
    </xf>
    <xf numFmtId="0" fontId="11" fillId="0" borderId="6" xfId="23" applyFont="1" applyBorder="1" applyAlignment="1">
      <alignment vertical="center" wrapText="1"/>
    </xf>
    <xf numFmtId="0" fontId="13" fillId="0" borderId="6" xfId="23" applyFont="1" applyBorder="1" applyAlignment="1">
      <alignment horizontal="center" vertical="center"/>
    </xf>
    <xf numFmtId="0" fontId="27" fillId="3" borderId="17" xfId="28" applyFill="1" applyBorder="1" applyAlignment="1">
      <alignment horizontal="center" vertical="center" wrapText="1"/>
    </xf>
    <xf numFmtId="171" fontId="27" fillId="3" borderId="23" xfId="28" applyNumberFormat="1" applyFill="1" applyBorder="1" applyAlignment="1">
      <alignment horizontal="center" vertical="center" wrapText="1"/>
    </xf>
    <xf numFmtId="2" fontId="27" fillId="3" borderId="23" xfId="28" applyNumberFormat="1" applyFill="1" applyBorder="1" applyAlignment="1">
      <alignment horizontal="center" vertical="center" wrapText="1"/>
    </xf>
    <xf numFmtId="0" fontId="11" fillId="0" borderId="6" xfId="23" applyFont="1" applyBorder="1" applyAlignment="1">
      <alignment horizontal="center" vertical="center"/>
    </xf>
    <xf numFmtId="174" fontId="11" fillId="0" borderId="6" xfId="3" applyNumberFormat="1" applyFont="1" applyBorder="1" applyAlignment="1" applyProtection="1">
      <alignment horizontal="center" vertical="center" wrapText="1"/>
    </xf>
    <xf numFmtId="171" fontId="11" fillId="0" borderId="6" xfId="23" applyNumberFormat="1" applyFont="1" applyBorder="1" applyAlignment="1">
      <alignment horizontal="center" vertical="center" wrapText="1"/>
    </xf>
    <xf numFmtId="0" fontId="11" fillId="3" borderId="6" xfId="23" applyFont="1" applyFill="1" applyBorder="1" applyAlignment="1">
      <alignment vertical="center" wrapText="1"/>
    </xf>
    <xf numFmtId="0" fontId="11" fillId="0" borderId="0" xfId="23" applyFont="1" applyAlignment="1">
      <alignment vertical="center" wrapText="1"/>
    </xf>
    <xf numFmtId="166" fontId="17" fillId="3" borderId="0" xfId="0" applyNumberFormat="1" applyFont="1" applyFill="1" applyAlignment="1">
      <alignment horizontal="center" vertical="center"/>
    </xf>
    <xf numFmtId="0" fontId="12" fillId="0" borderId="6" xfId="23" applyFont="1" applyBorder="1" applyAlignment="1">
      <alignment vertical="center" wrapText="1"/>
    </xf>
    <xf numFmtId="171" fontId="11" fillId="3" borderId="6" xfId="23" applyNumberFormat="1" applyFont="1" applyFill="1" applyBorder="1" applyAlignment="1">
      <alignment vertical="center"/>
    </xf>
    <xf numFmtId="0" fontId="18" fillId="0" borderId="6" xfId="23" applyFont="1" applyBorder="1" applyAlignment="1">
      <alignment vertical="center" wrapText="1"/>
    </xf>
    <xf numFmtId="2" fontId="11" fillId="3" borderId="6" xfId="23" applyNumberFormat="1" applyFont="1" applyFill="1" applyBorder="1" applyAlignment="1">
      <alignment horizontal="center" vertical="center" wrapText="1"/>
    </xf>
    <xf numFmtId="0" fontId="13" fillId="0" borderId="6" xfId="23" applyFont="1" applyBorder="1" applyAlignment="1">
      <alignment horizontal="center" vertical="center" wrapText="1"/>
    </xf>
    <xf numFmtId="0" fontId="0" fillId="3" borderId="24" xfId="0" applyFill="1" applyBorder="1" applyAlignment="1">
      <alignment horizontal="center" vertical="center" wrapText="1"/>
    </xf>
    <xf numFmtId="0" fontId="0" fillId="0" borderId="22" xfId="0" applyBorder="1" applyAlignment="1">
      <alignment horizontal="center" vertical="center" wrapText="1"/>
    </xf>
    <xf numFmtId="2" fontId="27" fillId="3" borderId="21" xfId="28" applyNumberFormat="1" applyFill="1" applyBorder="1" applyAlignment="1">
      <alignment horizontal="center" vertical="center" wrapText="1"/>
    </xf>
    <xf numFmtId="171" fontId="27" fillId="3" borderId="25" xfId="28" applyNumberFormat="1" applyFill="1" applyBorder="1" applyAlignment="1">
      <alignment horizontal="center" vertical="center" wrapText="1"/>
    </xf>
    <xf numFmtId="2" fontId="27" fillId="3" borderId="17" xfId="28" applyNumberFormat="1" applyFill="1" applyBorder="1" applyAlignment="1">
      <alignment horizontal="center" vertical="center" wrapText="1"/>
    </xf>
    <xf numFmtId="0" fontId="13" fillId="0" borderId="0" xfId="23" applyFont="1" applyAlignment="1">
      <alignment horizontal="center" vertical="center" wrapText="1"/>
    </xf>
    <xf numFmtId="0" fontId="0" fillId="0" borderId="24" xfId="0" applyBorder="1" applyAlignment="1">
      <alignment horizontal="center" vertical="center" wrapText="1"/>
    </xf>
    <xf numFmtId="171" fontId="27" fillId="3" borderId="17" xfId="28" applyNumberFormat="1" applyFill="1" applyBorder="1" applyAlignment="1">
      <alignment horizontal="center" vertical="center" wrapText="1"/>
    </xf>
    <xf numFmtId="2" fontId="27" fillId="12" borderId="17" xfId="28" applyNumberFormat="1" applyFill="1" applyBorder="1" applyAlignment="1">
      <alignment horizontal="center" vertical="center" wrapText="1"/>
    </xf>
    <xf numFmtId="2" fontId="27" fillId="3" borderId="26" xfId="29" applyNumberFormat="1" applyFill="1" applyBorder="1" applyAlignment="1">
      <alignment horizontal="center" vertical="center"/>
    </xf>
    <xf numFmtId="168" fontId="11" fillId="3" borderId="6" xfId="3" applyNumberFormat="1" applyFont="1" applyFill="1" applyBorder="1" applyAlignment="1" applyProtection="1">
      <alignment horizontal="center" vertical="center" wrapText="1"/>
    </xf>
    <xf numFmtId="0" fontId="0" fillId="0" borderId="6" xfId="0" applyBorder="1" applyAlignment="1">
      <alignment horizontal="center" vertical="center" wrapText="1"/>
    </xf>
    <xf numFmtId="166" fontId="27" fillId="3" borderId="22" xfId="28" applyNumberFormat="1" applyFill="1" applyBorder="1" applyAlignment="1">
      <alignment horizontal="center" vertical="center" wrapText="1"/>
    </xf>
    <xf numFmtId="0" fontId="0" fillId="3" borderId="26" xfId="0" applyFill="1" applyBorder="1" applyAlignment="1">
      <alignment horizontal="center" vertical="center" wrapText="1"/>
    </xf>
    <xf numFmtId="0" fontId="11" fillId="3" borderId="6" xfId="23" applyFont="1" applyFill="1" applyBorder="1" applyAlignment="1">
      <alignment horizontal="left" vertical="center"/>
    </xf>
    <xf numFmtId="171" fontId="11" fillId="3" borderId="6" xfId="3" applyNumberFormat="1" applyFont="1" applyFill="1" applyBorder="1" applyAlignment="1" applyProtection="1">
      <alignment vertical="center" wrapText="1"/>
    </xf>
    <xf numFmtId="171" fontId="16" fillId="3" borderId="6" xfId="3" applyNumberFormat="1" applyFont="1" applyFill="1" applyBorder="1" applyAlignment="1" applyProtection="1">
      <alignment vertical="center"/>
    </xf>
    <xf numFmtId="171" fontId="12" fillId="3" borderId="6" xfId="3" applyNumberFormat="1" applyFont="1" applyFill="1" applyBorder="1" applyAlignment="1" applyProtection="1">
      <alignment vertical="center"/>
    </xf>
    <xf numFmtId="0" fontId="13" fillId="3" borderId="6" xfId="23" applyFont="1" applyFill="1" applyBorder="1" applyAlignment="1">
      <alignment horizontal="center" vertical="center" wrapText="1"/>
    </xf>
    <xf numFmtId="0" fontId="11" fillId="3" borderId="6" xfId="23" applyFont="1" applyFill="1" applyBorder="1" applyAlignment="1">
      <alignment horizontal="center" vertical="center"/>
    </xf>
    <xf numFmtId="0" fontId="18" fillId="3" borderId="6" xfId="23" applyFont="1" applyFill="1" applyBorder="1" applyAlignment="1">
      <alignment vertical="center" wrapText="1"/>
    </xf>
    <xf numFmtId="0" fontId="0" fillId="0" borderId="26" xfId="0" applyBorder="1" applyAlignment="1">
      <alignment horizontal="center" vertical="center" wrapText="1"/>
    </xf>
    <xf numFmtId="0" fontId="11" fillId="0" borderId="6" xfId="7" applyFont="1" applyBorder="1" applyAlignment="1" applyProtection="1">
      <alignment horizontal="center" vertical="center"/>
    </xf>
    <xf numFmtId="170" fontId="11" fillId="0" borderId="6" xfId="23" applyNumberFormat="1" applyFont="1" applyBorder="1" applyAlignment="1">
      <alignment horizontal="center" vertical="center" wrapText="1"/>
    </xf>
    <xf numFmtId="166" fontId="11" fillId="0" borderId="6" xfId="7" applyNumberFormat="1" applyFont="1" applyBorder="1" applyAlignment="1" applyProtection="1">
      <alignment horizontal="center" vertical="center"/>
    </xf>
    <xf numFmtId="172" fontId="18" fillId="3" borderId="6" xfId="1" applyNumberFormat="1" applyFont="1" applyFill="1" applyBorder="1" applyAlignment="1" applyProtection="1">
      <alignment horizontal="center" vertical="center" wrapText="1"/>
    </xf>
    <xf numFmtId="0" fontId="13" fillId="0" borderId="6" xfId="17" applyFont="1" applyBorder="1" applyAlignment="1">
      <alignment horizontal="center" vertical="center"/>
    </xf>
    <xf numFmtId="0" fontId="11" fillId="0" borderId="6" xfId="23" applyFont="1" applyBorder="1" applyAlignment="1">
      <alignment vertical="center"/>
    </xf>
    <xf numFmtId="0" fontId="13" fillId="0" borderId="6" xfId="7" applyFont="1" applyBorder="1" applyAlignment="1" applyProtection="1">
      <alignment horizontal="center" vertical="center"/>
    </xf>
    <xf numFmtId="2" fontId="11" fillId="0" borderId="6" xfId="24" applyNumberFormat="1" applyFont="1" applyBorder="1" applyAlignment="1">
      <alignment horizontal="center" vertical="center"/>
    </xf>
    <xf numFmtId="166" fontId="13" fillId="0" borderId="6" xfId="17" applyNumberFormat="1" applyFont="1" applyBorder="1" applyAlignment="1">
      <alignment horizontal="center" vertical="center"/>
    </xf>
    <xf numFmtId="167" fontId="11" fillId="0" borderId="6" xfId="23" applyNumberFormat="1" applyFont="1" applyBorder="1" applyAlignment="1">
      <alignment horizontal="center" vertical="center" wrapText="1"/>
    </xf>
    <xf numFmtId="166" fontId="11" fillId="0" borderId="6" xfId="23" applyNumberFormat="1" applyFont="1" applyBorder="1" applyAlignment="1">
      <alignment horizontal="center" vertical="center" wrapText="1"/>
    </xf>
    <xf numFmtId="2" fontId="14" fillId="0" borderId="6" xfId="24" applyNumberFormat="1" applyFont="1" applyBorder="1" applyAlignment="1">
      <alignment horizontal="center" vertical="center" wrapText="1"/>
    </xf>
    <xf numFmtId="168" fontId="11" fillId="0" borderId="6" xfId="3" applyNumberFormat="1" applyFont="1" applyBorder="1" applyAlignment="1" applyProtection="1">
      <alignment horizontal="center" vertical="center" wrapText="1"/>
    </xf>
    <xf numFmtId="169" fontId="11" fillId="0" borderId="6" xfId="3" applyNumberFormat="1" applyFont="1" applyBorder="1" applyAlignment="1" applyProtection="1">
      <alignment vertical="center"/>
    </xf>
    <xf numFmtId="171" fontId="11" fillId="0" borderId="6" xfId="3" applyNumberFormat="1" applyFont="1" applyBorder="1" applyAlignment="1" applyProtection="1">
      <alignment vertical="center"/>
    </xf>
    <xf numFmtId="171" fontId="11" fillId="3" borderId="6" xfId="3" applyNumberFormat="1" applyFont="1" applyFill="1" applyBorder="1" applyAlignment="1" applyProtection="1">
      <alignment horizontal="center" vertical="center" wrapText="1"/>
    </xf>
    <xf numFmtId="0" fontId="11" fillId="0" borderId="22" xfId="23" applyFont="1" applyBorder="1" applyAlignment="1">
      <alignment vertical="center"/>
    </xf>
    <xf numFmtId="175" fontId="13" fillId="0" borderId="6" xfId="17" applyNumberFormat="1" applyFont="1" applyBorder="1" applyAlignment="1">
      <alignment horizontal="center" vertical="center"/>
    </xf>
    <xf numFmtId="2" fontId="13" fillId="0" borderId="6" xfId="17" applyNumberFormat="1" applyFont="1" applyBorder="1" applyAlignment="1">
      <alignment horizontal="center" vertical="center"/>
    </xf>
    <xf numFmtId="2" fontId="11" fillId="0" borderId="6" xfId="25" applyNumberFormat="1" applyFont="1" applyBorder="1" applyAlignment="1">
      <alignment horizontal="center" vertical="center"/>
    </xf>
    <xf numFmtId="0" fontId="12" fillId="3" borderId="6" xfId="23" applyFont="1" applyFill="1" applyBorder="1" applyAlignment="1">
      <alignment vertical="center" wrapText="1"/>
    </xf>
    <xf numFmtId="2" fontId="11" fillId="3" borderId="6" xfId="23" applyNumberFormat="1" applyFont="1" applyFill="1" applyBorder="1" applyAlignment="1">
      <alignment horizontal="right" vertical="center" wrapText="1"/>
    </xf>
    <xf numFmtId="1" fontId="11" fillId="0" borderId="6" xfId="23" applyNumberFormat="1" applyFont="1" applyBorder="1" applyAlignment="1">
      <alignment horizontal="center" vertical="center" wrapText="1"/>
    </xf>
    <xf numFmtId="0" fontId="15" fillId="0" borderId="22" xfId="23" applyFont="1" applyBorder="1" applyAlignment="1">
      <alignment vertical="center"/>
    </xf>
    <xf numFmtId="171" fontId="15" fillId="0" borderId="6" xfId="23" applyNumberFormat="1" applyFont="1" applyBorder="1" applyAlignment="1">
      <alignment vertical="center"/>
    </xf>
    <xf numFmtId="0" fontId="20" fillId="0" borderId="0" xfId="23" applyFont="1" applyAlignment="1">
      <alignment vertical="center"/>
    </xf>
    <xf numFmtId="165" fontId="20" fillId="0" borderId="0" xfId="23" applyNumberFormat="1" applyFont="1" applyAlignment="1">
      <alignment vertical="center"/>
    </xf>
    <xf numFmtId="2" fontId="20" fillId="0" borderId="0" xfId="23" applyNumberFormat="1" applyFont="1" applyAlignment="1">
      <alignment vertical="center"/>
    </xf>
    <xf numFmtId="2" fontId="20" fillId="0" borderId="0" xfId="23" applyNumberFormat="1" applyFont="1" applyAlignment="1">
      <alignment horizontal="center" vertical="center"/>
    </xf>
    <xf numFmtId="168" fontId="20" fillId="0" borderId="0" xfId="3" applyNumberFormat="1" applyFont="1" applyBorder="1" applyAlignment="1" applyProtection="1">
      <alignment vertical="center"/>
    </xf>
    <xf numFmtId="0" fontId="20" fillId="0" borderId="0" xfId="23" applyFont="1" applyAlignment="1">
      <alignment horizontal="left" vertical="center"/>
    </xf>
    <xf numFmtId="0" fontId="21" fillId="0" borderId="0" xfId="23" applyFont="1" applyAlignment="1">
      <alignment vertical="center"/>
    </xf>
    <xf numFmtId="0" fontId="22" fillId="0" borderId="0" xfId="24" applyFont="1" applyAlignment="1">
      <alignment vertical="center"/>
    </xf>
    <xf numFmtId="0" fontId="23" fillId="0" borderId="0" xfId="24" applyFont="1" applyAlignment="1">
      <alignment vertical="center"/>
    </xf>
    <xf numFmtId="0" fontId="21" fillId="0" borderId="0" xfId="24" applyFont="1" applyAlignment="1">
      <alignment vertical="center"/>
    </xf>
    <xf numFmtId="165" fontId="21" fillId="0" borderId="0" xfId="24" applyNumberFormat="1" applyFont="1" applyAlignment="1">
      <alignment vertical="center"/>
    </xf>
    <xf numFmtId="2" fontId="21" fillId="0" borderId="0" xfId="24" applyNumberFormat="1" applyFont="1" applyAlignment="1">
      <alignment vertical="center"/>
    </xf>
    <xf numFmtId="2" fontId="21" fillId="0" borderId="0" xfId="24" applyNumberFormat="1" applyFont="1" applyAlignment="1">
      <alignment horizontal="center" vertical="center"/>
    </xf>
    <xf numFmtId="165" fontId="21" fillId="0" borderId="0" xfId="25" applyNumberFormat="1" applyFont="1" applyAlignment="1">
      <alignment vertical="center"/>
    </xf>
    <xf numFmtId="2" fontId="21" fillId="0" borderId="0" xfId="25" applyNumberFormat="1" applyFont="1" applyAlignment="1">
      <alignment horizontal="center" vertical="center"/>
    </xf>
    <xf numFmtId="2" fontId="21" fillId="0" borderId="0" xfId="25" applyNumberFormat="1" applyFont="1" applyAlignment="1">
      <alignment horizontal="left" vertical="center"/>
    </xf>
    <xf numFmtId="9" fontId="21" fillId="0" borderId="0" xfId="20" applyFont="1" applyBorder="1" applyAlignment="1" applyProtection="1">
      <alignment horizontal="center" vertical="center"/>
    </xf>
    <xf numFmtId="176" fontId="21" fillId="0" borderId="6" xfId="23" applyNumberFormat="1" applyFont="1" applyBorder="1" applyAlignment="1">
      <alignment horizontal="center" vertical="center"/>
    </xf>
    <xf numFmtId="168" fontId="21" fillId="0" borderId="0" xfId="3" applyNumberFormat="1" applyFont="1" applyBorder="1" applyAlignment="1" applyProtection="1">
      <alignment horizontal="center" vertical="center"/>
    </xf>
    <xf numFmtId="0" fontId="21" fillId="0" borderId="0" xfId="23" applyFont="1" applyAlignment="1">
      <alignment horizontal="left" vertical="center"/>
    </xf>
    <xf numFmtId="0" fontId="6" fillId="19" borderId="2" xfId="30" applyFont="1" applyFill="1" applyBorder="1" applyAlignment="1">
      <alignment horizontal="center" vertical="center"/>
    </xf>
    <xf numFmtId="0" fontId="6" fillId="19" borderId="3" xfId="30" applyFont="1" applyFill="1" applyBorder="1" applyAlignment="1">
      <alignment horizontal="center" vertical="center"/>
    </xf>
    <xf numFmtId="0" fontId="6" fillId="19" borderId="3" xfId="30" applyFont="1" applyFill="1" applyBorder="1" applyAlignment="1">
      <alignment horizontal="center" vertical="center" wrapText="1"/>
    </xf>
    <xf numFmtId="2" fontId="6" fillId="19" borderId="3" xfId="30" applyNumberFormat="1" applyFont="1" applyFill="1" applyBorder="1" applyAlignment="1">
      <alignment horizontal="center" vertical="center" wrapText="1"/>
    </xf>
    <xf numFmtId="165" fontId="6" fillId="19" borderId="3" xfId="30" applyNumberFormat="1" applyFont="1" applyFill="1" applyBorder="1" applyAlignment="1">
      <alignment horizontal="center" vertical="center" wrapText="1"/>
    </xf>
    <xf numFmtId="0" fontId="6" fillId="19" borderId="3" xfId="30" applyFont="1" applyFill="1" applyBorder="1" applyAlignment="1">
      <alignment vertical="center"/>
    </xf>
    <xf numFmtId="168" fontId="6" fillId="19" borderId="3" xfId="1" applyNumberFormat="1" applyFont="1" applyFill="1" applyBorder="1" applyAlignment="1" applyProtection="1">
      <alignment horizontal="center" vertical="center" wrapText="1"/>
    </xf>
    <xf numFmtId="0" fontId="6" fillId="19" borderId="3" xfId="30" applyFont="1" applyFill="1" applyBorder="1" applyAlignment="1">
      <alignment vertical="center" wrapText="1"/>
    </xf>
    <xf numFmtId="0" fontId="6" fillId="19" borderId="27" xfId="30" applyFont="1" applyFill="1" applyBorder="1" applyAlignment="1">
      <alignment horizontal="center" vertical="center"/>
    </xf>
    <xf numFmtId="0" fontId="24" fillId="20" borderId="4" xfId="30" applyFont="1" applyFill="1" applyBorder="1" applyAlignment="1">
      <alignment horizontal="center" vertical="center"/>
    </xf>
    <xf numFmtId="0" fontId="26" fillId="0" borderId="0" xfId="30" applyFont="1" applyAlignment="1">
      <alignment horizontal="center" vertical="center"/>
    </xf>
    <xf numFmtId="0" fontId="26" fillId="0" borderId="0" xfId="30" applyFont="1" applyAlignment="1">
      <alignment horizontal="center" vertical="center" wrapText="1"/>
    </xf>
    <xf numFmtId="2" fontId="26" fillId="0" borderId="0" xfId="30" applyNumberFormat="1" applyFont="1" applyAlignment="1">
      <alignment horizontal="center" vertical="center" wrapText="1"/>
    </xf>
    <xf numFmtId="165" fontId="26" fillId="0" borderId="0" xfId="30" applyNumberFormat="1" applyFont="1" applyAlignment="1">
      <alignment horizontal="center" vertical="center" wrapText="1"/>
    </xf>
    <xf numFmtId="0" fontId="26" fillId="0" borderId="0" xfId="30" applyFont="1" applyAlignment="1">
      <alignment vertical="center"/>
    </xf>
    <xf numFmtId="0" fontId="26" fillId="0" borderId="0" xfId="30" applyFont="1" applyAlignment="1">
      <alignment vertical="center" wrapText="1"/>
    </xf>
    <xf numFmtId="168" fontId="26" fillId="0" borderId="0" xfId="1" applyNumberFormat="1" applyFont="1" applyBorder="1" applyAlignment="1" applyProtection="1">
      <alignment horizontal="center" vertical="center" wrapText="1"/>
    </xf>
    <xf numFmtId="0" fontId="26" fillId="0" borderId="0" xfId="30" applyFont="1" applyAlignment="1">
      <alignment horizontal="left" vertical="center" wrapText="1"/>
    </xf>
    <xf numFmtId="0" fontId="23" fillId="0" borderId="6" xfId="17" applyFont="1" applyBorder="1" applyAlignment="1">
      <alignment horizontal="center" vertical="center"/>
    </xf>
    <xf numFmtId="0" fontId="21" fillId="0" borderId="23" xfId="24" applyFont="1" applyBorder="1" applyAlignment="1">
      <alignment horizontal="left" vertical="center"/>
    </xf>
    <xf numFmtId="0" fontId="22" fillId="0" borderId="6" xfId="24" applyFont="1" applyBorder="1" applyAlignment="1">
      <alignment horizontal="center" vertical="center"/>
    </xf>
    <xf numFmtId="0" fontId="22" fillId="0" borderId="6" xfId="24" applyFont="1" applyBorder="1" applyAlignment="1">
      <alignment horizontal="center" vertical="center" wrapText="1"/>
    </xf>
    <xf numFmtId="0" fontId="21" fillId="0" borderId="6" xfId="23" applyFont="1" applyBorder="1" applyAlignment="1">
      <alignment horizontal="center" vertical="center"/>
    </xf>
    <xf numFmtId="170" fontId="21" fillId="0" borderId="6" xfId="23" applyNumberFormat="1" applyFont="1" applyBorder="1" applyAlignment="1">
      <alignment horizontal="center" vertical="center"/>
    </xf>
    <xf numFmtId="0" fontId="22" fillId="0" borderId="6" xfId="26" applyFont="1" applyBorder="1" applyAlignment="1">
      <alignment horizontal="center" vertical="center" wrapText="1"/>
    </xf>
    <xf numFmtId="2" fontId="24" fillId="0" borderId="6" xfId="24" applyNumberFormat="1" applyFont="1" applyBorder="1" applyAlignment="1">
      <alignment horizontal="center" vertical="center" wrapText="1"/>
    </xf>
    <xf numFmtId="165" fontId="24" fillId="0" borderId="6" xfId="24" applyNumberFormat="1" applyFont="1" applyBorder="1" applyAlignment="1">
      <alignment horizontal="center" vertical="center" wrapText="1"/>
    </xf>
    <xf numFmtId="0" fontId="22" fillId="0" borderId="6" xfId="23" applyFont="1" applyBorder="1" applyAlignment="1">
      <alignment vertical="center"/>
    </xf>
    <xf numFmtId="0" fontId="22" fillId="0" borderId="6" xfId="23" applyFont="1" applyBorder="1" applyAlignment="1">
      <alignment vertical="center" wrapText="1"/>
    </xf>
    <xf numFmtId="0" fontId="22" fillId="0" borderId="6" xfId="23" applyFont="1" applyBorder="1" applyAlignment="1">
      <alignment horizontal="center" vertical="center" wrapText="1"/>
    </xf>
    <xf numFmtId="0" fontId="22" fillId="0" borderId="6" xfId="23" applyFont="1" applyBorder="1" applyAlignment="1">
      <alignment horizontal="left" vertical="center" wrapText="1"/>
    </xf>
    <xf numFmtId="0" fontId="21" fillId="0" borderId="6" xfId="23" applyFont="1" applyBorder="1" applyAlignment="1">
      <alignment vertical="center"/>
    </xf>
    <xf numFmtId="0" fontId="21" fillId="3" borderId="23" xfId="27" applyFont="1" applyFill="1" applyBorder="1" applyAlignment="1">
      <alignment horizontal="left" vertical="center"/>
    </xf>
    <xf numFmtId="0" fontId="23" fillId="3" borderId="6" xfId="0" applyFont="1" applyFill="1" applyBorder="1" applyAlignment="1">
      <alignment horizontal="left" vertical="center"/>
    </xf>
    <xf numFmtId="0" fontId="21" fillId="0" borderId="6" xfId="27" applyFont="1" applyBorder="1" applyAlignment="1">
      <alignment horizontal="left" vertical="center"/>
    </xf>
    <xf numFmtId="0" fontId="21" fillId="0" borderId="0" xfId="0" applyFont="1" applyAlignment="1">
      <alignment horizontal="left"/>
    </xf>
    <xf numFmtId="0" fontId="21" fillId="0" borderId="6" xfId="23" applyFont="1" applyBorder="1" applyAlignment="1">
      <alignment horizontal="left" vertical="center"/>
    </xf>
    <xf numFmtId="0" fontId="22" fillId="0" borderId="6" xfId="23" applyFont="1" applyBorder="1" applyAlignment="1">
      <alignment horizontal="center" vertical="center"/>
    </xf>
    <xf numFmtId="0" fontId="21" fillId="0" borderId="6" xfId="23" applyFont="1" applyBorder="1" applyAlignment="1">
      <alignment horizontal="center" vertical="center" wrapText="1"/>
    </xf>
    <xf numFmtId="2" fontId="21" fillId="0" borderId="6" xfId="23" applyNumberFormat="1" applyFont="1" applyBorder="1" applyAlignment="1">
      <alignment horizontal="center" vertical="center" wrapText="1"/>
    </xf>
    <xf numFmtId="0" fontId="23" fillId="0" borderId="6" xfId="7" applyFont="1" applyBorder="1" applyAlignment="1" applyProtection="1">
      <alignment horizontal="center" vertical="center"/>
    </xf>
    <xf numFmtId="177" fontId="21" fillId="0" borderId="6" xfId="23" applyNumberFormat="1" applyFont="1" applyBorder="1" applyAlignment="1">
      <alignment horizontal="center" vertical="center"/>
    </xf>
    <xf numFmtId="2" fontId="21" fillId="0" borderId="6" xfId="24" applyNumberFormat="1" applyFont="1" applyBorder="1" applyAlignment="1">
      <alignment horizontal="center" vertical="center"/>
    </xf>
    <xf numFmtId="2" fontId="23" fillId="0" borderId="6" xfId="17" applyNumberFormat="1" applyFont="1" applyBorder="1" applyAlignment="1">
      <alignment horizontal="center" vertical="center"/>
    </xf>
    <xf numFmtId="2" fontId="21" fillId="0" borderId="6" xfId="23" applyNumberFormat="1" applyFont="1" applyBorder="1" applyAlignment="1">
      <alignment horizontal="center" vertical="center"/>
    </xf>
    <xf numFmtId="165" fontId="21" fillId="0" borderId="6" xfId="23" applyNumberFormat="1" applyFont="1" applyBorder="1" applyAlignment="1">
      <alignment horizontal="center" vertical="center"/>
    </xf>
    <xf numFmtId="177" fontId="21" fillId="0" borderId="6" xfId="3" applyNumberFormat="1" applyFont="1" applyBorder="1" applyAlignment="1" applyProtection="1">
      <alignment horizontal="center" vertical="center"/>
    </xf>
    <xf numFmtId="168" fontId="21" fillId="0" borderId="6" xfId="3" applyNumberFormat="1" applyFont="1" applyBorder="1" applyAlignment="1" applyProtection="1">
      <alignment horizontal="center" vertical="center" wrapText="1"/>
    </xf>
    <xf numFmtId="176" fontId="21" fillId="0" borderId="6" xfId="3" applyNumberFormat="1" applyFont="1" applyBorder="1" applyAlignment="1" applyProtection="1">
      <alignment vertical="center"/>
    </xf>
    <xf numFmtId="177" fontId="21" fillId="0" borderId="6" xfId="3" applyNumberFormat="1" applyFont="1" applyBorder="1" applyAlignment="1" applyProtection="1">
      <alignment vertical="center"/>
    </xf>
    <xf numFmtId="177" fontId="21" fillId="0" borderId="6" xfId="23" applyNumberFormat="1" applyFont="1" applyBorder="1" applyAlignment="1">
      <alignment vertical="center"/>
    </xf>
    <xf numFmtId="177" fontId="22" fillId="0" borderId="6" xfId="3" applyNumberFormat="1" applyFont="1" applyBorder="1" applyAlignment="1" applyProtection="1">
      <alignment vertical="center"/>
    </xf>
    <xf numFmtId="0" fontId="23" fillId="0" borderId="6" xfId="23" applyFont="1" applyBorder="1" applyAlignment="1">
      <alignment horizontal="center" vertical="center"/>
    </xf>
    <xf numFmtId="173" fontId="21" fillId="0" borderId="6" xfId="23" applyNumberFormat="1" applyFont="1" applyBorder="1" applyAlignment="1">
      <alignment horizontal="left" vertical="center"/>
    </xf>
    <xf numFmtId="0" fontId="27" fillId="21" borderId="20" xfId="27" applyFill="1" applyBorder="1" applyAlignment="1">
      <alignment horizontal="center" vertical="center"/>
    </xf>
    <xf numFmtId="0" fontId="27" fillId="21" borderId="6" xfId="28" applyFill="1" applyBorder="1" applyAlignment="1">
      <alignment horizontal="center" vertical="center" wrapText="1"/>
    </xf>
    <xf numFmtId="0" fontId="27" fillId="21" borderId="23" xfId="28" applyFill="1" applyBorder="1" applyAlignment="1">
      <alignment horizontal="center" vertical="center" wrapText="1"/>
    </xf>
    <xf numFmtId="0" fontId="0" fillId="21" borderId="6" xfId="0" applyFill="1" applyBorder="1" applyAlignment="1">
      <alignment horizontal="center" vertical="center" wrapText="1"/>
    </xf>
    <xf numFmtId="2" fontId="27" fillId="21" borderId="6" xfId="28" applyNumberFormat="1" applyFill="1" applyBorder="1" applyAlignment="1">
      <alignment horizontal="center" vertical="center" wrapText="1"/>
    </xf>
    <xf numFmtId="0" fontId="27" fillId="21" borderId="6" xfId="28" applyFill="1" applyBorder="1" applyAlignment="1">
      <alignment horizontal="center" vertical="center"/>
    </xf>
    <xf numFmtId="170" fontId="27" fillId="21" borderId="22" xfId="28" applyNumberFormat="1" applyFill="1" applyBorder="1" applyAlignment="1">
      <alignment horizontal="center" vertical="center" wrapText="1"/>
    </xf>
    <xf numFmtId="0" fontId="27" fillId="21" borderId="21" xfId="28" applyFill="1" applyBorder="1" applyAlignment="1">
      <alignment horizontal="center" vertical="center" wrapText="1"/>
    </xf>
    <xf numFmtId="171" fontId="27" fillId="21" borderId="6" xfId="28" applyNumberFormat="1" applyFill="1" applyBorder="1" applyAlignment="1">
      <alignment horizontal="center" vertical="center" wrapText="1"/>
    </xf>
    <xf numFmtId="2" fontId="27" fillId="21" borderId="6" xfId="28" applyNumberFormat="1" applyFill="1" applyBorder="1" applyAlignment="1">
      <alignment horizontal="center" vertical="center"/>
    </xf>
    <xf numFmtId="166" fontId="27" fillId="21" borderId="22" xfId="28" applyNumberFormat="1" applyFill="1" applyBorder="1" applyAlignment="1">
      <alignment horizontal="center" vertical="center" wrapText="1"/>
    </xf>
    <xf numFmtId="2" fontId="27" fillId="21" borderId="22" xfId="28" applyNumberFormat="1" applyFill="1" applyBorder="1" applyAlignment="1">
      <alignment horizontal="center" vertical="center" wrapText="1"/>
    </xf>
    <xf numFmtId="167" fontId="27" fillId="21" borderId="6" xfId="28" applyNumberFormat="1" applyFill="1" applyBorder="1" applyAlignment="1">
      <alignment horizontal="center" vertical="center" wrapText="1"/>
    </xf>
    <xf numFmtId="166" fontId="27" fillId="21" borderId="6" xfId="28" applyNumberFormat="1" applyFill="1" applyBorder="1" applyAlignment="1">
      <alignment horizontal="center" vertical="center" wrapText="1"/>
    </xf>
    <xf numFmtId="172" fontId="15" fillId="21" borderId="6" xfId="1" applyNumberFormat="1" applyFont="1" applyFill="1" applyBorder="1" applyAlignment="1" applyProtection="1">
      <alignment horizontal="center" vertical="center" wrapText="1"/>
    </xf>
    <xf numFmtId="2" fontId="27" fillId="21" borderId="22" xfId="29" applyNumberFormat="1" applyFill="1" applyBorder="1" applyAlignment="1">
      <alignment horizontal="center" vertical="center"/>
    </xf>
    <xf numFmtId="0" fontId="11" fillId="21" borderId="6" xfId="23" applyFont="1" applyFill="1" applyBorder="1" applyAlignment="1">
      <alignment horizontal="center" vertical="center" wrapText="1"/>
    </xf>
    <xf numFmtId="2" fontId="11" fillId="21" borderId="6" xfId="23" applyNumberFormat="1" applyFont="1" applyFill="1" applyBorder="1" applyAlignment="1">
      <alignment horizontal="center" vertical="center" wrapText="1"/>
    </xf>
    <xf numFmtId="169" fontId="11" fillId="21" borderId="6" xfId="23" applyNumberFormat="1" applyFont="1" applyFill="1" applyBorder="1" applyAlignment="1">
      <alignment horizontal="center" vertical="center" wrapText="1"/>
    </xf>
    <xf numFmtId="0" fontId="11" fillId="21" borderId="6" xfId="23" applyFont="1" applyFill="1" applyBorder="1" applyAlignment="1">
      <alignment horizontal="left" vertical="center"/>
    </xf>
    <xf numFmtId="172" fontId="27" fillId="21" borderId="6" xfId="28" applyNumberFormat="1" applyFill="1" applyBorder="1" applyAlignment="1">
      <alignment horizontal="center" vertical="center" wrapText="1"/>
    </xf>
    <xf numFmtId="171" fontId="11" fillId="21" borderId="6" xfId="3" applyNumberFormat="1" applyFont="1" applyFill="1" applyBorder="1" applyAlignment="1" applyProtection="1">
      <alignment vertical="center" wrapText="1"/>
    </xf>
    <xf numFmtId="171" fontId="11" fillId="21" borderId="6" xfId="23" applyNumberFormat="1" applyFont="1" applyFill="1" applyBorder="1" applyAlignment="1">
      <alignment vertical="center"/>
    </xf>
    <xf numFmtId="171" fontId="16" fillId="21" borderId="6" xfId="3" applyNumberFormat="1" applyFont="1" applyFill="1" applyBorder="1" applyAlignment="1" applyProtection="1">
      <alignment vertical="center"/>
    </xf>
    <xf numFmtId="171" fontId="12" fillId="21" borderId="6" xfId="3" applyNumberFormat="1" applyFont="1" applyFill="1" applyBorder="1" applyAlignment="1" applyProtection="1">
      <alignment vertical="center"/>
    </xf>
    <xf numFmtId="0" fontId="13" fillId="21" borderId="6" xfId="23" applyFont="1" applyFill="1" applyBorder="1" applyAlignment="1">
      <alignment horizontal="center" vertical="center" wrapText="1"/>
    </xf>
    <xf numFmtId="0" fontId="11" fillId="21" borderId="6" xfId="23" applyFont="1" applyFill="1" applyBorder="1" applyAlignment="1">
      <alignment horizontal="center" vertical="center"/>
    </xf>
    <xf numFmtId="0" fontId="18" fillId="21" borderId="6" xfId="23" applyFont="1" applyFill="1" applyBorder="1" applyAlignment="1">
      <alignment vertical="center" wrapText="1"/>
    </xf>
    <xf numFmtId="0" fontId="11" fillId="21" borderId="0" xfId="23" applyFont="1" applyFill="1" applyAlignment="1">
      <alignment vertical="center"/>
    </xf>
    <xf numFmtId="0" fontId="0" fillId="21" borderId="21" xfId="0" applyFill="1" applyBorder="1" applyAlignment="1">
      <alignment horizontal="center" vertical="center" wrapText="1"/>
    </xf>
    <xf numFmtId="0" fontId="13" fillId="21" borderId="6" xfId="23" applyFont="1" applyFill="1" applyBorder="1" applyAlignment="1">
      <alignment horizontal="center" vertical="center"/>
    </xf>
    <xf numFmtId="173" fontId="11" fillId="21" borderId="6" xfId="23" applyNumberFormat="1" applyFont="1" applyFill="1" applyBorder="1" applyAlignment="1">
      <alignment horizontal="left" vertical="center" wrapText="1"/>
    </xf>
    <xf numFmtId="0" fontId="28" fillId="21" borderId="6" xfId="23" applyFont="1" applyFill="1" applyBorder="1" applyAlignment="1">
      <alignment vertical="center" wrapText="1"/>
    </xf>
    <xf numFmtId="0" fontId="28" fillId="0" borderId="6" xfId="23" applyFont="1" applyBorder="1" applyAlignment="1">
      <alignment vertical="center" wrapText="1"/>
    </xf>
    <xf numFmtId="0" fontId="28" fillId="3" borderId="6" xfId="23" applyFont="1" applyFill="1" applyBorder="1" applyAlignment="1">
      <alignment vertical="center" wrapText="1"/>
    </xf>
    <xf numFmtId="0" fontId="27" fillId="22" borderId="6" xfId="28" applyFill="1" applyBorder="1" applyAlignment="1">
      <alignment horizontal="center" vertical="center" wrapText="1"/>
    </xf>
    <xf numFmtId="0" fontId="6" fillId="2" borderId="6" xfId="0" applyFont="1" applyFill="1" applyBorder="1" applyAlignment="1">
      <alignment horizontal="center" vertical="center"/>
    </xf>
    <xf numFmtId="0" fontId="6" fillId="2" borderId="6" xfId="0" applyFont="1" applyFill="1" applyBorder="1" applyAlignment="1">
      <alignment horizontal="center" vertical="center" wrapText="1"/>
    </xf>
    <xf numFmtId="0" fontId="8" fillId="0" borderId="6" xfId="0" applyFont="1" applyBorder="1" applyAlignment="1">
      <alignment horizontal="center" vertical="center"/>
    </xf>
    <xf numFmtId="0" fontId="8" fillId="3" borderId="6" xfId="0" applyFont="1" applyFill="1" applyBorder="1" applyAlignment="1">
      <alignment horizontal="center" vertical="center"/>
    </xf>
    <xf numFmtId="0" fontId="8" fillId="3" borderId="6" xfId="0" applyFont="1" applyFill="1" applyBorder="1" applyAlignment="1"/>
    <xf numFmtId="0" fontId="8" fillId="4" borderId="6" xfId="0" applyFont="1" applyFill="1" applyBorder="1" applyAlignment="1">
      <alignment horizontal="center" vertical="center"/>
    </xf>
    <xf numFmtId="0" fontId="10" fillId="3" borderId="6" xfId="0" applyFont="1" applyFill="1" applyBorder="1" applyAlignment="1">
      <alignment horizontal="center" vertical="center"/>
    </xf>
    <xf numFmtId="0" fontId="9" fillId="3" borderId="18" xfId="0" applyFont="1" applyFill="1" applyBorder="1" applyAlignment="1">
      <alignment horizontal="center" wrapText="1"/>
    </xf>
    <xf numFmtId="0" fontId="9" fillId="3" borderId="8" xfId="0" applyFont="1" applyFill="1" applyBorder="1" applyAlignment="1">
      <alignment horizontal="center" wrapText="1"/>
    </xf>
    <xf numFmtId="0" fontId="12" fillId="8" borderId="6" xfId="23" applyFont="1" applyFill="1" applyBorder="1" applyAlignment="1">
      <alignment horizontal="center" vertical="center"/>
    </xf>
    <xf numFmtId="0" fontId="11" fillId="10" borderId="6" xfId="23" applyFont="1" applyFill="1" applyBorder="1" applyAlignment="1">
      <alignment horizontal="center" vertical="center"/>
    </xf>
    <xf numFmtId="0" fontId="12" fillId="5" borderId="6" xfId="24" applyFont="1" applyFill="1" applyBorder="1" applyAlignment="1">
      <alignment horizontal="center" vertical="center" wrapText="1"/>
    </xf>
    <xf numFmtId="0" fontId="14" fillId="6" borderId="6" xfId="24" applyFont="1" applyFill="1" applyBorder="1" applyAlignment="1">
      <alignment horizontal="center" vertical="center"/>
    </xf>
    <xf numFmtId="2" fontId="12" fillId="7" borderId="6" xfId="24" applyNumberFormat="1" applyFont="1" applyFill="1" applyBorder="1" applyAlignment="1">
      <alignment horizontal="center" vertical="center"/>
    </xf>
    <xf numFmtId="2" fontId="12" fillId="8" borderId="6" xfId="24" applyNumberFormat="1" applyFont="1" applyFill="1" applyBorder="1" applyAlignment="1">
      <alignment horizontal="center" vertical="center"/>
    </xf>
    <xf numFmtId="2" fontId="12" fillId="9" borderId="6" xfId="24" applyNumberFormat="1" applyFont="1" applyFill="1" applyBorder="1" applyAlignment="1">
      <alignment horizontal="center" vertical="center"/>
    </xf>
    <xf numFmtId="0" fontId="22" fillId="16" borderId="6" xfId="23" applyFont="1" applyFill="1" applyBorder="1" applyAlignment="1">
      <alignment horizontal="center" vertical="center"/>
    </xf>
    <xf numFmtId="0" fontId="22" fillId="18" borderId="6" xfId="23" applyFont="1" applyFill="1" applyBorder="1" applyAlignment="1">
      <alignment horizontal="center" vertical="center"/>
    </xf>
    <xf numFmtId="0" fontId="22" fillId="13" borderId="6" xfId="24" applyFont="1" applyFill="1" applyBorder="1" applyAlignment="1">
      <alignment horizontal="center" vertical="center" wrapText="1"/>
    </xf>
    <xf numFmtId="0" fontId="24" fillId="14" borderId="6" xfId="24" applyFont="1" applyFill="1" applyBorder="1" applyAlignment="1">
      <alignment horizontal="center" vertical="center"/>
    </xf>
    <xf numFmtId="2" fontId="22" fillId="15" borderId="6" xfId="24" applyNumberFormat="1" applyFont="1" applyFill="1" applyBorder="1" applyAlignment="1">
      <alignment horizontal="center" vertical="center"/>
    </xf>
    <xf numFmtId="2" fontId="22" fillId="16" borderId="6" xfId="24" applyNumberFormat="1" applyFont="1" applyFill="1" applyBorder="1" applyAlignment="1">
      <alignment horizontal="center" vertical="center"/>
    </xf>
    <xf numFmtId="2" fontId="22" fillId="17" borderId="6" xfId="24" applyNumberFormat="1" applyFont="1" applyFill="1" applyBorder="1" applyAlignment="1">
      <alignment horizontal="center" vertical="center"/>
    </xf>
  </cellXfs>
  <cellStyles count="31">
    <cellStyle name="Comma" xfId="1" builtinId="3"/>
    <cellStyle name="Comma 2" xfId="3"/>
    <cellStyle name="Excel Built-in Normal" xfId="27"/>
    <cellStyle name="Excel Built-in Normal 1" xfId="22"/>
    <cellStyle name="Excel Built-in Normal 1 1 1" xfId="28"/>
    <cellStyle name="Excel Built-in Normal 1 1 1 1 1" xfId="30"/>
    <cellStyle name="Excel Built-in Normal 1 1 1 1 1 2" xfId="26"/>
    <cellStyle name="Excel Built-in Normal 1 1 1 2" xfId="23"/>
    <cellStyle name="Excel Built-in Normal 1 2" xfId="24"/>
    <cellStyle name="Excel Built-in Normal 2" xfId="29"/>
    <cellStyle name="Excel Built-in Normal 2 2" xfId="25"/>
    <cellStyle name="Hyperlink 2" xfId="4"/>
    <cellStyle name="Hyperlink 3" xfId="5"/>
    <cellStyle name="Hyperlink 4" xfId="6"/>
    <cellStyle name="Hyperlink 4 2" xfId="7"/>
    <cellStyle name="Normal" xfId="0" builtinId="0"/>
    <cellStyle name="Normal 10" xfId="8"/>
    <cellStyle name="Normal 11" xfId="9"/>
    <cellStyle name="Normal 14" xfId="10"/>
    <cellStyle name="Normal 2" xfId="11"/>
    <cellStyle name="Normal 3" xfId="12"/>
    <cellStyle name="Normal 4" xfId="13"/>
    <cellStyle name="Normal 5" xfId="14"/>
    <cellStyle name="Normal 6" xfId="15"/>
    <cellStyle name="Normal 6 2" xfId="16"/>
    <cellStyle name="Normal 7" xfId="17"/>
    <cellStyle name="Normal 8" xfId="18"/>
    <cellStyle name="Percent" xfId="2" builtinId="5"/>
    <cellStyle name="Percent 2" xfId="19"/>
    <cellStyle name="Percent 3" xfId="20"/>
    <cellStyle name="TableStyleLight1" xfId="21"/>
  </cellStyles>
  <dxfs count="8">
    <dxf>
      <font>
        <color rgb="FF000000"/>
        <name val="Calibri"/>
      </font>
      <fill>
        <patternFill>
          <bgColor rgb="FFE46C0A"/>
        </patternFill>
      </fill>
    </dxf>
    <dxf>
      <font>
        <color rgb="FF000000"/>
        <name val="Calibri"/>
      </font>
      <fill>
        <patternFill>
          <bgColor rgb="FFFCD5B5"/>
        </patternFill>
      </fill>
    </dxf>
    <dxf>
      <fill>
        <patternFill>
          <bgColor rgb="FFE46C0A"/>
        </patternFill>
      </fill>
    </dxf>
    <dxf>
      <fill>
        <patternFill>
          <bgColor rgb="FFFCD5B5"/>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rgb="FFE46C0A"/>
        </patternFill>
      </fill>
    </dxf>
    <dxf>
      <font>
        <color rgb="FF000000"/>
        <name val="Calibri"/>
      </font>
      <fill>
        <patternFill>
          <bgColor rgb="FFFCD5B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A2ECF5"/>
      <rgbColor rgb="FF800000"/>
      <rgbColor rgb="FF008000"/>
      <rgbColor rgb="FF000080"/>
      <rgbColor rgb="FF808000"/>
      <rgbColor rgb="FF800080"/>
      <rgbColor rgb="FF008080"/>
      <rgbColor rgb="FFC9C9C9"/>
      <rgbColor rgb="FF99A8BD"/>
      <rgbColor rgb="FF8FAADC"/>
      <rgbColor rgb="FFC0504D"/>
      <rgbColor rgb="FFC5E0B4"/>
      <rgbColor rgb="FFDAEEF3"/>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DCE6F1"/>
      <rgbColor rgb="FFE2F0D9"/>
      <rgbColor rgb="FFFFE699"/>
      <rgbColor rgb="FF92CDDC"/>
      <rgbColor rgb="FFF4B183"/>
      <rgbColor rgb="FFADB9CA"/>
      <rgbColor rgb="FFFCD5B5"/>
      <rgbColor rgb="FF3366FF"/>
      <rgbColor rgb="FF8DB4E2"/>
      <rgbColor rgb="FF92D050"/>
      <rgbColor rgb="FFC4D79B"/>
      <rgbColor rgb="FFFF9900"/>
      <rgbColor rgb="FFE46C0A"/>
      <rgbColor rgb="FF666699"/>
      <rgbColor rgb="FFA6A6A6"/>
      <rgbColor rgb="FF003366"/>
      <rgbColor rgb="FF339966"/>
      <rgbColor rgb="FF003300"/>
      <rgbColor rgb="FF333300"/>
      <rgbColor rgb="FF993300"/>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E9"/>
  <sheetViews>
    <sheetView zoomScaleNormal="100" workbookViewId="0">
      <selection activeCell="C21" sqref="C21"/>
    </sheetView>
  </sheetViews>
  <sheetFormatPr defaultColWidth="11.42578125" defaultRowHeight="12.75"/>
  <cols>
    <col min="1" max="1" width="33.140625" customWidth="1"/>
    <col min="2" max="2" width="24.140625" customWidth="1"/>
    <col min="3" max="3" width="29.5703125" customWidth="1"/>
    <col min="4" max="4" width="38.85546875" customWidth="1"/>
    <col min="5" max="5" width="51" customWidth="1"/>
  </cols>
  <sheetData>
    <row r="5" spans="1:5">
      <c r="A5" s="1" t="s">
        <v>0</v>
      </c>
      <c r="B5" s="2" t="s">
        <v>1</v>
      </c>
      <c r="C5" s="3" t="s">
        <v>2</v>
      </c>
      <c r="D5" s="4" t="s">
        <v>3</v>
      </c>
      <c r="E5" s="5" t="s">
        <v>4</v>
      </c>
    </row>
    <row r="6" spans="1:5">
      <c r="A6" s="6" t="s">
        <v>5</v>
      </c>
      <c r="B6" s="6" t="s">
        <v>6</v>
      </c>
      <c r="C6" s="7">
        <v>1500</v>
      </c>
      <c r="D6" s="8">
        <v>140.91999999999999</v>
      </c>
      <c r="E6" s="9"/>
    </row>
    <row r="7" spans="1:5">
      <c r="A7" s="6" t="s">
        <v>7</v>
      </c>
      <c r="B7" s="6" t="s">
        <v>6</v>
      </c>
      <c r="C7" s="10">
        <f>D6/C6</f>
        <v>9.3946666666666664E-2</v>
      </c>
      <c r="D7" s="7"/>
      <c r="E7" s="11"/>
    </row>
    <row r="8" spans="1:5">
      <c r="A8" s="12" t="s">
        <v>8</v>
      </c>
      <c r="B8" s="6" t="s">
        <v>6</v>
      </c>
      <c r="C8" s="13">
        <v>96</v>
      </c>
      <c r="D8" s="13"/>
      <c r="E8" s="9"/>
    </row>
    <row r="9" spans="1:5">
      <c r="A9" s="12" t="s">
        <v>9</v>
      </c>
      <c r="B9" s="6" t="s">
        <v>6</v>
      </c>
      <c r="C9" s="13">
        <v>56.87</v>
      </c>
      <c r="D9" s="13"/>
      <c r="E9" s="9"/>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0"/>
  <sheetViews>
    <sheetView zoomScaleNormal="100" workbookViewId="0">
      <selection activeCell="H16" sqref="H16"/>
    </sheetView>
  </sheetViews>
  <sheetFormatPr defaultColWidth="8.5703125" defaultRowHeight="12.75"/>
  <cols>
    <col min="1" max="1" width="9.140625" customWidth="1"/>
    <col min="2" max="2" width="20.140625" customWidth="1"/>
    <col min="3" max="3" width="20.85546875" customWidth="1"/>
    <col min="4" max="4" width="15.5703125" customWidth="1"/>
    <col min="5" max="5" width="12.140625" customWidth="1"/>
    <col min="6" max="6" width="10.85546875" customWidth="1"/>
    <col min="7" max="7" width="12.28515625" customWidth="1"/>
    <col min="8" max="8" width="9.85546875" customWidth="1"/>
    <col min="9" max="9" width="10.85546875" customWidth="1"/>
    <col min="10" max="10" width="6.28515625" customWidth="1"/>
    <col min="11" max="11" width="9.42578125" customWidth="1"/>
  </cols>
  <sheetData>
    <row r="2" spans="2:11" ht="25.5" customHeight="1">
      <c r="C2" s="14" t="s">
        <v>10</v>
      </c>
      <c r="D2" s="15" t="s">
        <v>11</v>
      </c>
      <c r="E2" s="15" t="s">
        <v>12</v>
      </c>
      <c r="F2" s="15" t="s">
        <v>13</v>
      </c>
      <c r="G2" s="15" t="s">
        <v>14</v>
      </c>
      <c r="H2" s="16" t="s">
        <v>15</v>
      </c>
    </row>
    <row r="3" spans="2:11">
      <c r="C3" s="17" t="s">
        <v>16</v>
      </c>
      <c r="D3" s="18">
        <v>1500</v>
      </c>
      <c r="E3" s="19">
        <v>140.91999999999999</v>
      </c>
      <c r="F3" s="20">
        <f>E3/D3</f>
        <v>9.3946666666666664E-2</v>
      </c>
      <c r="G3" s="21">
        <v>56.87</v>
      </c>
      <c r="H3" s="22">
        <f>E3/G3</f>
        <v>2.477932125901178</v>
      </c>
    </row>
    <row r="7" spans="2:11" ht="12.75" customHeight="1">
      <c r="B7" s="290" t="s">
        <v>17</v>
      </c>
      <c r="C7" s="290" t="s">
        <v>18</v>
      </c>
      <c r="D7" s="290"/>
      <c r="E7" s="291" t="s">
        <v>19</v>
      </c>
      <c r="F7" s="291"/>
      <c r="G7" s="291"/>
      <c r="H7" s="291" t="s">
        <v>20</v>
      </c>
      <c r="I7" s="291"/>
      <c r="J7" s="291"/>
      <c r="K7" s="291"/>
    </row>
    <row r="8" spans="2:11">
      <c r="B8" s="290"/>
      <c r="C8" s="23" t="s">
        <v>21</v>
      </c>
      <c r="D8" s="23" t="s">
        <v>22</v>
      </c>
      <c r="E8" s="23" t="s">
        <v>23</v>
      </c>
      <c r="F8" s="23" t="s">
        <v>24</v>
      </c>
      <c r="G8" s="23" t="s">
        <v>25</v>
      </c>
      <c r="H8" s="23" t="s">
        <v>21</v>
      </c>
      <c r="I8" s="23" t="s">
        <v>26</v>
      </c>
      <c r="J8" s="23" t="s">
        <v>27</v>
      </c>
      <c r="K8" s="23" t="s">
        <v>23</v>
      </c>
    </row>
    <row r="9" spans="2:11">
      <c r="B9" s="23" t="s">
        <v>28</v>
      </c>
      <c r="C9" s="24"/>
      <c r="D9" s="24"/>
      <c r="E9" s="24"/>
      <c r="F9" s="24"/>
      <c r="G9" s="25"/>
      <c r="H9" s="24"/>
      <c r="I9" s="24"/>
      <c r="J9" s="24"/>
      <c r="K9" s="24"/>
    </row>
    <row r="10" spans="2:11">
      <c r="B10" s="23" t="s">
        <v>29</v>
      </c>
      <c r="C10" s="24">
        <v>1080</v>
      </c>
      <c r="D10" s="24">
        <f>Summary!C8</f>
        <v>96</v>
      </c>
      <c r="E10" s="24">
        <f>C10-D10</f>
        <v>984</v>
      </c>
      <c r="F10" s="26">
        <v>56.87</v>
      </c>
      <c r="G10" s="25">
        <v>9.0499999999999997E-2</v>
      </c>
      <c r="H10" s="24">
        <v>292</v>
      </c>
      <c r="I10" s="24">
        <v>2</v>
      </c>
      <c r="J10" s="24">
        <v>24</v>
      </c>
      <c r="K10" s="24">
        <f>H10-I10-J10</f>
        <v>266</v>
      </c>
    </row>
  </sheetData>
  <mergeCells count="4">
    <mergeCell ref="B7:B8"/>
    <mergeCell ref="C7:D7"/>
    <mergeCell ref="E7:G7"/>
    <mergeCell ref="H7:K7"/>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7"/>
  <sheetViews>
    <sheetView zoomScaleNormal="100" workbookViewId="0">
      <selection activeCell="S17" sqref="S17"/>
    </sheetView>
  </sheetViews>
  <sheetFormatPr defaultColWidth="9" defaultRowHeight="12.75"/>
  <cols>
    <col min="1" max="1" width="24.140625" style="27" customWidth="1"/>
    <col min="2" max="11" width="15" style="27" customWidth="1"/>
    <col min="12" max="13" width="19.7109375" style="27" customWidth="1"/>
    <col min="14" max="14" width="15" style="27" customWidth="1"/>
    <col min="15" max="15" width="21" style="27" customWidth="1"/>
    <col min="16" max="26" width="15" style="27" customWidth="1"/>
    <col min="27" max="16384" width="9" style="27"/>
  </cols>
  <sheetData>
    <row r="1" spans="1:28">
      <c r="A1" s="28" t="s">
        <v>0</v>
      </c>
      <c r="B1" s="29" t="s">
        <v>2</v>
      </c>
      <c r="C1" s="29" t="s">
        <v>3</v>
      </c>
      <c r="D1" s="30"/>
      <c r="E1" s="30"/>
      <c r="F1" s="30"/>
      <c r="G1" s="30"/>
      <c r="H1" s="30"/>
      <c r="I1" s="31"/>
      <c r="J1" s="31"/>
      <c r="K1" s="31"/>
      <c r="L1" s="31"/>
      <c r="M1" s="30"/>
      <c r="N1" s="30"/>
      <c r="O1" s="30"/>
      <c r="P1" s="30"/>
      <c r="Q1" s="30"/>
      <c r="R1" s="30"/>
      <c r="S1" s="30"/>
      <c r="T1" s="30"/>
      <c r="U1" s="30"/>
      <c r="V1" s="30"/>
      <c r="W1" s="30"/>
      <c r="X1" s="32"/>
      <c r="Y1" s="32"/>
      <c r="Z1" s="32"/>
      <c r="AA1" s="32"/>
      <c r="AB1" s="32"/>
    </row>
    <row r="2" spans="1:28" s="38" customFormat="1" ht="38.25">
      <c r="A2" s="33"/>
      <c r="B2" s="34" t="s">
        <v>30</v>
      </c>
      <c r="C2" s="34" t="s">
        <v>31</v>
      </c>
      <c r="D2" s="35"/>
      <c r="E2" s="35"/>
      <c r="F2" s="35"/>
      <c r="G2" s="35"/>
      <c r="H2" s="35"/>
      <c r="I2" s="36"/>
      <c r="J2" s="36"/>
      <c r="K2" s="36"/>
      <c r="L2" s="36"/>
      <c r="M2" s="35"/>
      <c r="N2" s="30"/>
      <c r="O2" s="35"/>
      <c r="P2" s="35"/>
      <c r="Q2" s="35"/>
      <c r="R2" s="35"/>
      <c r="S2" s="35"/>
      <c r="T2" s="35"/>
      <c r="U2" s="35"/>
      <c r="V2" s="35"/>
      <c r="W2" s="35"/>
      <c r="X2" s="37"/>
      <c r="Y2" s="37"/>
      <c r="Z2" s="37"/>
      <c r="AA2" s="37"/>
      <c r="AB2" s="37"/>
    </row>
    <row r="3" spans="1:28">
      <c r="A3" s="39" t="s">
        <v>32</v>
      </c>
      <c r="B3" s="40">
        <f>Summary!C6</f>
        <v>1500</v>
      </c>
      <c r="C3" s="41">
        <v>140.91999999999999</v>
      </c>
      <c r="D3" s="31"/>
      <c r="E3" s="31"/>
      <c r="F3" s="31"/>
      <c r="G3" s="30"/>
      <c r="H3" s="30"/>
      <c r="I3" s="31"/>
      <c r="J3" s="31"/>
      <c r="K3" s="30"/>
      <c r="L3" s="31"/>
      <c r="M3" s="30"/>
      <c r="N3" s="30"/>
      <c r="O3" s="30"/>
      <c r="P3" s="30"/>
      <c r="Q3" s="30"/>
      <c r="R3" s="30"/>
      <c r="S3" s="30"/>
      <c r="T3" s="30"/>
      <c r="U3" s="30"/>
      <c r="V3" s="30"/>
      <c r="W3" s="30"/>
      <c r="X3" s="32"/>
      <c r="Y3" s="32"/>
      <c r="Z3" s="32"/>
      <c r="AA3" s="32"/>
      <c r="AB3" s="32"/>
    </row>
    <row r="4" spans="1:28">
      <c r="A4" s="39" t="s">
        <v>33</v>
      </c>
      <c r="B4" s="40">
        <v>80</v>
      </c>
      <c r="C4" s="40">
        <f>100*C3/B3</f>
        <v>9.3946666666666658</v>
      </c>
      <c r="D4" s="31"/>
      <c r="E4" s="31"/>
      <c r="F4" s="31"/>
      <c r="G4" s="30"/>
      <c r="H4" s="30"/>
      <c r="I4" s="31"/>
      <c r="J4" s="31"/>
      <c r="K4" s="30"/>
      <c r="L4" s="31"/>
      <c r="M4" s="30"/>
      <c r="N4" s="30"/>
      <c r="O4" s="30"/>
      <c r="P4" s="30"/>
      <c r="Q4" s="30"/>
      <c r="R4" s="30"/>
      <c r="S4" s="30"/>
      <c r="T4" s="30"/>
      <c r="U4" s="30"/>
      <c r="V4" s="30"/>
      <c r="W4" s="30"/>
      <c r="X4" s="32"/>
      <c r="Y4" s="32"/>
      <c r="Z4" s="32"/>
      <c r="AA4" s="32"/>
      <c r="AB4" s="32"/>
    </row>
    <row r="5" spans="1:28">
      <c r="A5" s="42"/>
      <c r="B5" s="30"/>
      <c r="C5" s="31"/>
      <c r="D5" s="31"/>
      <c r="E5" s="31"/>
      <c r="F5" s="31"/>
      <c r="G5" s="30"/>
      <c r="H5" s="30"/>
      <c r="I5" s="31"/>
      <c r="J5" s="31"/>
      <c r="K5" s="30"/>
      <c r="L5" s="31"/>
      <c r="M5" s="30"/>
      <c r="N5" s="30"/>
      <c r="O5" s="30"/>
      <c r="P5" s="30"/>
      <c r="Q5" s="30"/>
      <c r="R5" s="30"/>
      <c r="S5" s="30"/>
      <c r="T5" s="30"/>
      <c r="U5" s="30"/>
      <c r="V5" s="30"/>
      <c r="W5" s="30"/>
      <c r="X5" s="32"/>
      <c r="Y5" s="32"/>
      <c r="Z5" s="32"/>
      <c r="AA5" s="32"/>
      <c r="AB5" s="32"/>
    </row>
    <row r="6" spans="1:28" s="49" customFormat="1" ht="66" customHeight="1">
      <c r="A6" s="43" t="s">
        <v>34</v>
      </c>
      <c r="B6" s="44" t="s">
        <v>35</v>
      </c>
      <c r="C6" s="44" t="s">
        <v>36</v>
      </c>
      <c r="D6" s="44" t="s">
        <v>37</v>
      </c>
      <c r="E6" s="44" t="s">
        <v>38</v>
      </c>
      <c r="F6" s="44" t="s">
        <v>39</v>
      </c>
      <c r="G6" s="44" t="s">
        <v>40</v>
      </c>
      <c r="H6" s="44" t="s">
        <v>41</v>
      </c>
      <c r="I6" s="44" t="s">
        <v>42</v>
      </c>
      <c r="J6" s="44" t="s">
        <v>38</v>
      </c>
      <c r="K6" s="44" t="s">
        <v>43</v>
      </c>
      <c r="L6" s="44" t="s">
        <v>44</v>
      </c>
      <c r="M6" s="44" t="s">
        <v>45</v>
      </c>
      <c r="N6" s="45" t="s">
        <v>46</v>
      </c>
      <c r="O6" s="45" t="s">
        <v>47</v>
      </c>
      <c r="P6" s="44" t="s">
        <v>48</v>
      </c>
      <c r="Q6" s="44" t="s">
        <v>49</v>
      </c>
      <c r="R6" s="46" t="s">
        <v>50</v>
      </c>
      <c r="S6" s="47" t="s">
        <v>51</v>
      </c>
      <c r="T6" s="48" t="s">
        <v>52</v>
      </c>
      <c r="U6" s="48" t="s">
        <v>53</v>
      </c>
      <c r="V6" s="48" t="s">
        <v>54</v>
      </c>
      <c r="W6" s="48" t="s">
        <v>55</v>
      </c>
      <c r="X6" s="44" t="s">
        <v>56</v>
      </c>
      <c r="Y6" s="44" t="s">
        <v>57</v>
      </c>
      <c r="Z6" s="46" t="s">
        <v>58</v>
      </c>
    </row>
    <row r="7" spans="1:28" s="53" customFormat="1" ht="35.1" customHeight="1">
      <c r="A7" s="50"/>
      <c r="B7" s="297" t="s">
        <v>59</v>
      </c>
      <c r="C7" s="297"/>
      <c r="D7" s="297"/>
      <c r="E7" s="297"/>
      <c r="F7" s="297"/>
      <c r="G7" s="297" t="s">
        <v>60</v>
      </c>
      <c r="H7" s="297"/>
      <c r="I7" s="297"/>
      <c r="J7" s="297"/>
      <c r="K7" s="298" t="s">
        <v>61</v>
      </c>
      <c r="L7" s="298"/>
      <c r="M7" s="51" t="s">
        <v>62</v>
      </c>
      <c r="N7" s="51" t="s">
        <v>63</v>
      </c>
      <c r="O7" s="51" t="s">
        <v>64</v>
      </c>
      <c r="P7" s="51" t="s">
        <v>65</v>
      </c>
      <c r="Q7" s="51" t="s">
        <v>65</v>
      </c>
      <c r="R7" s="51" t="s">
        <v>65</v>
      </c>
      <c r="S7" s="51" t="s">
        <v>65</v>
      </c>
      <c r="T7" s="52"/>
      <c r="U7" s="52"/>
      <c r="V7" s="52"/>
      <c r="W7" s="52"/>
      <c r="X7" s="52"/>
      <c r="Y7" s="52"/>
      <c r="Z7" s="52"/>
    </row>
    <row r="8" spans="1:28">
      <c r="A8" s="293" t="s">
        <v>29</v>
      </c>
      <c r="B8" s="293">
        <v>2000</v>
      </c>
      <c r="C8" s="293">
        <v>1</v>
      </c>
      <c r="D8" s="293">
        <v>1500</v>
      </c>
      <c r="E8" s="293">
        <v>1</v>
      </c>
      <c r="F8" s="293">
        <v>140.91999999999999</v>
      </c>
      <c r="G8" s="293">
        <v>1500</v>
      </c>
      <c r="H8" s="293">
        <v>1</v>
      </c>
      <c r="I8" s="293">
        <v>1500</v>
      </c>
      <c r="J8" s="293">
        <v>1</v>
      </c>
      <c r="K8" s="293">
        <v>1200</v>
      </c>
      <c r="L8" s="54" t="s">
        <v>66</v>
      </c>
      <c r="M8" s="293">
        <v>1080</v>
      </c>
      <c r="N8" s="293">
        <f>Summary!C8</f>
        <v>96</v>
      </c>
      <c r="O8" s="294">
        <v>48.375</v>
      </c>
      <c r="P8" s="296">
        <v>57</v>
      </c>
      <c r="Q8" s="293">
        <v>1024</v>
      </c>
      <c r="R8" s="293">
        <f>M8-N8</f>
        <v>984</v>
      </c>
      <c r="S8" s="295">
        <v>1018.12</v>
      </c>
      <c r="T8" s="292">
        <v>308</v>
      </c>
      <c r="U8" s="292">
        <v>286</v>
      </c>
      <c r="V8" s="292">
        <f>'Inventory Summary'!I10</f>
        <v>2</v>
      </c>
      <c r="W8" s="292">
        <v>9000</v>
      </c>
      <c r="X8" s="293">
        <f>T8*8</f>
        <v>2464</v>
      </c>
      <c r="Y8" s="293">
        <v>232</v>
      </c>
      <c r="Z8" s="293">
        <f>X8-Y8</f>
        <v>2232</v>
      </c>
    </row>
    <row r="9" spans="1:28">
      <c r="A9" s="293"/>
      <c r="B9" s="293"/>
      <c r="C9" s="293"/>
      <c r="D9" s="293"/>
      <c r="E9" s="293"/>
      <c r="F9" s="293"/>
      <c r="G9" s="293"/>
      <c r="H9" s="293"/>
      <c r="I9" s="293"/>
      <c r="J9" s="293"/>
      <c r="K9" s="293"/>
      <c r="L9" s="54" t="s">
        <v>66</v>
      </c>
      <c r="M9" s="293"/>
      <c r="N9" s="293"/>
      <c r="O9" s="294"/>
      <c r="P9" s="296"/>
      <c r="Q9" s="293"/>
      <c r="R9" s="293"/>
      <c r="S9" s="295"/>
      <c r="T9" s="292"/>
      <c r="U9" s="292"/>
      <c r="V9" s="292"/>
      <c r="W9" s="292"/>
      <c r="X9" s="293"/>
      <c r="Y9" s="293"/>
      <c r="Z9" s="293"/>
    </row>
    <row r="10" spans="1:28">
      <c r="A10" s="293"/>
      <c r="B10" s="293"/>
      <c r="C10" s="293"/>
      <c r="D10" s="293"/>
      <c r="E10" s="293"/>
      <c r="F10" s="293"/>
      <c r="G10" s="293"/>
      <c r="H10" s="293"/>
      <c r="I10" s="293"/>
      <c r="J10" s="293"/>
      <c r="K10" s="293"/>
      <c r="L10" s="54" t="s">
        <v>67</v>
      </c>
      <c r="M10" s="293"/>
      <c r="N10" s="293"/>
      <c r="O10" s="294">
        <v>48.375</v>
      </c>
      <c r="P10" s="296"/>
      <c r="Q10" s="293"/>
      <c r="R10" s="293"/>
      <c r="S10" s="295"/>
      <c r="T10" s="292"/>
      <c r="U10" s="292"/>
      <c r="V10" s="292"/>
      <c r="W10" s="292"/>
      <c r="X10" s="293"/>
      <c r="Y10" s="293"/>
      <c r="Z10" s="293"/>
    </row>
    <row r="11" spans="1:28">
      <c r="A11" s="293"/>
      <c r="B11" s="293"/>
      <c r="C11" s="293"/>
      <c r="D11" s="293"/>
      <c r="E11" s="293"/>
      <c r="F11" s="293"/>
      <c r="G11" s="293"/>
      <c r="H11" s="293"/>
      <c r="I11" s="293"/>
      <c r="J11" s="293"/>
      <c r="K11" s="293"/>
      <c r="L11" s="54" t="s">
        <v>67</v>
      </c>
      <c r="M11" s="293"/>
      <c r="N11" s="293"/>
      <c r="O11" s="294"/>
      <c r="P11" s="296"/>
      <c r="Q11" s="293"/>
      <c r="R11" s="293"/>
      <c r="S11" s="295"/>
      <c r="T11" s="292"/>
      <c r="U11" s="292"/>
      <c r="V11" s="292"/>
      <c r="W11" s="292"/>
      <c r="X11" s="293"/>
      <c r="Y11" s="293"/>
      <c r="Z11" s="293"/>
    </row>
    <row r="14" spans="1:28" ht="12.75" customHeight="1"/>
    <row r="16" spans="1:28"/>
    <row r="17" spans="12:12"/>
  </sheetData>
  <mergeCells count="29">
    <mergeCell ref="B7:F7"/>
    <mergeCell ref="G7:J7"/>
    <mergeCell ref="K7:L7"/>
    <mergeCell ref="A8:A11"/>
    <mergeCell ref="B8:B11"/>
    <mergeCell ref="C8:C11"/>
    <mergeCell ref="D8:D11"/>
    <mergeCell ref="E8:E11"/>
    <mergeCell ref="F8:F11"/>
    <mergeCell ref="G8:G11"/>
    <mergeCell ref="H8:H11"/>
    <mergeCell ref="I8:I11"/>
    <mergeCell ref="J8:J11"/>
    <mergeCell ref="K8:K11"/>
    <mergeCell ref="M8:M11"/>
    <mergeCell ref="N8:N11"/>
    <mergeCell ref="O8:O9"/>
    <mergeCell ref="P8:P11"/>
    <mergeCell ref="Q8:Q11"/>
    <mergeCell ref="W8:W11"/>
    <mergeCell ref="X8:X11"/>
    <mergeCell ref="Y8:Y11"/>
    <mergeCell ref="Z8:Z11"/>
    <mergeCell ref="O10:O11"/>
    <mergeCell ref="R8:R11"/>
    <mergeCell ref="S8:S11"/>
    <mergeCell ref="T8:T11"/>
    <mergeCell ref="U8:U11"/>
    <mergeCell ref="V8:V11"/>
  </mergeCell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6"/>
  <sheetViews>
    <sheetView tabSelected="1" zoomScaleNormal="100" workbookViewId="0">
      <pane xSplit="3" ySplit="1" topLeftCell="D2" activePane="bottomRight" state="frozen"/>
      <selection pane="topRight" activeCell="D1" sqref="D1"/>
      <selection pane="bottomLeft" activeCell="A26" sqref="A26"/>
      <selection pane="bottomRight" activeCell="AE25" sqref="AE25"/>
    </sheetView>
  </sheetViews>
  <sheetFormatPr defaultColWidth="20.140625" defaultRowHeight="13.5"/>
  <cols>
    <col min="1" max="1" width="7.7109375" style="55" customWidth="1"/>
    <col min="2" max="2" width="23.85546875" style="55" customWidth="1"/>
    <col min="3" max="3" width="29" style="55" customWidth="1"/>
    <col min="4" max="4" width="10.28515625" style="55" customWidth="1"/>
    <col min="5" max="5" width="19.85546875" style="55" customWidth="1"/>
    <col min="6" max="6" width="17" style="55" customWidth="1"/>
    <col min="7" max="7" width="12.42578125" style="55" customWidth="1"/>
    <col min="8" max="8" width="14.5703125" style="55" customWidth="1"/>
    <col min="9" max="9" width="12.140625" style="55" customWidth="1"/>
    <col min="10" max="10" width="11.7109375" style="55" customWidth="1"/>
    <col min="11" max="11" width="8" style="55" customWidth="1"/>
    <col min="12" max="12" width="13.85546875" style="56" customWidth="1"/>
    <col min="13" max="13" width="9.85546875" style="57" customWidth="1"/>
    <col min="14" max="14" width="17" style="57" customWidth="1"/>
    <col min="15" max="15" width="15" style="57" customWidth="1"/>
    <col min="16" max="16" width="15.7109375" style="57" customWidth="1"/>
    <col min="17" max="17" width="8.7109375" style="57" customWidth="1"/>
    <col min="18" max="18" width="13.42578125" style="58" customWidth="1"/>
    <col min="19" max="19" width="13.85546875" style="55" customWidth="1"/>
    <col min="20" max="20" width="13.85546875" style="59" customWidth="1"/>
    <col min="21" max="21" width="14.85546875" style="55" customWidth="1"/>
    <col min="22" max="22" width="19.42578125" style="55" customWidth="1"/>
    <col min="23" max="23" width="18.7109375" style="55" customWidth="1"/>
    <col min="24" max="24" width="15" style="60" customWidth="1"/>
    <col min="25" max="25" width="14.85546875" style="60" customWidth="1"/>
    <col min="26" max="26" width="16.28515625" style="55" customWidth="1"/>
    <col min="27" max="27" width="20.7109375" style="61" customWidth="1"/>
    <col min="28" max="28" width="15" style="55" customWidth="1"/>
    <col min="29" max="29" width="10.42578125" style="55" customWidth="1"/>
    <col min="30" max="30" width="15.85546875" style="55" customWidth="1"/>
    <col min="31" max="31" width="20.42578125" style="55" customWidth="1"/>
    <col min="32" max="32" width="17.140625" style="62" customWidth="1"/>
    <col min="33" max="33" width="15.28515625" style="62" customWidth="1"/>
    <col min="34" max="34" width="9.140625" style="62" customWidth="1"/>
    <col min="35" max="35" width="15.28515625" style="55" customWidth="1"/>
    <col min="36" max="36" width="10.140625" style="55" customWidth="1"/>
    <col min="37" max="37" width="17.28515625" style="55" customWidth="1"/>
    <col min="38" max="38" width="9.85546875" style="55" customWidth="1"/>
    <col min="39" max="39" width="14.28515625" style="55" customWidth="1"/>
    <col min="40" max="40" width="12.7109375" style="55" customWidth="1"/>
    <col min="41" max="41" width="21.5703125" style="55" customWidth="1"/>
    <col min="42" max="42" width="18.42578125" style="55" customWidth="1"/>
    <col min="43" max="43" width="20.42578125" style="55" customWidth="1"/>
    <col min="44" max="44" width="14" style="55" customWidth="1"/>
    <col min="45" max="45" width="15.85546875" style="55" customWidth="1"/>
    <col min="46" max="46" width="14.42578125" style="55" customWidth="1"/>
    <col min="47" max="47" width="17" style="55" customWidth="1"/>
    <col min="48" max="48" width="20" style="63" customWidth="1"/>
    <col min="49" max="49" width="18" style="63" customWidth="1"/>
    <col min="50" max="50" width="21.7109375" style="63" customWidth="1"/>
    <col min="51" max="51" width="18.7109375" style="63" customWidth="1"/>
    <col min="52" max="52" width="56.28515625" style="55" customWidth="1"/>
    <col min="53" max="53" width="36.5703125" style="55" customWidth="1"/>
    <col min="54" max="16384" width="20.140625" style="55"/>
  </cols>
  <sheetData>
    <row r="1" spans="1:53">
      <c r="B1" s="64"/>
      <c r="C1" s="64"/>
      <c r="D1" s="64"/>
      <c r="E1" s="64"/>
      <c r="F1" s="64"/>
      <c r="G1" s="65"/>
      <c r="H1" s="65"/>
      <c r="I1" s="65"/>
      <c r="J1" s="65"/>
      <c r="K1" s="66"/>
      <c r="L1" s="67"/>
      <c r="M1" s="68"/>
      <c r="N1" s="68"/>
      <c r="O1" s="68"/>
      <c r="P1" s="69"/>
      <c r="Q1" s="69"/>
      <c r="R1" s="70"/>
      <c r="S1" s="66"/>
      <c r="T1" s="71" t="s">
        <v>68</v>
      </c>
      <c r="U1" s="72"/>
      <c r="V1" s="72">
        <v>0.5</v>
      </c>
      <c r="W1" s="73" t="s">
        <v>69</v>
      </c>
      <c r="X1" s="74"/>
      <c r="Y1" s="75"/>
      <c r="Z1" s="76" t="e">
        <f>#REF!</f>
        <v>#REF!</v>
      </c>
      <c r="AA1" s="77"/>
      <c r="AB1" s="72" t="s">
        <v>70</v>
      </c>
      <c r="AC1" s="72" t="e">
        <f>#REF!</f>
        <v>#REF!</v>
      </c>
      <c r="AD1" s="72" t="s">
        <v>71</v>
      </c>
      <c r="AE1" s="78" t="e">
        <f>#REF!</f>
        <v>#REF!</v>
      </c>
      <c r="AF1" s="79" t="e">
        <f>+AC1*(AE1*(30.5*24-AH1)+AH1*20)</f>
        <v>#REF!</v>
      </c>
      <c r="AG1" s="79" t="s">
        <v>72</v>
      </c>
      <c r="AH1" s="79">
        <v>5</v>
      </c>
      <c r="AI1" s="72"/>
      <c r="AJ1" s="72"/>
      <c r="AK1" s="72"/>
      <c r="AL1" s="72"/>
      <c r="AM1" s="72"/>
      <c r="AN1" s="72"/>
    </row>
    <row r="2" spans="1:53" ht="12" customHeight="1">
      <c r="B2" s="64"/>
      <c r="C2" s="64"/>
      <c r="D2" s="64"/>
      <c r="E2" s="301" t="s">
        <v>73</v>
      </c>
      <c r="F2" s="301"/>
      <c r="G2" s="302" t="s">
        <v>74</v>
      </c>
      <c r="H2" s="302"/>
      <c r="I2" s="302"/>
      <c r="J2" s="302"/>
      <c r="K2" s="302"/>
      <c r="L2" s="302"/>
      <c r="M2" s="302"/>
      <c r="N2" s="302"/>
      <c r="O2" s="302"/>
      <c r="P2" s="303" t="s">
        <v>75</v>
      </c>
      <c r="Q2" s="303"/>
      <c r="R2" s="303"/>
      <c r="S2" s="303"/>
      <c r="T2" s="303"/>
      <c r="U2" s="303"/>
      <c r="V2" s="303"/>
      <c r="W2" s="303"/>
      <c r="X2" s="303"/>
      <c r="Y2" s="303"/>
      <c r="Z2" s="303"/>
      <c r="AA2" s="303"/>
      <c r="AB2" s="304" t="s">
        <v>76</v>
      </c>
      <c r="AC2" s="304"/>
      <c r="AD2" s="304"/>
      <c r="AE2" s="304"/>
      <c r="AF2" s="304"/>
      <c r="AG2" s="305" t="s">
        <v>77</v>
      </c>
      <c r="AH2" s="305"/>
      <c r="AI2" s="305"/>
      <c r="AJ2" s="305"/>
      <c r="AK2" s="305"/>
      <c r="AL2" s="305"/>
      <c r="AM2" s="305"/>
      <c r="AN2" s="305"/>
      <c r="AO2" s="299" t="s">
        <v>78</v>
      </c>
      <c r="AP2" s="299"/>
      <c r="AQ2" s="299"/>
      <c r="AR2" s="299"/>
      <c r="AS2" s="299"/>
      <c r="AT2" s="299"/>
      <c r="AU2" s="299"/>
      <c r="AV2" s="300" t="s">
        <v>79</v>
      </c>
      <c r="AW2" s="300"/>
      <c r="AX2" s="300"/>
      <c r="AY2" s="300"/>
    </row>
    <row r="3" spans="1:53" s="91" customFormat="1" ht="40.5">
      <c r="A3" s="80" t="s">
        <v>80</v>
      </c>
      <c r="B3" s="80" t="s">
        <v>81</v>
      </c>
      <c r="C3" s="80" t="s">
        <v>82</v>
      </c>
      <c r="D3" s="80" t="s">
        <v>83</v>
      </c>
      <c r="E3" s="81" t="s">
        <v>84</v>
      </c>
      <c r="F3" s="81" t="s">
        <v>85</v>
      </c>
      <c r="G3" s="81" t="s">
        <v>86</v>
      </c>
      <c r="H3" s="81" t="s">
        <v>87</v>
      </c>
      <c r="I3" s="82" t="s">
        <v>88</v>
      </c>
      <c r="J3" s="81" t="s">
        <v>89</v>
      </c>
      <c r="K3" s="80" t="s">
        <v>90</v>
      </c>
      <c r="L3" s="83" t="s">
        <v>91</v>
      </c>
      <c r="M3" s="81" t="s">
        <v>92</v>
      </c>
      <c r="N3" s="81" t="s">
        <v>93</v>
      </c>
      <c r="O3" s="81" t="s">
        <v>94</v>
      </c>
      <c r="P3" s="84" t="s">
        <v>95</v>
      </c>
      <c r="Q3" s="82" t="s">
        <v>88</v>
      </c>
      <c r="R3" s="85" t="s">
        <v>96</v>
      </c>
      <c r="S3" s="82" t="s">
        <v>97</v>
      </c>
      <c r="T3" s="86" t="s">
        <v>98</v>
      </c>
      <c r="U3" s="81" t="s">
        <v>99</v>
      </c>
      <c r="V3" s="82" t="s">
        <v>100</v>
      </c>
      <c r="W3" s="82" t="s">
        <v>101</v>
      </c>
      <c r="X3" s="85" t="s">
        <v>102</v>
      </c>
      <c r="Y3" s="85" t="s">
        <v>103</v>
      </c>
      <c r="Z3" s="82" t="s">
        <v>104</v>
      </c>
      <c r="AA3" s="82" t="s">
        <v>105</v>
      </c>
      <c r="AB3" s="82" t="s">
        <v>106</v>
      </c>
      <c r="AC3" s="87" t="s">
        <v>107</v>
      </c>
      <c r="AD3" s="88" t="s">
        <v>108</v>
      </c>
      <c r="AE3" s="88" t="s">
        <v>109</v>
      </c>
      <c r="AF3" s="88" t="s">
        <v>110</v>
      </c>
      <c r="AG3" s="88" t="s">
        <v>95</v>
      </c>
      <c r="AH3" s="88" t="s">
        <v>88</v>
      </c>
      <c r="AI3" s="88" t="s">
        <v>89</v>
      </c>
      <c r="AJ3" s="88" t="s">
        <v>90</v>
      </c>
      <c r="AK3" s="88" t="s">
        <v>111</v>
      </c>
      <c r="AL3" s="89" t="s">
        <v>92</v>
      </c>
      <c r="AM3" s="88" t="s">
        <v>99</v>
      </c>
      <c r="AN3" s="88" t="s">
        <v>112</v>
      </c>
      <c r="AO3" s="88" t="s">
        <v>113</v>
      </c>
      <c r="AP3" s="88" t="s">
        <v>114</v>
      </c>
      <c r="AQ3" s="88" t="s">
        <v>115</v>
      </c>
      <c r="AR3" s="88" t="s">
        <v>77</v>
      </c>
      <c r="AS3" s="88" t="s">
        <v>116</v>
      </c>
      <c r="AT3" s="88" t="s">
        <v>117</v>
      </c>
      <c r="AU3" s="88" t="s">
        <v>118</v>
      </c>
      <c r="AV3" s="90" t="s">
        <v>119</v>
      </c>
      <c r="AW3" s="90" t="s">
        <v>120</v>
      </c>
      <c r="AX3" s="90" t="s">
        <v>121</v>
      </c>
      <c r="AY3" s="90" t="s">
        <v>122</v>
      </c>
      <c r="AZ3" s="87" t="s">
        <v>123</v>
      </c>
    </row>
    <row r="4" spans="1:53" ht="40.5">
      <c r="A4" s="92" t="s">
        <v>29</v>
      </c>
      <c r="B4" s="93" t="s">
        <v>124</v>
      </c>
      <c r="C4" s="93" t="s">
        <v>125</v>
      </c>
      <c r="D4" s="94" t="s">
        <v>126</v>
      </c>
      <c r="E4" s="93" t="s">
        <v>127</v>
      </c>
      <c r="F4" s="95" t="s">
        <v>128</v>
      </c>
      <c r="G4" s="93" t="s">
        <v>129</v>
      </c>
      <c r="H4" s="93" t="s">
        <v>130</v>
      </c>
      <c r="I4" s="96" t="str">
        <f t="shared" ref="I4:I29" si="0">IF(G4="Rack","No of Racks",(IF(G4="Space","Sq Ft","U Space")))</f>
        <v>No of Racks</v>
      </c>
      <c r="J4" s="93">
        <v>1</v>
      </c>
      <c r="K4" s="93">
        <v>1</v>
      </c>
      <c r="L4" s="97">
        <f t="shared" ref="L4:L23" si="1">J4-K4</f>
        <v>0</v>
      </c>
      <c r="M4" s="98">
        <v>1</v>
      </c>
      <c r="N4" s="99">
        <f t="shared" ref="N4:N23" si="2">J4-M4</f>
        <v>0</v>
      </c>
      <c r="O4" s="100">
        <v>42916.666666666701</v>
      </c>
      <c r="P4" s="101" t="str">
        <f t="shared" ref="P4:P29" si="3">E4</f>
        <v>Rated</v>
      </c>
      <c r="Q4" s="93" t="s">
        <v>6</v>
      </c>
      <c r="R4" s="102">
        <v>3</v>
      </c>
      <c r="S4" s="95">
        <v>0.67</v>
      </c>
      <c r="T4" s="103">
        <f t="shared" ref="T4:T29" si="4">R4-S4</f>
        <v>2.33</v>
      </c>
      <c r="U4" s="95">
        <v>0</v>
      </c>
      <c r="V4" s="95">
        <f t="shared" ref="V4:V23" si="5">IF(T4&lt;=0,0,(IF(P4="Rated",(T4+U4)*$V$1,(T4+U4))))</f>
        <v>1.165</v>
      </c>
      <c r="W4" s="95">
        <f t="shared" ref="W4:W23" si="6">IF(P4="Rated",R4*$V$1,R4)</f>
        <v>1.5</v>
      </c>
      <c r="X4" s="102">
        <f t="shared" ref="X4:X29" si="7">S4</f>
        <v>0.67</v>
      </c>
      <c r="Y4" s="102">
        <v>0</v>
      </c>
      <c r="Z4" s="95">
        <v>0</v>
      </c>
      <c r="AA4" s="104">
        <v>0</v>
      </c>
      <c r="AB4" s="105" t="s">
        <v>128</v>
      </c>
      <c r="AC4" s="106">
        <v>1</v>
      </c>
      <c r="AD4" s="107" t="s">
        <v>131</v>
      </c>
      <c r="AE4" s="108"/>
      <c r="AF4" s="109"/>
      <c r="AG4" s="93" t="s">
        <v>132</v>
      </c>
      <c r="AH4" s="110"/>
      <c r="AI4" s="93">
        <v>0</v>
      </c>
      <c r="AJ4" s="93">
        <v>0</v>
      </c>
      <c r="AK4" s="93">
        <v>0</v>
      </c>
      <c r="AL4" s="93">
        <v>0</v>
      </c>
      <c r="AM4" s="93" t="s">
        <v>133</v>
      </c>
      <c r="AN4" s="93"/>
      <c r="AO4" s="100">
        <f t="shared" ref="AO4:AO29" si="8">O4*M4</f>
        <v>42916.666666666701</v>
      </c>
      <c r="AP4" s="111">
        <f t="shared" ref="AP4:AP29" si="9">IF((R4-S4&lt;0),((T4*AA4)*-1),0)</f>
        <v>0</v>
      </c>
      <c r="AQ4" s="112">
        <f t="shared" ref="AQ4:AQ29" si="10">AF4*AE4*AC4</f>
        <v>0</v>
      </c>
      <c r="AR4" s="93">
        <f t="shared" ref="AR4:AR29" si="11">AN4*AL4</f>
        <v>0</v>
      </c>
      <c r="AS4" s="113">
        <v>5000</v>
      </c>
      <c r="AT4" s="114">
        <f t="shared" ref="AT4:AT29" si="12">SUBTOTAL(9,AO4:AS4)</f>
        <v>47916.666666666701</v>
      </c>
      <c r="AU4" s="115"/>
      <c r="AV4" s="93">
        <v>5000000996</v>
      </c>
      <c r="AW4" s="93" t="s">
        <v>134</v>
      </c>
      <c r="AX4" s="93"/>
      <c r="AY4" s="116"/>
      <c r="AZ4" s="117" t="s">
        <v>135</v>
      </c>
    </row>
    <row r="5" spans="1:53" ht="54">
      <c r="A5" s="92" t="s">
        <v>29</v>
      </c>
      <c r="B5" s="93" t="s">
        <v>124</v>
      </c>
      <c r="C5" s="93" t="s">
        <v>136</v>
      </c>
      <c r="D5" s="94" t="s">
        <v>137</v>
      </c>
      <c r="E5" s="93" t="s">
        <v>127</v>
      </c>
      <c r="F5" s="95" t="s">
        <v>128</v>
      </c>
      <c r="G5" s="93" t="s">
        <v>129</v>
      </c>
      <c r="H5" s="93" t="s">
        <v>130</v>
      </c>
      <c r="I5" s="96" t="str">
        <f t="shared" si="0"/>
        <v>No of Racks</v>
      </c>
      <c r="J5" s="93">
        <v>1</v>
      </c>
      <c r="K5" s="93">
        <v>1</v>
      </c>
      <c r="L5" s="97">
        <f t="shared" si="1"/>
        <v>0</v>
      </c>
      <c r="M5" s="98">
        <v>1</v>
      </c>
      <c r="N5" s="99">
        <f t="shared" si="2"/>
        <v>0</v>
      </c>
      <c r="O5" s="100">
        <v>51408.333333333299</v>
      </c>
      <c r="P5" s="101" t="str">
        <f t="shared" si="3"/>
        <v>Rated</v>
      </c>
      <c r="Q5" s="93" t="s">
        <v>6</v>
      </c>
      <c r="R5" s="102">
        <v>4</v>
      </c>
      <c r="S5" s="102">
        <v>11.706</v>
      </c>
      <c r="T5" s="103">
        <f t="shared" si="4"/>
        <v>-7.7059999999999995</v>
      </c>
      <c r="U5" s="95">
        <v>0</v>
      </c>
      <c r="V5" s="95">
        <f t="shared" si="5"/>
        <v>0</v>
      </c>
      <c r="W5" s="95">
        <f t="shared" si="6"/>
        <v>2</v>
      </c>
      <c r="X5" s="102">
        <f t="shared" si="7"/>
        <v>11.706</v>
      </c>
      <c r="Y5" s="102">
        <v>1.3</v>
      </c>
      <c r="Z5" s="95">
        <v>0</v>
      </c>
      <c r="AA5" s="104">
        <v>9000</v>
      </c>
      <c r="AB5" s="105" t="s">
        <v>128</v>
      </c>
      <c r="AC5" s="106">
        <v>1</v>
      </c>
      <c r="AD5" s="107" t="s">
        <v>131</v>
      </c>
      <c r="AE5" s="78"/>
      <c r="AF5" s="109"/>
      <c r="AG5" s="93" t="s">
        <v>132</v>
      </c>
      <c r="AH5" s="110"/>
      <c r="AI5" s="93">
        <v>0</v>
      </c>
      <c r="AJ5" s="93">
        <v>0</v>
      </c>
      <c r="AK5" s="93">
        <v>0</v>
      </c>
      <c r="AL5" s="93">
        <v>0</v>
      </c>
      <c r="AM5" s="93" t="s">
        <v>133</v>
      </c>
      <c r="AN5" s="93"/>
      <c r="AO5" s="100">
        <f t="shared" si="8"/>
        <v>51408.333333333299</v>
      </c>
      <c r="AP5" s="111">
        <f t="shared" si="9"/>
        <v>69354</v>
      </c>
      <c r="AQ5" s="112">
        <f t="shared" si="10"/>
        <v>0</v>
      </c>
      <c r="AR5" s="93">
        <f t="shared" si="11"/>
        <v>0</v>
      </c>
      <c r="AS5" s="129">
        <v>0</v>
      </c>
      <c r="AT5" s="114">
        <f t="shared" si="12"/>
        <v>120762.3333333333</v>
      </c>
      <c r="AU5" s="115"/>
      <c r="AV5" s="93" t="s">
        <v>138</v>
      </c>
      <c r="AW5" s="93" t="s">
        <v>139</v>
      </c>
      <c r="AX5" s="93" t="s">
        <v>140</v>
      </c>
      <c r="AY5" s="289" t="s">
        <v>141</v>
      </c>
      <c r="AZ5" s="287" t="s">
        <v>142</v>
      </c>
    </row>
    <row r="6" spans="1:53" s="282" customFormat="1" ht="67.5">
      <c r="A6" s="254" t="s">
        <v>29</v>
      </c>
      <c r="B6" s="255" t="s">
        <v>124</v>
      </c>
      <c r="C6" s="255" t="s">
        <v>143</v>
      </c>
      <c r="D6" s="283" t="s">
        <v>126</v>
      </c>
      <c r="E6" s="255" t="s">
        <v>127</v>
      </c>
      <c r="F6" s="258" t="s">
        <v>128</v>
      </c>
      <c r="G6" s="255" t="s">
        <v>129</v>
      </c>
      <c r="H6" s="255" t="s">
        <v>130</v>
      </c>
      <c r="I6" s="259" t="str">
        <f t="shared" si="0"/>
        <v>No of Racks</v>
      </c>
      <c r="J6" s="255">
        <v>1</v>
      </c>
      <c r="K6" s="255">
        <v>1</v>
      </c>
      <c r="L6" s="260">
        <f t="shared" si="1"/>
        <v>0</v>
      </c>
      <c r="M6" s="255">
        <v>1</v>
      </c>
      <c r="N6" s="261">
        <f t="shared" si="2"/>
        <v>0</v>
      </c>
      <c r="O6" s="262">
        <v>83333.333333333299</v>
      </c>
      <c r="P6" s="263" t="str">
        <f t="shared" si="3"/>
        <v>Rated</v>
      </c>
      <c r="Q6" s="255" t="s">
        <v>6</v>
      </c>
      <c r="R6" s="267">
        <v>6</v>
      </c>
      <c r="S6" s="258">
        <v>5.85</v>
      </c>
      <c r="T6" s="266">
        <f t="shared" si="4"/>
        <v>0.15000000000000036</v>
      </c>
      <c r="U6" s="258">
        <v>0</v>
      </c>
      <c r="V6" s="258">
        <f t="shared" si="5"/>
        <v>7.5000000000000178E-2</v>
      </c>
      <c r="W6" s="258">
        <f t="shared" si="6"/>
        <v>3</v>
      </c>
      <c r="X6" s="267">
        <f t="shared" si="7"/>
        <v>5.85</v>
      </c>
      <c r="Y6" s="267">
        <v>1.4</v>
      </c>
      <c r="Z6" s="258">
        <v>0</v>
      </c>
      <c r="AA6" s="268">
        <v>14750</v>
      </c>
      <c r="AB6" s="269" t="s">
        <v>128</v>
      </c>
      <c r="AC6" s="270">
        <v>1</v>
      </c>
      <c r="AD6" s="271" t="s">
        <v>131</v>
      </c>
      <c r="AE6" s="272"/>
      <c r="AF6" s="270"/>
      <c r="AG6" s="255" t="s">
        <v>132</v>
      </c>
      <c r="AH6" s="273"/>
      <c r="AI6" s="255">
        <v>0</v>
      </c>
      <c r="AJ6" s="255">
        <v>0</v>
      </c>
      <c r="AK6" s="255">
        <v>0</v>
      </c>
      <c r="AL6" s="255">
        <v>0</v>
      </c>
      <c r="AM6" s="255" t="s">
        <v>133</v>
      </c>
      <c r="AN6" s="255"/>
      <c r="AO6" s="262">
        <f t="shared" si="8"/>
        <v>83333.333333333299</v>
      </c>
      <c r="AP6" s="274">
        <f t="shared" si="9"/>
        <v>0</v>
      </c>
      <c r="AQ6" s="275">
        <f t="shared" si="10"/>
        <v>0</v>
      </c>
      <c r="AR6" s="255">
        <f t="shared" si="11"/>
        <v>0</v>
      </c>
      <c r="AS6" s="276">
        <v>20000</v>
      </c>
      <c r="AT6" s="277">
        <f t="shared" si="12"/>
        <v>103333.3333333333</v>
      </c>
      <c r="AU6" s="278"/>
      <c r="AV6" s="284"/>
      <c r="AW6" s="255" t="s">
        <v>144</v>
      </c>
      <c r="AX6" s="255"/>
      <c r="AY6" s="285"/>
      <c r="AZ6" s="286" t="s">
        <v>145</v>
      </c>
    </row>
    <row r="7" spans="1:53" ht="40.5">
      <c r="A7" s="92" t="s">
        <v>29</v>
      </c>
      <c r="B7" s="93" t="s">
        <v>124</v>
      </c>
      <c r="C7" s="93" t="s">
        <v>146</v>
      </c>
      <c r="D7" s="94" t="s">
        <v>137</v>
      </c>
      <c r="E7" s="93" t="s">
        <v>127</v>
      </c>
      <c r="F7" s="95" t="s">
        <v>128</v>
      </c>
      <c r="G7" s="93" t="s">
        <v>129</v>
      </c>
      <c r="H7" s="93" t="s">
        <v>130</v>
      </c>
      <c r="I7" s="96" t="str">
        <f t="shared" si="0"/>
        <v>No of Racks</v>
      </c>
      <c r="J7" s="93">
        <v>1</v>
      </c>
      <c r="K7" s="93">
        <v>1</v>
      </c>
      <c r="L7" s="97">
        <f t="shared" si="1"/>
        <v>0</v>
      </c>
      <c r="M7" s="119">
        <v>1</v>
      </c>
      <c r="N7" s="99">
        <f t="shared" si="2"/>
        <v>0</v>
      </c>
      <c r="O7" s="120">
        <v>42500</v>
      </c>
      <c r="P7" s="101" t="str">
        <f t="shared" si="3"/>
        <v>Rated</v>
      </c>
      <c r="Q7" s="93" t="s">
        <v>6</v>
      </c>
      <c r="R7" s="102">
        <v>3</v>
      </c>
      <c r="S7" s="121">
        <v>6.0339999999999998</v>
      </c>
      <c r="T7" s="103">
        <f t="shared" si="4"/>
        <v>-3.0339999999999998</v>
      </c>
      <c r="U7" s="95">
        <v>0</v>
      </c>
      <c r="V7" s="95">
        <f t="shared" si="5"/>
        <v>0</v>
      </c>
      <c r="W7" s="95">
        <f t="shared" si="6"/>
        <v>1.5</v>
      </c>
      <c r="X7" s="102">
        <f t="shared" si="7"/>
        <v>6.0339999999999998</v>
      </c>
      <c r="Y7" s="102">
        <v>1.2</v>
      </c>
      <c r="Z7" s="95">
        <v>0</v>
      </c>
      <c r="AA7" s="104">
        <v>9166.6659999999993</v>
      </c>
      <c r="AB7" s="105" t="s">
        <v>128</v>
      </c>
      <c r="AC7" s="106">
        <v>1</v>
      </c>
      <c r="AD7" s="107" t="s">
        <v>131</v>
      </c>
      <c r="AE7" s="78"/>
      <c r="AF7" s="109"/>
      <c r="AG7" s="93" t="s">
        <v>132</v>
      </c>
      <c r="AH7" s="110"/>
      <c r="AI7" s="93">
        <v>0</v>
      </c>
      <c r="AJ7" s="93">
        <v>0</v>
      </c>
      <c r="AK7" s="93">
        <v>0</v>
      </c>
      <c r="AL7" s="93">
        <v>0</v>
      </c>
      <c r="AM7" s="93" t="s">
        <v>133</v>
      </c>
      <c r="AN7" s="93"/>
      <c r="AO7" s="100">
        <f t="shared" si="8"/>
        <v>42500</v>
      </c>
      <c r="AP7" s="111">
        <f t="shared" si="9"/>
        <v>27811.664643999997</v>
      </c>
      <c r="AQ7" s="112">
        <f t="shared" si="10"/>
        <v>0</v>
      </c>
      <c r="AR7" s="93">
        <f t="shared" si="11"/>
        <v>0</v>
      </c>
      <c r="AS7" s="129">
        <v>0</v>
      </c>
      <c r="AT7" s="114">
        <f t="shared" si="12"/>
        <v>70311.664644000004</v>
      </c>
      <c r="AU7" s="115"/>
      <c r="AV7" s="118"/>
      <c r="AW7" s="93" t="s">
        <v>147</v>
      </c>
      <c r="AX7" s="122" t="s">
        <v>140</v>
      </c>
      <c r="AY7" s="289" t="s">
        <v>148</v>
      </c>
      <c r="AZ7" s="117" t="s">
        <v>149</v>
      </c>
      <c r="BA7" s="282"/>
    </row>
    <row r="8" spans="1:53" ht="40.5">
      <c r="A8" s="92" t="s">
        <v>29</v>
      </c>
      <c r="B8" s="93" t="s">
        <v>124</v>
      </c>
      <c r="C8" s="255" t="s">
        <v>150</v>
      </c>
      <c r="D8" s="94" t="s">
        <v>126</v>
      </c>
      <c r="E8" s="93" t="s">
        <v>127</v>
      </c>
      <c r="F8" s="95" t="s">
        <v>128</v>
      </c>
      <c r="G8" s="96" t="s">
        <v>151</v>
      </c>
      <c r="H8" s="93" t="s">
        <v>130</v>
      </c>
      <c r="I8" s="96" t="str">
        <f t="shared" si="0"/>
        <v>U Space</v>
      </c>
      <c r="J8" s="93">
        <v>4</v>
      </c>
      <c r="K8" s="93">
        <v>4</v>
      </c>
      <c r="L8" s="97">
        <f t="shared" si="1"/>
        <v>0</v>
      </c>
      <c r="M8" s="93">
        <v>4</v>
      </c>
      <c r="N8" s="99">
        <f t="shared" si="2"/>
        <v>0</v>
      </c>
      <c r="O8" s="100">
        <v>2916</v>
      </c>
      <c r="P8" s="101" t="str">
        <f t="shared" si="3"/>
        <v>Rated</v>
      </c>
      <c r="Q8" s="93" t="s">
        <v>152</v>
      </c>
      <c r="R8" s="102">
        <v>1</v>
      </c>
      <c r="S8" s="95">
        <v>1.4999999999999999E-2</v>
      </c>
      <c r="T8" s="103">
        <f t="shared" si="4"/>
        <v>0.98499999999999999</v>
      </c>
      <c r="U8" s="95">
        <v>0</v>
      </c>
      <c r="V8" s="95">
        <f t="shared" si="5"/>
        <v>0.49249999999999999</v>
      </c>
      <c r="W8" s="95">
        <f t="shared" si="6"/>
        <v>0.5</v>
      </c>
      <c r="X8" s="102">
        <f t="shared" si="7"/>
        <v>1.4999999999999999E-2</v>
      </c>
      <c r="Y8" s="102">
        <v>6.6000000000000003E-2</v>
      </c>
      <c r="Z8" s="95">
        <v>0</v>
      </c>
      <c r="AA8" s="104">
        <v>7500</v>
      </c>
      <c r="AB8" s="105" t="s">
        <v>128</v>
      </c>
      <c r="AC8" s="106">
        <v>1</v>
      </c>
      <c r="AD8" s="107" t="s">
        <v>131</v>
      </c>
      <c r="AE8" s="78"/>
      <c r="AF8" s="106"/>
      <c r="AG8" s="93" t="s">
        <v>132</v>
      </c>
      <c r="AH8" s="110"/>
      <c r="AI8" s="93">
        <v>0</v>
      </c>
      <c r="AJ8" s="93">
        <v>0</v>
      </c>
      <c r="AK8" s="93">
        <v>0</v>
      </c>
      <c r="AL8" s="93">
        <v>0</v>
      </c>
      <c r="AM8" s="93" t="s">
        <v>133</v>
      </c>
      <c r="AN8" s="93"/>
      <c r="AO8" s="100">
        <f t="shared" si="8"/>
        <v>11664</v>
      </c>
      <c r="AP8" s="111">
        <f t="shared" si="9"/>
        <v>0</v>
      </c>
      <c r="AQ8" s="112">
        <f t="shared" si="10"/>
        <v>0</v>
      </c>
      <c r="AR8" s="93">
        <f t="shared" si="11"/>
        <v>0</v>
      </c>
      <c r="AS8" s="113">
        <v>625</v>
      </c>
      <c r="AT8" s="114">
        <f t="shared" si="12"/>
        <v>12289</v>
      </c>
      <c r="AU8" s="115"/>
      <c r="AV8" s="118"/>
      <c r="AW8" s="93" t="s">
        <v>153</v>
      </c>
      <c r="AX8" s="122" t="s">
        <v>140</v>
      </c>
      <c r="AY8" s="289" t="s">
        <v>154</v>
      </c>
      <c r="AZ8" s="117" t="s">
        <v>155</v>
      </c>
    </row>
    <row r="9" spans="1:53" ht="27">
      <c r="A9" s="92" t="s">
        <v>29</v>
      </c>
      <c r="B9" s="93" t="s">
        <v>124</v>
      </c>
      <c r="C9" s="93" t="s">
        <v>156</v>
      </c>
      <c r="D9" s="94" t="s">
        <v>137</v>
      </c>
      <c r="E9" s="93" t="s">
        <v>127</v>
      </c>
      <c r="F9" s="95" t="s">
        <v>128</v>
      </c>
      <c r="G9" s="93" t="s">
        <v>129</v>
      </c>
      <c r="H9" s="93" t="s">
        <v>130</v>
      </c>
      <c r="I9" s="96" t="str">
        <f t="shared" si="0"/>
        <v>No of Racks</v>
      </c>
      <c r="J9" s="93">
        <v>3</v>
      </c>
      <c r="K9" s="93">
        <v>3</v>
      </c>
      <c r="L9" s="97">
        <f t="shared" si="1"/>
        <v>0</v>
      </c>
      <c r="M9" s="93">
        <v>3</v>
      </c>
      <c r="N9" s="99">
        <f t="shared" si="2"/>
        <v>0</v>
      </c>
      <c r="O9" s="100">
        <v>43099.86</v>
      </c>
      <c r="P9" s="101" t="str">
        <f t="shared" si="3"/>
        <v>Rated</v>
      </c>
      <c r="Q9" s="93" t="s">
        <v>6</v>
      </c>
      <c r="R9" s="102">
        <v>18</v>
      </c>
      <c r="S9" s="95">
        <v>33.773000000000003</v>
      </c>
      <c r="T9" s="103">
        <f t="shared" si="4"/>
        <v>-15.773000000000003</v>
      </c>
      <c r="U9" s="95">
        <v>0</v>
      </c>
      <c r="V9" s="95">
        <f t="shared" si="5"/>
        <v>0</v>
      </c>
      <c r="W9" s="95">
        <f t="shared" si="6"/>
        <v>9</v>
      </c>
      <c r="X9" s="102">
        <f t="shared" si="7"/>
        <v>33.773000000000003</v>
      </c>
      <c r="Y9" s="102">
        <v>6.5</v>
      </c>
      <c r="Z9" s="95">
        <v>0</v>
      </c>
      <c r="AA9" s="104">
        <v>7500</v>
      </c>
      <c r="AB9" s="105" t="s">
        <v>128</v>
      </c>
      <c r="AC9" s="106">
        <v>1</v>
      </c>
      <c r="AD9" s="107" t="s">
        <v>131</v>
      </c>
      <c r="AE9" s="78"/>
      <c r="AF9" s="123"/>
      <c r="AG9" s="93" t="s">
        <v>132</v>
      </c>
      <c r="AH9" s="110"/>
      <c r="AI9" s="93">
        <v>2</v>
      </c>
      <c r="AJ9" s="93">
        <v>2</v>
      </c>
      <c r="AK9" s="93">
        <v>0</v>
      </c>
      <c r="AL9" s="93">
        <v>2</v>
      </c>
      <c r="AM9" s="93" t="s">
        <v>133</v>
      </c>
      <c r="AN9" s="124">
        <v>6416.66</v>
      </c>
      <c r="AO9" s="100">
        <f t="shared" si="8"/>
        <v>129299.58</v>
      </c>
      <c r="AP9" s="111">
        <f t="shared" si="9"/>
        <v>118297.50000000003</v>
      </c>
      <c r="AQ9" s="112">
        <f t="shared" si="10"/>
        <v>0</v>
      </c>
      <c r="AR9" s="93">
        <f t="shared" si="11"/>
        <v>12833.32</v>
      </c>
      <c r="AS9" s="113">
        <v>3333.33</v>
      </c>
      <c r="AT9" s="114">
        <f t="shared" si="12"/>
        <v>263763.73000000004</v>
      </c>
      <c r="AU9" s="115"/>
      <c r="AV9" s="93" t="s">
        <v>157</v>
      </c>
      <c r="AW9" s="93" t="s">
        <v>158</v>
      </c>
      <c r="AX9" s="93" t="s">
        <v>140</v>
      </c>
      <c r="AY9" s="93" t="s">
        <v>159</v>
      </c>
      <c r="AZ9" s="125" t="s">
        <v>160</v>
      </c>
      <c r="BA9" s="126"/>
    </row>
    <row r="10" spans="1:53" ht="40.5">
      <c r="A10" s="92" t="s">
        <v>29</v>
      </c>
      <c r="B10" s="93" t="s">
        <v>124</v>
      </c>
      <c r="C10" s="255" t="s">
        <v>161</v>
      </c>
      <c r="D10" s="94" t="s">
        <v>137</v>
      </c>
      <c r="E10" s="93" t="s">
        <v>127</v>
      </c>
      <c r="F10" s="95" t="s">
        <v>128</v>
      </c>
      <c r="G10" s="96" t="s">
        <v>151</v>
      </c>
      <c r="H10" s="93" t="s">
        <v>130</v>
      </c>
      <c r="I10" s="96" t="str">
        <f t="shared" si="0"/>
        <v>U Space</v>
      </c>
      <c r="J10" s="93">
        <v>3</v>
      </c>
      <c r="K10" s="93">
        <v>3</v>
      </c>
      <c r="L10" s="97">
        <f t="shared" si="1"/>
        <v>0</v>
      </c>
      <c r="M10" s="93">
        <v>3</v>
      </c>
      <c r="N10" s="99">
        <f t="shared" si="2"/>
        <v>0</v>
      </c>
      <c r="O10" s="100">
        <v>2750</v>
      </c>
      <c r="P10" s="101" t="str">
        <f t="shared" si="3"/>
        <v>Rated</v>
      </c>
      <c r="Q10" s="93" t="s">
        <v>6</v>
      </c>
      <c r="R10" s="127">
        <v>0.75</v>
      </c>
      <c r="S10" s="95">
        <v>1.1000000000000001</v>
      </c>
      <c r="T10" s="103">
        <f t="shared" si="4"/>
        <v>-0.35000000000000009</v>
      </c>
      <c r="U10" s="95">
        <v>0</v>
      </c>
      <c r="V10" s="95">
        <f t="shared" si="5"/>
        <v>0</v>
      </c>
      <c r="W10" s="95">
        <f t="shared" si="6"/>
        <v>0.375</v>
      </c>
      <c r="X10" s="102">
        <f t="shared" si="7"/>
        <v>1.1000000000000001</v>
      </c>
      <c r="Y10" s="102">
        <v>0.05</v>
      </c>
      <c r="Z10" s="95">
        <v>0</v>
      </c>
      <c r="AA10" s="104">
        <v>7916.66</v>
      </c>
      <c r="AB10" s="105" t="s">
        <v>128</v>
      </c>
      <c r="AC10" s="106">
        <v>1</v>
      </c>
      <c r="AD10" s="107" t="s">
        <v>131</v>
      </c>
      <c r="AE10" s="128"/>
      <c r="AF10" s="123"/>
      <c r="AG10" s="93" t="s">
        <v>132</v>
      </c>
      <c r="AH10" s="110"/>
      <c r="AI10" s="93">
        <v>0</v>
      </c>
      <c r="AJ10" s="93">
        <v>0</v>
      </c>
      <c r="AK10" s="93">
        <v>0</v>
      </c>
      <c r="AL10" s="93">
        <v>0</v>
      </c>
      <c r="AM10" s="93" t="s">
        <v>133</v>
      </c>
      <c r="AN10" s="93"/>
      <c r="AO10" s="100">
        <f t="shared" si="8"/>
        <v>8250</v>
      </c>
      <c r="AP10" s="111">
        <f t="shared" si="9"/>
        <v>2770.8310000000006</v>
      </c>
      <c r="AQ10" s="112">
        <f t="shared" si="10"/>
        <v>0</v>
      </c>
      <c r="AR10" s="93">
        <f t="shared" si="11"/>
        <v>0</v>
      </c>
      <c r="AS10" s="129">
        <v>13333.333000000001</v>
      </c>
      <c r="AT10" s="114">
        <f t="shared" si="12"/>
        <v>24354.164000000001</v>
      </c>
      <c r="AU10" s="115"/>
      <c r="AV10" s="118"/>
      <c r="AW10" s="93" t="s">
        <v>162</v>
      </c>
      <c r="AX10" s="93" t="s">
        <v>140</v>
      </c>
      <c r="AY10" s="289" t="s">
        <v>163</v>
      </c>
      <c r="AZ10" s="130" t="s">
        <v>164</v>
      </c>
    </row>
    <row r="11" spans="1:53" ht="67.5">
      <c r="A11" s="92" t="s">
        <v>29</v>
      </c>
      <c r="B11" s="93" t="s">
        <v>124</v>
      </c>
      <c r="C11" s="255" t="s">
        <v>165</v>
      </c>
      <c r="D11" s="94" t="s">
        <v>137</v>
      </c>
      <c r="E11" s="93" t="s">
        <v>127</v>
      </c>
      <c r="F11" s="95" t="s">
        <v>128</v>
      </c>
      <c r="G11" s="96" t="s">
        <v>151</v>
      </c>
      <c r="H11" s="93" t="s">
        <v>130</v>
      </c>
      <c r="I11" s="96" t="str">
        <f t="shared" si="0"/>
        <v>U Space</v>
      </c>
      <c r="J11" s="93">
        <v>21</v>
      </c>
      <c r="K11" s="93">
        <v>21</v>
      </c>
      <c r="L11" s="97">
        <f t="shared" si="1"/>
        <v>0</v>
      </c>
      <c r="M11" s="93">
        <v>21</v>
      </c>
      <c r="N11" s="99">
        <f t="shared" si="2"/>
        <v>0</v>
      </c>
      <c r="O11" s="100">
        <v>1091.269</v>
      </c>
      <c r="P11" s="101" t="str">
        <f t="shared" si="3"/>
        <v>Rated</v>
      </c>
      <c r="Q11" s="93" t="s">
        <v>6</v>
      </c>
      <c r="R11" s="102">
        <v>3</v>
      </c>
      <c r="S11" s="95">
        <v>5.0960000000000001</v>
      </c>
      <c r="T11" s="103">
        <f t="shared" si="4"/>
        <v>-2.0960000000000001</v>
      </c>
      <c r="U11" s="95">
        <v>0</v>
      </c>
      <c r="V11" s="95">
        <f t="shared" si="5"/>
        <v>0</v>
      </c>
      <c r="W11" s="95">
        <f t="shared" si="6"/>
        <v>1.5</v>
      </c>
      <c r="X11" s="102">
        <f t="shared" si="7"/>
        <v>5.0960000000000001</v>
      </c>
      <c r="Y11" s="102">
        <v>2.1</v>
      </c>
      <c r="Z11" s="95">
        <v>0</v>
      </c>
      <c r="AA11" s="104">
        <v>7916.66</v>
      </c>
      <c r="AB11" s="105" t="s">
        <v>128</v>
      </c>
      <c r="AC11" s="106">
        <v>1</v>
      </c>
      <c r="AD11" s="107" t="s">
        <v>131</v>
      </c>
      <c r="AE11" s="78"/>
      <c r="AF11" s="123"/>
      <c r="AG11" s="93" t="s">
        <v>132</v>
      </c>
      <c r="AH11" s="110"/>
      <c r="AI11" s="93">
        <v>0</v>
      </c>
      <c r="AJ11" s="93">
        <v>0</v>
      </c>
      <c r="AK11" s="93">
        <v>0</v>
      </c>
      <c r="AL11" s="93">
        <v>0</v>
      </c>
      <c r="AM11" s="93" t="s">
        <v>133</v>
      </c>
      <c r="AN11" s="93"/>
      <c r="AO11" s="100">
        <f t="shared" si="8"/>
        <v>22916.649000000001</v>
      </c>
      <c r="AP11" s="111">
        <f t="shared" si="9"/>
        <v>16593.319360000001</v>
      </c>
      <c r="AQ11" s="112">
        <f t="shared" si="10"/>
        <v>0</v>
      </c>
      <c r="AR11" s="93">
        <f t="shared" si="11"/>
        <v>0</v>
      </c>
      <c r="AS11" s="129">
        <v>0</v>
      </c>
      <c r="AT11" s="114">
        <f t="shared" si="12"/>
        <v>39509.968359999999</v>
      </c>
      <c r="AU11" s="115"/>
      <c r="AV11" s="118" t="s">
        <v>166</v>
      </c>
      <c r="AW11" s="93" t="s">
        <v>167</v>
      </c>
      <c r="AX11" s="122" t="s">
        <v>140</v>
      </c>
      <c r="AY11" s="255" t="s">
        <v>168</v>
      </c>
      <c r="AZ11" s="287" t="s">
        <v>169</v>
      </c>
    </row>
    <row r="12" spans="1:53" ht="54">
      <c r="A12" s="92" t="s">
        <v>29</v>
      </c>
      <c r="B12" s="93" t="s">
        <v>124</v>
      </c>
      <c r="C12" s="255" t="s">
        <v>165</v>
      </c>
      <c r="D12" s="94" t="s">
        <v>137</v>
      </c>
      <c r="E12" s="93" t="s">
        <v>127</v>
      </c>
      <c r="F12" s="95" t="s">
        <v>128</v>
      </c>
      <c r="G12" s="96" t="s">
        <v>151</v>
      </c>
      <c r="H12" s="93" t="s">
        <v>130</v>
      </c>
      <c r="I12" s="96" t="str">
        <f t="shared" si="0"/>
        <v>U Space</v>
      </c>
      <c r="J12" s="93">
        <v>21</v>
      </c>
      <c r="K12" s="93">
        <v>21</v>
      </c>
      <c r="L12" s="97">
        <f t="shared" si="1"/>
        <v>0</v>
      </c>
      <c r="M12" s="93">
        <v>21</v>
      </c>
      <c r="N12" s="99">
        <f t="shared" si="2"/>
        <v>0</v>
      </c>
      <c r="O12" s="100">
        <v>1091.269</v>
      </c>
      <c r="P12" s="101" t="str">
        <f t="shared" si="3"/>
        <v>Rated</v>
      </c>
      <c r="Q12" s="93" t="s">
        <v>6</v>
      </c>
      <c r="R12" s="102">
        <v>3</v>
      </c>
      <c r="S12" s="95">
        <v>2.25</v>
      </c>
      <c r="T12" s="103">
        <f t="shared" si="4"/>
        <v>0.75</v>
      </c>
      <c r="U12" s="95">
        <v>0</v>
      </c>
      <c r="V12" s="95">
        <f t="shared" si="5"/>
        <v>0.375</v>
      </c>
      <c r="W12" s="95">
        <f t="shared" si="6"/>
        <v>1.5</v>
      </c>
      <c r="X12" s="102">
        <f t="shared" si="7"/>
        <v>2.25</v>
      </c>
      <c r="Y12" s="102">
        <v>1.3</v>
      </c>
      <c r="Z12" s="95">
        <v>0</v>
      </c>
      <c r="AA12" s="104">
        <v>7916.66</v>
      </c>
      <c r="AB12" s="105" t="s">
        <v>128</v>
      </c>
      <c r="AC12" s="106">
        <v>1</v>
      </c>
      <c r="AD12" s="107" t="s">
        <v>131</v>
      </c>
      <c r="AE12" s="108"/>
      <c r="AF12" s="109"/>
      <c r="AG12" s="93" t="s">
        <v>132</v>
      </c>
      <c r="AH12" s="110"/>
      <c r="AI12" s="93">
        <v>0</v>
      </c>
      <c r="AJ12" s="93">
        <v>0</v>
      </c>
      <c r="AK12" s="93">
        <v>0</v>
      </c>
      <c r="AL12" s="93">
        <v>0</v>
      </c>
      <c r="AM12" s="93" t="s">
        <v>133</v>
      </c>
      <c r="AN12" s="93"/>
      <c r="AO12" s="100">
        <f t="shared" si="8"/>
        <v>22916.649000000001</v>
      </c>
      <c r="AP12" s="111">
        <f t="shared" si="9"/>
        <v>0</v>
      </c>
      <c r="AQ12" s="112">
        <f t="shared" si="10"/>
        <v>0</v>
      </c>
      <c r="AR12" s="93">
        <f t="shared" si="11"/>
        <v>0</v>
      </c>
      <c r="AS12" s="129">
        <v>0</v>
      </c>
      <c r="AT12" s="114">
        <f t="shared" si="12"/>
        <v>22916.649000000001</v>
      </c>
      <c r="AU12" s="115"/>
      <c r="AV12" s="118" t="s">
        <v>170</v>
      </c>
      <c r="AW12" s="93" t="s">
        <v>171</v>
      </c>
      <c r="AX12" s="122" t="s">
        <v>140</v>
      </c>
      <c r="AY12" s="255" t="s">
        <v>172</v>
      </c>
      <c r="AZ12" s="287" t="s">
        <v>173</v>
      </c>
    </row>
    <row r="13" spans="1:53" ht="67.5">
      <c r="A13" s="92" t="s">
        <v>29</v>
      </c>
      <c r="B13" s="93" t="s">
        <v>124</v>
      </c>
      <c r="C13" s="255" t="s">
        <v>174</v>
      </c>
      <c r="D13" s="94" t="s">
        <v>137</v>
      </c>
      <c r="E13" s="93" t="s">
        <v>127</v>
      </c>
      <c r="F13" s="95" t="s">
        <v>128</v>
      </c>
      <c r="G13" s="96" t="s">
        <v>151</v>
      </c>
      <c r="H13" s="93" t="s">
        <v>130</v>
      </c>
      <c r="I13" s="96" t="str">
        <f t="shared" si="0"/>
        <v>U Space</v>
      </c>
      <c r="J13" s="93">
        <v>21</v>
      </c>
      <c r="K13" s="93">
        <v>21</v>
      </c>
      <c r="L13" s="97">
        <f t="shared" si="1"/>
        <v>0</v>
      </c>
      <c r="M13" s="93">
        <v>21</v>
      </c>
      <c r="N13" s="99">
        <f t="shared" si="2"/>
        <v>0</v>
      </c>
      <c r="O13" s="100">
        <v>972.22</v>
      </c>
      <c r="P13" s="101" t="str">
        <f t="shared" si="3"/>
        <v>Rated</v>
      </c>
      <c r="Q13" s="93" t="s">
        <v>6</v>
      </c>
      <c r="R13" s="102">
        <v>1.5</v>
      </c>
      <c r="S13" s="95">
        <v>1.0089999999999999</v>
      </c>
      <c r="T13" s="103">
        <f t="shared" si="4"/>
        <v>0.4910000000000001</v>
      </c>
      <c r="U13" s="95">
        <v>0</v>
      </c>
      <c r="V13" s="95">
        <f t="shared" si="5"/>
        <v>0.24550000000000005</v>
      </c>
      <c r="W13" s="95">
        <f t="shared" si="6"/>
        <v>0.75</v>
      </c>
      <c r="X13" s="102">
        <f t="shared" si="7"/>
        <v>1.0089999999999999</v>
      </c>
      <c r="Y13" s="102">
        <v>0.35</v>
      </c>
      <c r="Z13" s="95">
        <v>0</v>
      </c>
      <c r="AA13" s="104">
        <v>0</v>
      </c>
      <c r="AB13" s="105" t="s">
        <v>128</v>
      </c>
      <c r="AC13" s="106">
        <v>1</v>
      </c>
      <c r="AD13" s="107" t="s">
        <v>131</v>
      </c>
      <c r="AE13" s="108"/>
      <c r="AF13" s="107"/>
      <c r="AG13" s="93" t="s">
        <v>132</v>
      </c>
      <c r="AH13" s="110"/>
      <c r="AI13" s="93">
        <v>0</v>
      </c>
      <c r="AJ13" s="93">
        <v>0</v>
      </c>
      <c r="AK13" s="93">
        <v>0</v>
      </c>
      <c r="AL13" s="93">
        <v>0</v>
      </c>
      <c r="AM13" s="93" t="s">
        <v>133</v>
      </c>
      <c r="AN13" s="93"/>
      <c r="AO13" s="100">
        <f t="shared" si="8"/>
        <v>20416.62</v>
      </c>
      <c r="AP13" s="111">
        <f t="shared" si="9"/>
        <v>0</v>
      </c>
      <c r="AQ13" s="112">
        <f t="shared" si="10"/>
        <v>0</v>
      </c>
      <c r="AR13" s="93">
        <f t="shared" si="11"/>
        <v>0</v>
      </c>
      <c r="AS13" s="113">
        <v>18750</v>
      </c>
      <c r="AT13" s="114">
        <f t="shared" si="12"/>
        <v>39166.619999999995</v>
      </c>
      <c r="AU13" s="115"/>
      <c r="AV13" s="93">
        <v>4518729828</v>
      </c>
      <c r="AW13" s="93" t="s">
        <v>175</v>
      </c>
      <c r="AX13" s="122"/>
      <c r="AY13" s="116"/>
      <c r="AZ13" s="117" t="s">
        <v>176</v>
      </c>
    </row>
    <row r="14" spans="1:53" ht="40.5">
      <c r="A14" s="92" t="s">
        <v>29</v>
      </c>
      <c r="B14" s="93" t="s">
        <v>124</v>
      </c>
      <c r="C14" s="255" t="s">
        <v>177</v>
      </c>
      <c r="D14" s="94" t="s">
        <v>137</v>
      </c>
      <c r="E14" s="93" t="s">
        <v>127</v>
      </c>
      <c r="F14" s="95" t="s">
        <v>128</v>
      </c>
      <c r="G14" s="96" t="s">
        <v>151</v>
      </c>
      <c r="H14" s="93" t="s">
        <v>130</v>
      </c>
      <c r="I14" s="96" t="str">
        <f t="shared" si="0"/>
        <v>U Space</v>
      </c>
      <c r="J14" s="93">
        <v>21</v>
      </c>
      <c r="K14" s="93">
        <v>21</v>
      </c>
      <c r="L14" s="97">
        <f t="shared" si="1"/>
        <v>0</v>
      </c>
      <c r="M14" s="93">
        <v>21</v>
      </c>
      <c r="N14" s="99">
        <f t="shared" si="2"/>
        <v>0</v>
      </c>
      <c r="O14" s="100">
        <v>1031.74</v>
      </c>
      <c r="P14" s="101" t="str">
        <f t="shared" si="3"/>
        <v>Rated</v>
      </c>
      <c r="Q14" s="93" t="s">
        <v>6</v>
      </c>
      <c r="R14" s="102">
        <v>2</v>
      </c>
      <c r="S14" s="95">
        <v>2.1</v>
      </c>
      <c r="T14" s="103">
        <f t="shared" si="4"/>
        <v>-0.10000000000000009</v>
      </c>
      <c r="U14" s="95">
        <v>0</v>
      </c>
      <c r="V14" s="95">
        <f t="shared" si="5"/>
        <v>0</v>
      </c>
      <c r="W14" s="95">
        <f t="shared" si="6"/>
        <v>1</v>
      </c>
      <c r="X14" s="102">
        <f t="shared" si="7"/>
        <v>2.1</v>
      </c>
      <c r="Y14" s="102">
        <v>0.4</v>
      </c>
      <c r="Z14" s="95">
        <v>0</v>
      </c>
      <c r="AA14" s="104">
        <v>0</v>
      </c>
      <c r="AB14" s="105" t="s">
        <v>128</v>
      </c>
      <c r="AC14" s="106">
        <v>1</v>
      </c>
      <c r="AD14" s="107" t="s">
        <v>131</v>
      </c>
      <c r="AE14" s="78"/>
      <c r="AF14" s="131"/>
      <c r="AG14" s="93" t="s">
        <v>132</v>
      </c>
      <c r="AH14" s="110"/>
      <c r="AI14" s="93">
        <v>0</v>
      </c>
      <c r="AJ14" s="93">
        <v>0</v>
      </c>
      <c r="AK14" s="93">
        <v>0</v>
      </c>
      <c r="AL14" s="93">
        <v>0</v>
      </c>
      <c r="AM14" s="93" t="s">
        <v>133</v>
      </c>
      <c r="AN14" s="93"/>
      <c r="AO14" s="100">
        <f t="shared" si="8"/>
        <v>21666.54</v>
      </c>
      <c r="AP14" s="111">
        <f t="shared" si="9"/>
        <v>0</v>
      </c>
      <c r="AQ14" s="112">
        <f t="shared" si="10"/>
        <v>0</v>
      </c>
      <c r="AR14" s="93">
        <f t="shared" si="11"/>
        <v>0</v>
      </c>
      <c r="AS14" s="113">
        <v>16833.330000000002</v>
      </c>
      <c r="AT14" s="114">
        <f t="shared" si="12"/>
        <v>38499.870000000003</v>
      </c>
      <c r="AU14" s="115"/>
      <c r="AV14" s="132" t="s">
        <v>178</v>
      </c>
      <c r="AW14" s="93" t="s">
        <v>179</v>
      </c>
      <c r="AX14" s="122"/>
      <c r="AY14" s="116"/>
      <c r="AZ14" s="287" t="s">
        <v>180</v>
      </c>
    </row>
    <row r="15" spans="1:53" ht="40.5">
      <c r="A15" s="92" t="s">
        <v>29</v>
      </c>
      <c r="B15" s="93" t="s">
        <v>124</v>
      </c>
      <c r="C15" s="93" t="s">
        <v>181</v>
      </c>
      <c r="D15" s="94" t="s">
        <v>126</v>
      </c>
      <c r="E15" s="93" t="s">
        <v>182</v>
      </c>
      <c r="F15" s="95" t="s">
        <v>183</v>
      </c>
      <c r="G15" s="93" t="s">
        <v>129</v>
      </c>
      <c r="H15" s="93" t="s">
        <v>130</v>
      </c>
      <c r="I15" s="96" t="str">
        <f t="shared" si="0"/>
        <v>No of Racks</v>
      </c>
      <c r="J15" s="93">
        <v>1</v>
      </c>
      <c r="K15" s="93">
        <v>1</v>
      </c>
      <c r="L15" s="97">
        <f t="shared" si="1"/>
        <v>0</v>
      </c>
      <c r="M15" s="93">
        <v>1</v>
      </c>
      <c r="N15" s="99">
        <f t="shared" si="2"/>
        <v>0</v>
      </c>
      <c r="O15" s="100">
        <v>13750</v>
      </c>
      <c r="P15" s="101" t="str">
        <f t="shared" si="3"/>
        <v>Subscribed</v>
      </c>
      <c r="Q15" s="93" t="s">
        <v>152</v>
      </c>
      <c r="R15" s="102">
        <v>7</v>
      </c>
      <c r="S15" s="95">
        <v>1.55</v>
      </c>
      <c r="T15" s="103">
        <f t="shared" si="4"/>
        <v>5.45</v>
      </c>
      <c r="U15" s="95">
        <v>0</v>
      </c>
      <c r="V15" s="95">
        <f t="shared" si="5"/>
        <v>5.45</v>
      </c>
      <c r="W15" s="95">
        <f t="shared" si="6"/>
        <v>7</v>
      </c>
      <c r="X15" s="102">
        <f t="shared" si="7"/>
        <v>1.55</v>
      </c>
      <c r="Y15" s="102">
        <v>0.5</v>
      </c>
      <c r="Z15" s="95">
        <v>0</v>
      </c>
      <c r="AA15" s="104">
        <v>0</v>
      </c>
      <c r="AB15" s="105" t="s">
        <v>183</v>
      </c>
      <c r="AC15" s="106">
        <v>1.65</v>
      </c>
      <c r="AD15" s="107" t="s">
        <v>184</v>
      </c>
      <c r="AE15" s="78">
        <v>9.09</v>
      </c>
      <c r="AF15" s="107">
        <v>348.8</v>
      </c>
      <c r="AG15" s="93" t="s">
        <v>132</v>
      </c>
      <c r="AH15" s="110"/>
      <c r="AI15" s="93">
        <v>1</v>
      </c>
      <c r="AJ15" s="93">
        <v>1</v>
      </c>
      <c r="AK15" s="93">
        <v>0</v>
      </c>
      <c r="AL15" s="93">
        <v>1</v>
      </c>
      <c r="AM15" s="93" t="s">
        <v>133</v>
      </c>
      <c r="AN15" s="124">
        <v>7083.33</v>
      </c>
      <c r="AO15" s="100">
        <f t="shared" si="8"/>
        <v>13750</v>
      </c>
      <c r="AP15" s="111">
        <f t="shared" si="9"/>
        <v>0</v>
      </c>
      <c r="AQ15" s="112">
        <f t="shared" si="10"/>
        <v>5231.4767999999995</v>
      </c>
      <c r="AR15" s="100">
        <f t="shared" si="11"/>
        <v>7083.33</v>
      </c>
      <c r="AS15" s="113">
        <v>5625</v>
      </c>
      <c r="AT15" s="114">
        <f t="shared" si="12"/>
        <v>31689.806799999998</v>
      </c>
      <c r="AU15" s="115"/>
      <c r="AV15" s="93" t="s">
        <v>185</v>
      </c>
      <c r="AW15" s="93" t="s">
        <v>186</v>
      </c>
      <c r="AX15" s="122"/>
      <c r="AY15" s="116"/>
      <c r="AZ15" s="117" t="s">
        <v>187</v>
      </c>
    </row>
    <row r="16" spans="1:53" ht="40.5">
      <c r="A16" s="92" t="s">
        <v>29</v>
      </c>
      <c r="B16" s="93" t="s">
        <v>124</v>
      </c>
      <c r="C16" s="255" t="s">
        <v>188</v>
      </c>
      <c r="D16" s="94" t="s">
        <v>126</v>
      </c>
      <c r="E16" s="93" t="s">
        <v>127</v>
      </c>
      <c r="F16" s="95" t="s">
        <v>128</v>
      </c>
      <c r="G16" s="96" t="s">
        <v>151</v>
      </c>
      <c r="H16" s="93" t="s">
        <v>130</v>
      </c>
      <c r="I16" s="96" t="str">
        <f t="shared" si="0"/>
        <v>U Space</v>
      </c>
      <c r="J16" s="93">
        <v>1</v>
      </c>
      <c r="K16" s="93">
        <v>1</v>
      </c>
      <c r="L16" s="97">
        <f t="shared" si="1"/>
        <v>0</v>
      </c>
      <c r="M16" s="93">
        <v>1</v>
      </c>
      <c r="N16" s="99">
        <f t="shared" si="2"/>
        <v>0</v>
      </c>
      <c r="O16" s="100">
        <v>12916.666666666701</v>
      </c>
      <c r="P16" s="101" t="str">
        <f t="shared" si="3"/>
        <v>Rated</v>
      </c>
      <c r="Q16" s="93" t="s">
        <v>6</v>
      </c>
      <c r="R16" s="102">
        <v>1</v>
      </c>
      <c r="S16" s="95">
        <v>0.25</v>
      </c>
      <c r="T16" s="103">
        <f t="shared" si="4"/>
        <v>0.75</v>
      </c>
      <c r="U16" s="95">
        <v>0</v>
      </c>
      <c r="V16" s="95">
        <f t="shared" si="5"/>
        <v>0.375</v>
      </c>
      <c r="W16" s="95">
        <f t="shared" si="6"/>
        <v>0.5</v>
      </c>
      <c r="X16" s="102">
        <f t="shared" si="7"/>
        <v>0.25</v>
      </c>
      <c r="Y16" s="102">
        <v>1.6E-2</v>
      </c>
      <c r="Z16" s="95">
        <v>0</v>
      </c>
      <c r="AA16" s="104">
        <v>10000</v>
      </c>
      <c r="AB16" s="105" t="s">
        <v>128</v>
      </c>
      <c r="AC16" s="106">
        <v>1</v>
      </c>
      <c r="AD16" s="107" t="s">
        <v>131</v>
      </c>
      <c r="AE16" s="108"/>
      <c r="AF16" s="131"/>
      <c r="AG16" s="93" t="s">
        <v>132</v>
      </c>
      <c r="AH16" s="110"/>
      <c r="AI16" s="93">
        <v>0</v>
      </c>
      <c r="AJ16" s="93">
        <v>0</v>
      </c>
      <c r="AK16" s="93">
        <v>0</v>
      </c>
      <c r="AL16" s="93">
        <v>0</v>
      </c>
      <c r="AM16" s="93" t="s">
        <v>133</v>
      </c>
      <c r="AN16" s="93"/>
      <c r="AO16" s="100">
        <f t="shared" si="8"/>
        <v>12916.666666666701</v>
      </c>
      <c r="AP16" s="111">
        <f t="shared" si="9"/>
        <v>0</v>
      </c>
      <c r="AQ16" s="112">
        <f t="shared" si="10"/>
        <v>0</v>
      </c>
      <c r="AR16" s="93">
        <f t="shared" si="11"/>
        <v>0</v>
      </c>
      <c r="AS16" s="113">
        <v>2083.33</v>
      </c>
      <c r="AT16" s="114">
        <f t="shared" si="12"/>
        <v>14999.996666666701</v>
      </c>
      <c r="AU16" s="115"/>
      <c r="AV16" s="93"/>
      <c r="AW16" s="93" t="s">
        <v>189</v>
      </c>
      <c r="AX16" s="122" t="s">
        <v>140</v>
      </c>
      <c r="AY16" s="93" t="s">
        <v>190</v>
      </c>
      <c r="AZ16" s="117" t="s">
        <v>191</v>
      </c>
    </row>
    <row r="17" spans="1:53" ht="25.5">
      <c r="A17" s="92" t="s">
        <v>29</v>
      </c>
      <c r="B17" s="93" t="s">
        <v>124</v>
      </c>
      <c r="C17" s="93" t="s">
        <v>192</v>
      </c>
      <c r="D17" s="133" t="s">
        <v>137</v>
      </c>
      <c r="E17" s="98" t="s">
        <v>127</v>
      </c>
      <c r="F17" s="95" t="s">
        <v>128</v>
      </c>
      <c r="G17" s="93" t="s">
        <v>129</v>
      </c>
      <c r="H17" s="93" t="s">
        <v>130</v>
      </c>
      <c r="I17" s="96" t="str">
        <f t="shared" si="0"/>
        <v>No of Racks</v>
      </c>
      <c r="J17" s="93">
        <v>1</v>
      </c>
      <c r="K17" s="93">
        <v>1</v>
      </c>
      <c r="L17" s="97">
        <f t="shared" si="1"/>
        <v>0</v>
      </c>
      <c r="M17" s="93">
        <v>1</v>
      </c>
      <c r="N17" s="99">
        <f t="shared" si="2"/>
        <v>0</v>
      </c>
      <c r="O17" s="100"/>
      <c r="P17" s="101" t="str">
        <f t="shared" si="3"/>
        <v>Rated</v>
      </c>
      <c r="Q17" s="93" t="s">
        <v>6</v>
      </c>
      <c r="R17" s="102">
        <v>6</v>
      </c>
      <c r="S17" s="95">
        <v>2.6</v>
      </c>
      <c r="T17" s="103">
        <f t="shared" si="4"/>
        <v>3.4</v>
      </c>
      <c r="U17" s="95">
        <v>0</v>
      </c>
      <c r="V17" s="95">
        <f t="shared" si="5"/>
        <v>1.7</v>
      </c>
      <c r="W17" s="95">
        <f t="shared" si="6"/>
        <v>3</v>
      </c>
      <c r="X17" s="102">
        <f t="shared" si="7"/>
        <v>2.6</v>
      </c>
      <c r="Y17" s="102">
        <v>0.6</v>
      </c>
      <c r="Z17" s="95">
        <v>0</v>
      </c>
      <c r="AA17" s="104">
        <v>0</v>
      </c>
      <c r="AB17" s="105" t="s">
        <v>128</v>
      </c>
      <c r="AC17" s="106">
        <v>1</v>
      </c>
      <c r="AD17" s="107" t="s">
        <v>131</v>
      </c>
      <c r="AE17" s="78"/>
      <c r="AF17" s="107"/>
      <c r="AG17" s="93" t="s">
        <v>132</v>
      </c>
      <c r="AH17" s="110"/>
      <c r="AI17" s="93">
        <v>0</v>
      </c>
      <c r="AJ17" s="93">
        <v>0</v>
      </c>
      <c r="AK17" s="93">
        <v>0</v>
      </c>
      <c r="AL17" s="93">
        <v>0</v>
      </c>
      <c r="AM17" s="93" t="s">
        <v>133</v>
      </c>
      <c r="AN17" s="93"/>
      <c r="AO17" s="100">
        <f t="shared" si="8"/>
        <v>0</v>
      </c>
      <c r="AP17" s="111">
        <f t="shared" si="9"/>
        <v>0</v>
      </c>
      <c r="AQ17" s="112">
        <f t="shared" si="10"/>
        <v>0</v>
      </c>
      <c r="AR17" s="93">
        <f t="shared" si="11"/>
        <v>0</v>
      </c>
      <c r="AS17" s="129">
        <v>0</v>
      </c>
      <c r="AT17" s="114">
        <f t="shared" si="12"/>
        <v>0</v>
      </c>
      <c r="AU17" s="115"/>
      <c r="AV17" s="93" t="s">
        <v>193</v>
      </c>
      <c r="AW17" s="93" t="s">
        <v>194</v>
      </c>
      <c r="AX17" s="122"/>
      <c r="AY17" s="116"/>
      <c r="AZ17" s="117" t="s">
        <v>195</v>
      </c>
    </row>
    <row r="18" spans="1:53" ht="54">
      <c r="A18" s="92" t="s">
        <v>29</v>
      </c>
      <c r="B18" s="93" t="s">
        <v>124</v>
      </c>
      <c r="C18" s="255" t="s">
        <v>196</v>
      </c>
      <c r="D18" s="134" t="s">
        <v>126</v>
      </c>
      <c r="E18" s="93" t="s">
        <v>127</v>
      </c>
      <c r="F18" s="135" t="s">
        <v>128</v>
      </c>
      <c r="G18" s="96" t="s">
        <v>151</v>
      </c>
      <c r="H18" s="93" t="s">
        <v>130</v>
      </c>
      <c r="I18" s="96" t="str">
        <f t="shared" si="0"/>
        <v>U Space</v>
      </c>
      <c r="J18" s="119">
        <v>6</v>
      </c>
      <c r="K18" s="119">
        <v>6</v>
      </c>
      <c r="L18" s="97">
        <f t="shared" si="1"/>
        <v>0</v>
      </c>
      <c r="M18" s="119">
        <v>6</v>
      </c>
      <c r="N18" s="99">
        <f t="shared" si="2"/>
        <v>0</v>
      </c>
      <c r="O18" s="136">
        <v>1875</v>
      </c>
      <c r="P18" s="101" t="str">
        <f t="shared" si="3"/>
        <v>Rated</v>
      </c>
      <c r="Q18" s="99" t="s">
        <v>152</v>
      </c>
      <c r="R18" s="102">
        <v>1</v>
      </c>
      <c r="S18" s="137">
        <v>0.28699999999999998</v>
      </c>
      <c r="T18" s="103">
        <f t="shared" si="4"/>
        <v>0.71300000000000008</v>
      </c>
      <c r="U18" s="95">
        <v>0</v>
      </c>
      <c r="V18" s="95">
        <f t="shared" si="5"/>
        <v>0.35650000000000004</v>
      </c>
      <c r="W18" s="95">
        <f t="shared" si="6"/>
        <v>0.5</v>
      </c>
      <c r="X18" s="102">
        <f t="shared" si="7"/>
        <v>0.28699999999999998</v>
      </c>
      <c r="Y18" s="102">
        <v>7.0000000000000007E-2</v>
      </c>
      <c r="Z18" s="95">
        <v>0</v>
      </c>
      <c r="AA18" s="104">
        <v>0</v>
      </c>
      <c r="AB18" s="105" t="s">
        <v>128</v>
      </c>
      <c r="AC18" s="106">
        <v>1</v>
      </c>
      <c r="AD18" s="107" t="s">
        <v>131</v>
      </c>
      <c r="AE18" s="78"/>
      <c r="AF18" s="107"/>
      <c r="AG18" s="93" t="s">
        <v>132</v>
      </c>
      <c r="AH18" s="110"/>
      <c r="AI18" s="93">
        <v>0</v>
      </c>
      <c r="AJ18" s="93">
        <v>0</v>
      </c>
      <c r="AK18" s="93">
        <v>0</v>
      </c>
      <c r="AL18" s="93">
        <v>0</v>
      </c>
      <c r="AM18" s="93" t="s">
        <v>133</v>
      </c>
      <c r="AN18" s="93"/>
      <c r="AO18" s="100">
        <f t="shared" si="8"/>
        <v>11250</v>
      </c>
      <c r="AP18" s="111">
        <f t="shared" si="9"/>
        <v>0</v>
      </c>
      <c r="AQ18" s="112">
        <f t="shared" si="10"/>
        <v>0</v>
      </c>
      <c r="AR18" s="93">
        <f t="shared" si="11"/>
        <v>0</v>
      </c>
      <c r="AS18" s="129">
        <v>27499.99</v>
      </c>
      <c r="AT18" s="114">
        <f t="shared" si="12"/>
        <v>38749.990000000005</v>
      </c>
      <c r="AU18" s="115"/>
      <c r="AV18" s="138"/>
      <c r="AW18" s="93" t="s">
        <v>197</v>
      </c>
      <c r="AX18" s="122" t="s">
        <v>140</v>
      </c>
      <c r="AY18" s="93" t="s">
        <v>198</v>
      </c>
      <c r="AZ18" s="130" t="s">
        <v>199</v>
      </c>
    </row>
    <row r="19" spans="1:53" ht="40.5">
      <c r="A19" s="92" t="s">
        <v>29</v>
      </c>
      <c r="B19" s="93" t="s">
        <v>124</v>
      </c>
      <c r="C19" s="255" t="s">
        <v>200</v>
      </c>
      <c r="D19" s="134" t="s">
        <v>126</v>
      </c>
      <c r="E19" s="93" t="s">
        <v>127</v>
      </c>
      <c r="F19" s="95" t="s">
        <v>128</v>
      </c>
      <c r="G19" s="96" t="s">
        <v>151</v>
      </c>
      <c r="H19" s="93" t="s">
        <v>130</v>
      </c>
      <c r="I19" s="96" t="str">
        <f t="shared" si="0"/>
        <v>U Space</v>
      </c>
      <c r="J19" s="93">
        <v>21</v>
      </c>
      <c r="K19" s="93">
        <v>21</v>
      </c>
      <c r="L19" s="97">
        <f t="shared" si="1"/>
        <v>0</v>
      </c>
      <c r="M19" s="93">
        <v>21</v>
      </c>
      <c r="N19" s="99">
        <f t="shared" si="2"/>
        <v>0</v>
      </c>
      <c r="O19" s="100">
        <v>2281.7399999999998</v>
      </c>
      <c r="P19" s="101" t="str">
        <f t="shared" si="3"/>
        <v>Rated</v>
      </c>
      <c r="Q19" s="99" t="s">
        <v>6</v>
      </c>
      <c r="R19" s="102">
        <v>1.5</v>
      </c>
      <c r="S19" s="95">
        <v>2.3290000000000002</v>
      </c>
      <c r="T19" s="103">
        <f t="shared" si="4"/>
        <v>-0.82900000000000018</v>
      </c>
      <c r="U19" s="95">
        <v>0</v>
      </c>
      <c r="V19" s="95">
        <f t="shared" si="5"/>
        <v>0</v>
      </c>
      <c r="W19" s="95">
        <f t="shared" si="6"/>
        <v>0.75</v>
      </c>
      <c r="X19" s="102">
        <f t="shared" si="7"/>
        <v>2.3290000000000002</v>
      </c>
      <c r="Y19" s="102">
        <v>0</v>
      </c>
      <c r="Z19" s="95">
        <v>0</v>
      </c>
      <c r="AA19" s="104">
        <v>11666.66</v>
      </c>
      <c r="AB19" s="105" t="s">
        <v>128</v>
      </c>
      <c r="AC19" s="106">
        <v>1</v>
      </c>
      <c r="AD19" s="107" t="s">
        <v>131</v>
      </c>
      <c r="AE19" s="108"/>
      <c r="AF19" s="131"/>
      <c r="AG19" s="93" t="s">
        <v>132</v>
      </c>
      <c r="AH19" s="110"/>
      <c r="AI19" s="93">
        <v>0</v>
      </c>
      <c r="AJ19" s="93">
        <v>0</v>
      </c>
      <c r="AK19" s="93">
        <v>0</v>
      </c>
      <c r="AL19" s="93">
        <v>0</v>
      </c>
      <c r="AM19" s="93" t="s">
        <v>133</v>
      </c>
      <c r="AN19" s="93"/>
      <c r="AO19" s="100">
        <f t="shared" si="8"/>
        <v>47916.539999999994</v>
      </c>
      <c r="AP19" s="111">
        <f t="shared" si="9"/>
        <v>9671.661140000002</v>
      </c>
      <c r="AQ19" s="112">
        <f t="shared" si="10"/>
        <v>0</v>
      </c>
      <c r="AR19" s="93">
        <f t="shared" si="11"/>
        <v>0</v>
      </c>
      <c r="AS19" s="113">
        <v>19583.330000000002</v>
      </c>
      <c r="AT19" s="114">
        <f t="shared" si="12"/>
        <v>77171.531140000006</v>
      </c>
      <c r="AU19" s="115"/>
      <c r="AV19" s="132" t="s">
        <v>201</v>
      </c>
      <c r="AW19" s="93" t="s">
        <v>202</v>
      </c>
      <c r="AX19" s="122"/>
      <c r="AY19" s="116"/>
      <c r="AZ19" s="117" t="s">
        <v>203</v>
      </c>
    </row>
    <row r="20" spans="1:53" ht="54">
      <c r="A20" s="92" t="s">
        <v>29</v>
      </c>
      <c r="B20" s="93" t="s">
        <v>124</v>
      </c>
      <c r="C20" s="255" t="s">
        <v>204</v>
      </c>
      <c r="D20" s="139" t="s">
        <v>137</v>
      </c>
      <c r="E20" s="93" t="s">
        <v>127</v>
      </c>
      <c r="F20" s="95" t="s">
        <v>128</v>
      </c>
      <c r="G20" s="96" t="s">
        <v>151</v>
      </c>
      <c r="H20" s="93" t="s">
        <v>130</v>
      </c>
      <c r="I20" s="96" t="str">
        <f t="shared" si="0"/>
        <v>U Space</v>
      </c>
      <c r="J20" s="119">
        <v>4</v>
      </c>
      <c r="K20" s="119">
        <v>4</v>
      </c>
      <c r="L20" s="97">
        <f t="shared" si="1"/>
        <v>0</v>
      </c>
      <c r="M20" s="119">
        <v>4</v>
      </c>
      <c r="N20" s="99">
        <f t="shared" si="2"/>
        <v>0</v>
      </c>
      <c r="O20" s="140">
        <v>2291.66</v>
      </c>
      <c r="P20" s="101" t="str">
        <f t="shared" si="3"/>
        <v>Rated</v>
      </c>
      <c r="Q20" s="99" t="s">
        <v>6</v>
      </c>
      <c r="R20" s="102">
        <v>1</v>
      </c>
      <c r="S20" s="141">
        <v>2.0670000000000002</v>
      </c>
      <c r="T20" s="103">
        <f t="shared" si="4"/>
        <v>-1.0670000000000002</v>
      </c>
      <c r="U20" s="95">
        <v>0</v>
      </c>
      <c r="V20" s="95">
        <f t="shared" si="5"/>
        <v>0</v>
      </c>
      <c r="W20" s="95">
        <f t="shared" si="6"/>
        <v>0.5</v>
      </c>
      <c r="X20" s="102">
        <f t="shared" si="7"/>
        <v>2.0670000000000002</v>
      </c>
      <c r="Y20" s="102">
        <v>0</v>
      </c>
      <c r="Z20" s="95">
        <v>0</v>
      </c>
      <c r="AA20" s="104">
        <v>0</v>
      </c>
      <c r="AB20" s="142" t="s">
        <v>128</v>
      </c>
      <c r="AC20" s="106">
        <v>1</v>
      </c>
      <c r="AD20" s="107" t="s">
        <v>131</v>
      </c>
      <c r="AE20" s="108"/>
      <c r="AF20" s="143"/>
      <c r="AG20" s="93" t="s">
        <v>132</v>
      </c>
      <c r="AH20" s="110"/>
      <c r="AI20" s="93">
        <v>0</v>
      </c>
      <c r="AJ20" s="93">
        <v>0</v>
      </c>
      <c r="AK20" s="93">
        <v>0</v>
      </c>
      <c r="AL20" s="93">
        <v>0</v>
      </c>
      <c r="AM20" s="93" t="s">
        <v>133</v>
      </c>
      <c r="AN20" s="93"/>
      <c r="AO20" s="100">
        <f t="shared" si="8"/>
        <v>9166.64</v>
      </c>
      <c r="AP20" s="111">
        <f t="shared" si="9"/>
        <v>0</v>
      </c>
      <c r="AQ20" s="112">
        <f t="shared" si="10"/>
        <v>0</v>
      </c>
      <c r="AR20" s="93">
        <f t="shared" si="11"/>
        <v>0</v>
      </c>
      <c r="AS20" s="113">
        <v>833</v>
      </c>
      <c r="AT20" s="114">
        <f t="shared" si="12"/>
        <v>9999.64</v>
      </c>
      <c r="AU20" s="115"/>
      <c r="AV20" s="132"/>
      <c r="AW20" s="93" t="s">
        <v>205</v>
      </c>
      <c r="AX20" s="122" t="s">
        <v>140</v>
      </c>
      <c r="AY20" s="93" t="s">
        <v>206</v>
      </c>
      <c r="AZ20" s="130" t="s">
        <v>207</v>
      </c>
    </row>
    <row r="21" spans="1:53" s="282" customFormat="1" ht="40.5">
      <c r="A21" s="254" t="s">
        <v>29</v>
      </c>
      <c r="B21" s="255" t="s">
        <v>124</v>
      </c>
      <c r="C21" s="256" t="s">
        <v>165</v>
      </c>
      <c r="D21" s="257" t="s">
        <v>137</v>
      </c>
      <c r="E21" s="256" t="s">
        <v>127</v>
      </c>
      <c r="F21" s="258" t="s">
        <v>128</v>
      </c>
      <c r="G21" s="259" t="s">
        <v>151</v>
      </c>
      <c r="H21" s="255" t="s">
        <v>130</v>
      </c>
      <c r="I21" s="259" t="str">
        <f t="shared" si="0"/>
        <v>U Space</v>
      </c>
      <c r="J21" s="255">
        <v>21</v>
      </c>
      <c r="K21" s="255">
        <v>21</v>
      </c>
      <c r="L21" s="260">
        <f t="shared" si="1"/>
        <v>0</v>
      </c>
      <c r="M21" s="255">
        <v>21</v>
      </c>
      <c r="N21" s="261">
        <f t="shared" si="2"/>
        <v>0</v>
      </c>
      <c r="O21" s="262">
        <v>1091.2670000000001</v>
      </c>
      <c r="P21" s="263" t="str">
        <f t="shared" si="3"/>
        <v>Rated</v>
      </c>
      <c r="Q21" s="255" t="s">
        <v>6</v>
      </c>
      <c r="R21" s="264">
        <v>3</v>
      </c>
      <c r="S21" s="265">
        <v>4.1840000000000002</v>
      </c>
      <c r="T21" s="266">
        <f t="shared" si="4"/>
        <v>-1.1840000000000002</v>
      </c>
      <c r="U21" s="258">
        <v>0</v>
      </c>
      <c r="V21" s="258">
        <f t="shared" si="5"/>
        <v>0</v>
      </c>
      <c r="W21" s="258">
        <f t="shared" si="6"/>
        <v>1.5</v>
      </c>
      <c r="X21" s="267">
        <f t="shared" si="7"/>
        <v>4.1840000000000002</v>
      </c>
      <c r="Y21" s="267">
        <v>1.3</v>
      </c>
      <c r="Z21" s="258">
        <v>0</v>
      </c>
      <c r="AA21" s="268">
        <v>7916.66</v>
      </c>
      <c r="AB21" s="269" t="s">
        <v>128</v>
      </c>
      <c r="AC21" s="270">
        <v>1</v>
      </c>
      <c r="AD21" s="271" t="s">
        <v>131</v>
      </c>
      <c r="AE21" s="272"/>
      <c r="AF21" s="271"/>
      <c r="AG21" s="255" t="s">
        <v>132</v>
      </c>
      <c r="AH21" s="273"/>
      <c r="AI21" s="255">
        <v>0</v>
      </c>
      <c r="AJ21" s="255">
        <v>0</v>
      </c>
      <c r="AK21" s="255">
        <v>0</v>
      </c>
      <c r="AL21" s="255">
        <v>0</v>
      </c>
      <c r="AM21" s="255" t="s">
        <v>133</v>
      </c>
      <c r="AN21" s="255"/>
      <c r="AO21" s="262">
        <f t="shared" si="8"/>
        <v>22916.607</v>
      </c>
      <c r="AP21" s="274">
        <f t="shared" si="9"/>
        <v>9373.3254400000005</v>
      </c>
      <c r="AQ21" s="275">
        <f t="shared" si="10"/>
        <v>0</v>
      </c>
      <c r="AR21" s="255">
        <f t="shared" si="11"/>
        <v>0</v>
      </c>
      <c r="AS21" s="129">
        <v>0</v>
      </c>
      <c r="AT21" s="277">
        <f t="shared" si="12"/>
        <v>32289.93244</v>
      </c>
      <c r="AU21" s="278"/>
      <c r="AV21" s="279" t="s">
        <v>208</v>
      </c>
      <c r="AW21" s="255" t="s">
        <v>209</v>
      </c>
      <c r="AX21" s="280" t="s">
        <v>140</v>
      </c>
      <c r="AY21" s="255" t="s">
        <v>210</v>
      </c>
      <c r="AZ21" s="281" t="s">
        <v>211</v>
      </c>
    </row>
    <row r="22" spans="1:53" s="61" customFormat="1" ht="52.5" customHeight="1">
      <c r="A22" s="92" t="s">
        <v>29</v>
      </c>
      <c r="B22" s="93" t="s">
        <v>124</v>
      </c>
      <c r="C22" s="93" t="s">
        <v>212</v>
      </c>
      <c r="D22" s="146" t="s">
        <v>137</v>
      </c>
      <c r="E22" s="93" t="s">
        <v>127</v>
      </c>
      <c r="F22" s="95" t="s">
        <v>128</v>
      </c>
      <c r="G22" s="93" t="s">
        <v>129</v>
      </c>
      <c r="H22" s="93" t="s">
        <v>130</v>
      </c>
      <c r="I22" s="96" t="str">
        <f t="shared" si="0"/>
        <v>No of Racks</v>
      </c>
      <c r="J22" s="93">
        <v>1</v>
      </c>
      <c r="K22" s="93">
        <v>1</v>
      </c>
      <c r="L22" s="97">
        <f t="shared" si="1"/>
        <v>0</v>
      </c>
      <c r="M22" s="93">
        <v>1</v>
      </c>
      <c r="N22" s="99">
        <f t="shared" si="2"/>
        <v>0</v>
      </c>
      <c r="O22" s="100">
        <v>4666.66</v>
      </c>
      <c r="P22" s="101" t="str">
        <f t="shared" si="3"/>
        <v>Rated</v>
      </c>
      <c r="Q22" s="93" t="s">
        <v>6</v>
      </c>
      <c r="R22" s="145">
        <v>3</v>
      </c>
      <c r="S22" s="121">
        <v>4.7380000000000004</v>
      </c>
      <c r="T22" s="103">
        <f t="shared" si="4"/>
        <v>-1.7380000000000004</v>
      </c>
      <c r="U22" s="95">
        <v>0</v>
      </c>
      <c r="V22" s="95">
        <f t="shared" si="5"/>
        <v>0</v>
      </c>
      <c r="W22" s="95">
        <f t="shared" si="6"/>
        <v>1.5</v>
      </c>
      <c r="X22" s="102">
        <f t="shared" si="7"/>
        <v>4.7380000000000004</v>
      </c>
      <c r="Y22" s="102">
        <v>1.3</v>
      </c>
      <c r="Z22" s="95">
        <v>0</v>
      </c>
      <c r="AA22" s="104">
        <v>0</v>
      </c>
      <c r="AB22" s="105" t="s">
        <v>128</v>
      </c>
      <c r="AC22" s="109">
        <v>1</v>
      </c>
      <c r="AD22" s="131" t="s">
        <v>131</v>
      </c>
      <c r="AE22" s="108"/>
      <c r="AF22" s="131"/>
      <c r="AG22" s="93" t="s">
        <v>132</v>
      </c>
      <c r="AH22" s="147"/>
      <c r="AI22" s="93">
        <v>0</v>
      </c>
      <c r="AJ22" s="93">
        <v>0</v>
      </c>
      <c r="AK22" s="93">
        <v>0</v>
      </c>
      <c r="AL22" s="93">
        <v>0</v>
      </c>
      <c r="AM22" s="93" t="s">
        <v>133</v>
      </c>
      <c r="AN22" s="93"/>
      <c r="AO22" s="100">
        <f t="shared" si="8"/>
        <v>4666.66</v>
      </c>
      <c r="AP22" s="111">
        <f t="shared" si="9"/>
        <v>0</v>
      </c>
      <c r="AQ22" s="148">
        <f t="shared" si="10"/>
        <v>0</v>
      </c>
      <c r="AR22" s="93">
        <f t="shared" si="11"/>
        <v>0</v>
      </c>
      <c r="AS22" s="129">
        <v>52500</v>
      </c>
      <c r="AT22" s="149">
        <f t="shared" si="12"/>
        <v>57166.66</v>
      </c>
      <c r="AU22" s="150"/>
      <c r="AV22" s="151" t="s">
        <v>213</v>
      </c>
      <c r="AW22" s="93" t="s">
        <v>214</v>
      </c>
      <c r="AX22" s="152" t="s">
        <v>140</v>
      </c>
      <c r="AY22" s="93" t="s">
        <v>215</v>
      </c>
      <c r="AZ22" s="153" t="s">
        <v>216</v>
      </c>
    </row>
    <row r="23" spans="1:53" ht="40.5">
      <c r="A23" s="92" t="s">
        <v>29</v>
      </c>
      <c r="B23" s="93" t="s">
        <v>124</v>
      </c>
      <c r="C23" s="93" t="s">
        <v>217</v>
      </c>
      <c r="D23" s="154" t="s">
        <v>137</v>
      </c>
      <c r="E23" s="93" t="s">
        <v>182</v>
      </c>
      <c r="F23" s="95" t="s">
        <v>128</v>
      </c>
      <c r="G23" s="93" t="s">
        <v>129</v>
      </c>
      <c r="H23" s="93" t="s">
        <v>130</v>
      </c>
      <c r="I23" s="96" t="str">
        <f t="shared" si="0"/>
        <v>No of Racks</v>
      </c>
      <c r="J23" s="93">
        <v>2</v>
      </c>
      <c r="K23" s="93">
        <v>2</v>
      </c>
      <c r="L23" s="97">
        <f t="shared" si="1"/>
        <v>0</v>
      </c>
      <c r="M23" s="93">
        <v>2</v>
      </c>
      <c r="N23" s="99">
        <f t="shared" si="2"/>
        <v>0</v>
      </c>
      <c r="O23" s="100">
        <v>11250</v>
      </c>
      <c r="P23" s="101" t="str">
        <f t="shared" si="3"/>
        <v>Subscribed</v>
      </c>
      <c r="Q23" s="93" t="s">
        <v>152</v>
      </c>
      <c r="R23" s="145">
        <v>8</v>
      </c>
      <c r="S23" s="121">
        <v>19.3</v>
      </c>
      <c r="T23" s="103">
        <f t="shared" si="4"/>
        <v>-11.3</v>
      </c>
      <c r="U23" s="95">
        <v>0</v>
      </c>
      <c r="V23" s="95">
        <f t="shared" si="5"/>
        <v>0</v>
      </c>
      <c r="W23" s="95">
        <f t="shared" si="6"/>
        <v>8</v>
      </c>
      <c r="X23" s="102">
        <f t="shared" si="7"/>
        <v>19.3</v>
      </c>
      <c r="Y23" s="102">
        <v>7.1</v>
      </c>
      <c r="Z23" s="95">
        <v>0</v>
      </c>
      <c r="AA23" s="104">
        <v>60000</v>
      </c>
      <c r="AB23" s="105" t="s">
        <v>183</v>
      </c>
      <c r="AC23" s="106">
        <v>1.65</v>
      </c>
      <c r="AD23" s="107" t="s">
        <v>184</v>
      </c>
      <c r="AE23" s="78">
        <v>9.09</v>
      </c>
      <c r="AF23" s="131">
        <v>5277.2</v>
      </c>
      <c r="AG23" s="93" t="s">
        <v>132</v>
      </c>
      <c r="AH23" s="110"/>
      <c r="AI23" s="93">
        <v>0</v>
      </c>
      <c r="AJ23" s="93">
        <v>0</v>
      </c>
      <c r="AK23" s="93">
        <v>0</v>
      </c>
      <c r="AL23" s="93">
        <v>0</v>
      </c>
      <c r="AM23" s="93" t="s">
        <v>133</v>
      </c>
      <c r="AN23" s="93"/>
      <c r="AO23" s="100">
        <f t="shared" si="8"/>
        <v>22500</v>
      </c>
      <c r="AP23" s="111">
        <f t="shared" si="9"/>
        <v>678000</v>
      </c>
      <c r="AQ23" s="112">
        <f t="shared" si="10"/>
        <v>79150.084199999998</v>
      </c>
      <c r="AR23" s="93">
        <f t="shared" si="11"/>
        <v>0</v>
      </c>
      <c r="AS23" s="129">
        <v>0</v>
      </c>
      <c r="AT23" s="114">
        <f t="shared" si="12"/>
        <v>779650.08420000004</v>
      </c>
      <c r="AU23" s="115"/>
      <c r="AV23" s="132" t="s">
        <v>133</v>
      </c>
      <c r="AW23" s="93" t="s">
        <v>218</v>
      </c>
      <c r="AX23" s="152" t="s">
        <v>140</v>
      </c>
      <c r="AY23" s="93" t="s">
        <v>219</v>
      </c>
      <c r="AZ23" s="125" t="s">
        <v>220</v>
      </c>
      <c r="BA23" s="126"/>
    </row>
    <row r="24" spans="1:53" ht="27">
      <c r="A24" s="92" t="s">
        <v>29</v>
      </c>
      <c r="B24" s="93" t="s">
        <v>124</v>
      </c>
      <c r="C24" s="255" t="s">
        <v>221</v>
      </c>
      <c r="D24" s="154" t="s">
        <v>137</v>
      </c>
      <c r="E24" s="93" t="s">
        <v>127</v>
      </c>
      <c r="F24" s="95" t="s">
        <v>128</v>
      </c>
      <c r="G24" s="93" t="s">
        <v>222</v>
      </c>
      <c r="H24" s="93" t="s">
        <v>130</v>
      </c>
      <c r="I24" s="96" t="str">
        <f t="shared" si="0"/>
        <v>U Space</v>
      </c>
      <c r="J24" s="155">
        <v>6</v>
      </c>
      <c r="K24" s="155">
        <v>6</v>
      </c>
      <c r="L24" s="156">
        <v>0</v>
      </c>
      <c r="M24" s="106">
        <v>6</v>
      </c>
      <c r="N24" s="106">
        <v>0</v>
      </c>
      <c r="O24" s="100">
        <v>2222.2220000000002</v>
      </c>
      <c r="P24" s="101" t="str">
        <f t="shared" si="3"/>
        <v>Rated</v>
      </c>
      <c r="Q24" s="93" t="s">
        <v>6</v>
      </c>
      <c r="R24" s="157">
        <v>1.5</v>
      </c>
      <c r="S24" s="121">
        <v>3.77</v>
      </c>
      <c r="T24" s="103">
        <f t="shared" si="4"/>
        <v>-2.27</v>
      </c>
      <c r="U24" s="95">
        <v>0</v>
      </c>
      <c r="V24" s="157">
        <v>1.5</v>
      </c>
      <c r="W24" s="157">
        <v>1.5</v>
      </c>
      <c r="X24" s="102">
        <f t="shared" si="7"/>
        <v>3.77</v>
      </c>
      <c r="Y24" s="102">
        <v>7.0000000000000007E-2</v>
      </c>
      <c r="Z24" s="95">
        <v>0</v>
      </c>
      <c r="AA24" s="158">
        <v>0</v>
      </c>
      <c r="AB24" s="105" t="s">
        <v>128</v>
      </c>
      <c r="AC24" s="270">
        <v>1</v>
      </c>
      <c r="AD24" s="107" t="s">
        <v>131</v>
      </c>
      <c r="AE24" s="108"/>
      <c r="AF24" s="131"/>
      <c r="AG24" s="93" t="s">
        <v>132</v>
      </c>
      <c r="AH24" s="110"/>
      <c r="AI24" s="93">
        <v>0</v>
      </c>
      <c r="AJ24" s="93">
        <v>0</v>
      </c>
      <c r="AK24" s="93">
        <v>0</v>
      </c>
      <c r="AL24" s="93">
        <v>0</v>
      </c>
      <c r="AM24" s="93" t="s">
        <v>133</v>
      </c>
      <c r="AN24" s="124"/>
      <c r="AO24" s="100">
        <f t="shared" si="8"/>
        <v>13333.332000000002</v>
      </c>
      <c r="AP24" s="111">
        <f t="shared" si="9"/>
        <v>0</v>
      </c>
      <c r="AQ24" s="112">
        <f t="shared" si="10"/>
        <v>0</v>
      </c>
      <c r="AR24" s="93">
        <f t="shared" si="11"/>
        <v>0</v>
      </c>
      <c r="AS24" s="129">
        <v>0</v>
      </c>
      <c r="AT24" s="114">
        <f t="shared" si="12"/>
        <v>13333.332000000002</v>
      </c>
      <c r="AU24" s="115"/>
      <c r="AV24" s="132"/>
      <c r="AW24" s="93" t="s">
        <v>223</v>
      </c>
      <c r="AX24" s="152" t="s">
        <v>140</v>
      </c>
      <c r="AY24" s="93" t="s">
        <v>224</v>
      </c>
      <c r="AZ24" s="153" t="s">
        <v>225</v>
      </c>
    </row>
    <row r="25" spans="1:53" s="282" customFormat="1" ht="54">
      <c r="A25" s="254" t="s">
        <v>29</v>
      </c>
      <c r="B25" s="255" t="s">
        <v>124</v>
      </c>
      <c r="C25" s="256" t="s">
        <v>165</v>
      </c>
      <c r="D25" s="257" t="s">
        <v>137</v>
      </c>
      <c r="E25" s="256" t="s">
        <v>127</v>
      </c>
      <c r="F25" s="258" t="s">
        <v>128</v>
      </c>
      <c r="G25" s="259" t="s">
        <v>151</v>
      </c>
      <c r="H25" s="255" t="s">
        <v>130</v>
      </c>
      <c r="I25" s="259" t="str">
        <f t="shared" si="0"/>
        <v>U Space</v>
      </c>
      <c r="J25" s="255">
        <v>21</v>
      </c>
      <c r="K25" s="255">
        <v>21</v>
      </c>
      <c r="L25" s="260">
        <f>J25-K25</f>
        <v>0</v>
      </c>
      <c r="M25" s="255">
        <v>21</v>
      </c>
      <c r="N25" s="261">
        <f>J25-M25</f>
        <v>0</v>
      </c>
      <c r="O25" s="262">
        <v>1091.26</v>
      </c>
      <c r="P25" s="263" t="str">
        <f t="shared" si="3"/>
        <v>Rated</v>
      </c>
      <c r="Q25" s="255" t="s">
        <v>6</v>
      </c>
      <c r="R25" s="264">
        <v>3</v>
      </c>
      <c r="S25" s="265">
        <v>3.05</v>
      </c>
      <c r="T25" s="266">
        <f t="shared" si="4"/>
        <v>-4.9999999999999822E-2</v>
      </c>
      <c r="U25" s="258">
        <v>0</v>
      </c>
      <c r="V25" s="258">
        <f>IF(T25&lt;=0,0,(IF(P25="Rated",(T25+U25)*$V$1,(T25+U25))))</f>
        <v>0</v>
      </c>
      <c r="W25" s="258">
        <f>IF(P25="Rated",R25*$V$1,R25)</f>
        <v>1.5</v>
      </c>
      <c r="X25" s="267">
        <f t="shared" si="7"/>
        <v>3.05</v>
      </c>
      <c r="Y25" s="267">
        <v>2.1</v>
      </c>
      <c r="Z25" s="258">
        <v>0</v>
      </c>
      <c r="AA25" s="268">
        <v>7916.66</v>
      </c>
      <c r="AB25" s="269" t="s">
        <v>128</v>
      </c>
      <c r="AC25" s="270">
        <v>1</v>
      </c>
      <c r="AD25" s="271" t="s">
        <v>131</v>
      </c>
      <c r="AE25" s="272"/>
      <c r="AF25" s="271"/>
      <c r="AG25" s="255" t="s">
        <v>132</v>
      </c>
      <c r="AH25" s="273"/>
      <c r="AI25" s="255">
        <v>0</v>
      </c>
      <c r="AJ25" s="255">
        <v>0</v>
      </c>
      <c r="AK25" s="255">
        <v>0</v>
      </c>
      <c r="AL25" s="255">
        <v>0</v>
      </c>
      <c r="AM25" s="255" t="s">
        <v>133</v>
      </c>
      <c r="AN25" s="255"/>
      <c r="AO25" s="262">
        <f t="shared" si="8"/>
        <v>22916.46</v>
      </c>
      <c r="AP25" s="274">
        <f t="shared" si="9"/>
        <v>395.83299999999861</v>
      </c>
      <c r="AQ25" s="275">
        <f t="shared" si="10"/>
        <v>0</v>
      </c>
      <c r="AR25" s="255">
        <f t="shared" si="11"/>
        <v>0</v>
      </c>
      <c r="AS25" s="276">
        <v>0</v>
      </c>
      <c r="AT25" s="277">
        <f t="shared" si="12"/>
        <v>23312.292999999998</v>
      </c>
      <c r="AU25" s="278"/>
      <c r="AV25" s="279" t="s">
        <v>226</v>
      </c>
      <c r="AW25" s="255" t="s">
        <v>227</v>
      </c>
      <c r="AX25" s="280" t="s">
        <v>140</v>
      </c>
      <c r="AY25" s="255" t="s">
        <v>228</v>
      </c>
      <c r="AZ25" s="286" t="s">
        <v>229</v>
      </c>
    </row>
    <row r="26" spans="1:53" s="282" customFormat="1" ht="27">
      <c r="A26" s="254" t="s">
        <v>29</v>
      </c>
      <c r="B26" s="255" t="s">
        <v>124</v>
      </c>
      <c r="C26" s="255" t="s">
        <v>188</v>
      </c>
      <c r="D26" s="283" t="s">
        <v>137</v>
      </c>
      <c r="E26" s="255" t="s">
        <v>127</v>
      </c>
      <c r="F26" s="258" t="s">
        <v>128</v>
      </c>
      <c r="G26" s="259" t="s">
        <v>151</v>
      </c>
      <c r="H26" s="255" t="s">
        <v>130</v>
      </c>
      <c r="I26" s="259" t="str">
        <f t="shared" si="0"/>
        <v>U Space</v>
      </c>
      <c r="J26" s="255">
        <v>3</v>
      </c>
      <c r="K26" s="255">
        <v>3</v>
      </c>
      <c r="L26" s="260">
        <f>J26-K26</f>
        <v>0</v>
      </c>
      <c r="M26" s="255">
        <v>3</v>
      </c>
      <c r="N26" s="261">
        <f>J26-M26</f>
        <v>0</v>
      </c>
      <c r="O26" s="262">
        <v>2777.77</v>
      </c>
      <c r="P26" s="263" t="str">
        <f t="shared" si="3"/>
        <v>Rated</v>
      </c>
      <c r="Q26" s="255" t="s">
        <v>6</v>
      </c>
      <c r="R26" s="267">
        <v>0.75</v>
      </c>
      <c r="S26" s="258">
        <v>0.81</v>
      </c>
      <c r="T26" s="266">
        <f t="shared" si="4"/>
        <v>-6.0000000000000053E-2</v>
      </c>
      <c r="U26" s="258">
        <v>0</v>
      </c>
      <c r="V26" s="258">
        <f>IF(T26&lt;=0,0,(IF(P26="Rated",(T26+U26)*$V$1,(T26+U26))))</f>
        <v>0</v>
      </c>
      <c r="W26" s="258">
        <f>IF(P26="Rated",R26*$V$1,R26)</f>
        <v>0.375</v>
      </c>
      <c r="X26" s="267">
        <f t="shared" si="7"/>
        <v>0.81</v>
      </c>
      <c r="Y26" s="267">
        <v>1.6E-2</v>
      </c>
      <c r="Z26" s="258">
        <v>0</v>
      </c>
      <c r="AA26" s="268">
        <v>0</v>
      </c>
      <c r="AB26" s="269" t="s">
        <v>128</v>
      </c>
      <c r="AC26" s="270">
        <v>1</v>
      </c>
      <c r="AD26" s="271" t="s">
        <v>131</v>
      </c>
      <c r="AE26" s="272"/>
      <c r="AF26" s="271"/>
      <c r="AG26" s="255" t="s">
        <v>132</v>
      </c>
      <c r="AH26" s="273"/>
      <c r="AI26" s="255">
        <v>0</v>
      </c>
      <c r="AJ26" s="255">
        <v>0</v>
      </c>
      <c r="AK26" s="255">
        <v>0</v>
      </c>
      <c r="AL26" s="255">
        <v>0</v>
      </c>
      <c r="AM26" s="255" t="s">
        <v>133</v>
      </c>
      <c r="AN26" s="255"/>
      <c r="AO26" s="262">
        <f t="shared" si="8"/>
        <v>8333.31</v>
      </c>
      <c r="AP26" s="274">
        <f t="shared" si="9"/>
        <v>0</v>
      </c>
      <c r="AQ26" s="275">
        <f t="shared" si="10"/>
        <v>0</v>
      </c>
      <c r="AR26" s="255">
        <f t="shared" si="11"/>
        <v>0</v>
      </c>
      <c r="AS26" s="276">
        <v>0</v>
      </c>
      <c r="AT26" s="277">
        <f t="shared" si="12"/>
        <v>8333.31</v>
      </c>
      <c r="AU26" s="278"/>
      <c r="AV26" s="255" t="s">
        <v>133</v>
      </c>
      <c r="AW26" s="255" t="s">
        <v>230</v>
      </c>
      <c r="AX26" s="280" t="s">
        <v>140</v>
      </c>
      <c r="AY26" s="255" t="s">
        <v>231</v>
      </c>
      <c r="AZ26" s="286" t="s">
        <v>232</v>
      </c>
    </row>
    <row r="27" spans="1:53" ht="40.5">
      <c r="A27" s="92" t="s">
        <v>29</v>
      </c>
      <c r="B27" s="93" t="s">
        <v>124</v>
      </c>
      <c r="C27" s="255" t="s">
        <v>233</v>
      </c>
      <c r="D27" s="94" t="s">
        <v>137</v>
      </c>
      <c r="E27" s="93" t="s">
        <v>127</v>
      </c>
      <c r="F27" s="95" t="s">
        <v>128</v>
      </c>
      <c r="G27" s="96" t="s">
        <v>151</v>
      </c>
      <c r="H27" s="93" t="s">
        <v>130</v>
      </c>
      <c r="I27" s="96" t="str">
        <f t="shared" si="0"/>
        <v>U Space</v>
      </c>
      <c r="J27" s="161">
        <v>6</v>
      </c>
      <c r="K27" s="161">
        <v>6</v>
      </c>
      <c r="L27" s="156">
        <v>0</v>
      </c>
      <c r="M27" s="106">
        <v>6</v>
      </c>
      <c r="N27" s="106">
        <v>0</v>
      </c>
      <c r="O27" s="100">
        <v>4236.1099999999997</v>
      </c>
      <c r="P27" s="101" t="str">
        <f t="shared" si="3"/>
        <v>Rated</v>
      </c>
      <c r="Q27" s="93" t="s">
        <v>6</v>
      </c>
      <c r="R27" s="163">
        <v>2.5</v>
      </c>
      <c r="S27" s="107">
        <v>2.9649999999999999</v>
      </c>
      <c r="T27" s="103">
        <f t="shared" si="4"/>
        <v>-0.46499999999999986</v>
      </c>
      <c r="U27" s="95">
        <v>0</v>
      </c>
      <c r="V27" s="95">
        <f>IF(T27&lt;=0,0,(IF(P27="Rated",(T27+U27)*$V$1,(T27+U27))))</f>
        <v>0</v>
      </c>
      <c r="W27" s="258">
        <f>IF(P27="Rated",R27*$V$1,R27)</f>
        <v>1.25</v>
      </c>
      <c r="X27" s="267">
        <f t="shared" si="7"/>
        <v>2.9649999999999999</v>
      </c>
      <c r="Y27" s="267">
        <v>7.0000000000000007E-2</v>
      </c>
      <c r="Z27" s="95">
        <v>0</v>
      </c>
      <c r="AA27" s="104">
        <v>0</v>
      </c>
      <c r="AB27" s="105" t="s">
        <v>128</v>
      </c>
      <c r="AC27" s="106">
        <v>1</v>
      </c>
      <c r="AD27" s="107" t="s">
        <v>131</v>
      </c>
      <c r="AE27" s="108"/>
      <c r="AF27" s="131"/>
      <c r="AG27" s="93" t="s">
        <v>132</v>
      </c>
      <c r="AH27" s="110"/>
      <c r="AI27" s="93">
        <v>0</v>
      </c>
      <c r="AJ27" s="93">
        <v>0</v>
      </c>
      <c r="AK27" s="93">
        <v>0</v>
      </c>
      <c r="AL27" s="93">
        <v>0</v>
      </c>
      <c r="AM27" s="93" t="s">
        <v>133</v>
      </c>
      <c r="AN27" s="93"/>
      <c r="AO27" s="100">
        <f t="shared" si="8"/>
        <v>25416.659999999996</v>
      </c>
      <c r="AP27" s="111">
        <f t="shared" si="9"/>
        <v>0</v>
      </c>
      <c r="AQ27" s="112">
        <f t="shared" si="10"/>
        <v>0</v>
      </c>
      <c r="AR27" s="93">
        <f t="shared" si="11"/>
        <v>0</v>
      </c>
      <c r="AS27" s="113">
        <v>1250</v>
      </c>
      <c r="AT27" s="114">
        <f t="shared" si="12"/>
        <v>26666.659999999996</v>
      </c>
      <c r="AU27" s="115"/>
      <c r="AV27" s="93" t="s">
        <v>234</v>
      </c>
      <c r="AW27" s="93" t="s">
        <v>235</v>
      </c>
      <c r="AX27" s="122" t="s">
        <v>140</v>
      </c>
      <c r="AY27" s="93" t="s">
        <v>236</v>
      </c>
      <c r="AZ27" s="288" t="s">
        <v>237</v>
      </c>
    </row>
    <row r="28" spans="1:53" ht="40.5">
      <c r="A28" s="92" t="s">
        <v>29</v>
      </c>
      <c r="B28" s="93" t="s">
        <v>124</v>
      </c>
      <c r="C28" s="255" t="s">
        <v>238</v>
      </c>
      <c r="D28" s="134" t="s">
        <v>126</v>
      </c>
      <c r="E28" s="93" t="s">
        <v>127</v>
      </c>
      <c r="F28" s="95" t="s">
        <v>128</v>
      </c>
      <c r="G28" s="96" t="s">
        <v>151</v>
      </c>
      <c r="H28" s="93" t="s">
        <v>130</v>
      </c>
      <c r="I28" s="96" t="str">
        <f t="shared" si="0"/>
        <v>U Space</v>
      </c>
      <c r="J28" s="161">
        <v>3</v>
      </c>
      <c r="K28" s="161">
        <v>3</v>
      </c>
      <c r="L28" s="156">
        <v>0</v>
      </c>
      <c r="M28" s="106">
        <v>3</v>
      </c>
      <c r="N28" s="106">
        <v>0</v>
      </c>
      <c r="O28" s="100">
        <v>2500</v>
      </c>
      <c r="P28" s="101" t="str">
        <f t="shared" si="3"/>
        <v>Rated</v>
      </c>
      <c r="Q28" s="93" t="s">
        <v>6</v>
      </c>
      <c r="R28" s="163">
        <v>1</v>
      </c>
      <c r="S28" s="172">
        <v>0.86499999999999999</v>
      </c>
      <c r="T28" s="103">
        <f t="shared" si="4"/>
        <v>0.13500000000000001</v>
      </c>
      <c r="U28" s="95">
        <v>0</v>
      </c>
      <c r="V28" s="95">
        <f>IF(T28&lt;=0,0,(IF(P28="Rated",(T28+U28)*$V$1,(T28+U28))))</f>
        <v>6.7500000000000004E-2</v>
      </c>
      <c r="W28" s="258">
        <f>IF(P28="Rated",R28*$V$1,R28)</f>
        <v>0.5</v>
      </c>
      <c r="X28" s="267">
        <f t="shared" si="7"/>
        <v>0.86499999999999999</v>
      </c>
      <c r="Y28" s="165">
        <v>3.5000000000000003E-2</v>
      </c>
      <c r="Z28" s="95">
        <v>0</v>
      </c>
      <c r="AA28" s="104">
        <v>0</v>
      </c>
      <c r="AB28" s="105" t="s">
        <v>128</v>
      </c>
      <c r="AC28" s="106">
        <v>1</v>
      </c>
      <c r="AD28" s="107" t="s">
        <v>131</v>
      </c>
      <c r="AE28" s="108"/>
      <c r="AF28" s="131"/>
      <c r="AG28" s="93" t="s">
        <v>132</v>
      </c>
      <c r="AH28" s="110"/>
      <c r="AI28" s="93">
        <v>0</v>
      </c>
      <c r="AJ28" s="93">
        <v>0</v>
      </c>
      <c r="AK28" s="93">
        <v>0</v>
      </c>
      <c r="AL28" s="93">
        <v>0</v>
      </c>
      <c r="AM28" s="93" t="s">
        <v>133</v>
      </c>
      <c r="AN28" s="93"/>
      <c r="AO28" s="100">
        <f t="shared" si="8"/>
        <v>7500</v>
      </c>
      <c r="AP28" s="111">
        <f t="shared" si="9"/>
        <v>0</v>
      </c>
      <c r="AQ28" s="112">
        <f t="shared" si="10"/>
        <v>0</v>
      </c>
      <c r="AR28" s="93">
        <f t="shared" si="11"/>
        <v>0</v>
      </c>
      <c r="AS28" s="113">
        <v>3333.33</v>
      </c>
      <c r="AT28" s="114">
        <f t="shared" si="12"/>
        <v>10833.33</v>
      </c>
      <c r="AU28" s="115"/>
      <c r="AV28" s="132" t="s">
        <v>239</v>
      </c>
      <c r="AW28" s="93" t="s">
        <v>240</v>
      </c>
      <c r="AX28" s="122" t="s">
        <v>140</v>
      </c>
      <c r="AY28" s="93" t="s">
        <v>241</v>
      </c>
      <c r="AZ28" s="288" t="s">
        <v>242</v>
      </c>
    </row>
    <row r="29" spans="1:53" ht="54">
      <c r="A29" s="92" t="s">
        <v>29</v>
      </c>
      <c r="B29" s="93" t="s">
        <v>124</v>
      </c>
      <c r="C29" s="255" t="s">
        <v>243</v>
      </c>
      <c r="D29" s="144" t="s">
        <v>137</v>
      </c>
      <c r="E29" s="93" t="s">
        <v>127</v>
      </c>
      <c r="F29" s="95" t="s">
        <v>128</v>
      </c>
      <c r="G29" s="93" t="s">
        <v>129</v>
      </c>
      <c r="H29" s="93" t="s">
        <v>130</v>
      </c>
      <c r="I29" s="96" t="str">
        <f t="shared" si="0"/>
        <v>No of Racks</v>
      </c>
      <c r="J29" s="93">
        <v>1</v>
      </c>
      <c r="K29" s="93">
        <v>1</v>
      </c>
      <c r="L29" s="97">
        <f>J29-K29</f>
        <v>0</v>
      </c>
      <c r="M29" s="93">
        <v>1</v>
      </c>
      <c r="N29" s="99">
        <f>J29-M29</f>
        <v>0</v>
      </c>
      <c r="O29" s="120">
        <v>57500</v>
      </c>
      <c r="P29" s="101" t="str">
        <f t="shared" si="3"/>
        <v>Rated</v>
      </c>
      <c r="Q29" s="99" t="s">
        <v>6</v>
      </c>
      <c r="R29" s="102">
        <v>6</v>
      </c>
      <c r="S29" s="121">
        <v>0.4</v>
      </c>
      <c r="T29" s="103">
        <f t="shared" si="4"/>
        <v>5.6</v>
      </c>
      <c r="U29" s="95">
        <v>0</v>
      </c>
      <c r="V29" s="95">
        <f>IF(T29&lt;=0,0,(IF(P29="Rated",(T29+U29)*$V$1,(T29+U29))))</f>
        <v>2.8</v>
      </c>
      <c r="W29" s="95">
        <f>IF(P29="Rated",R29*$V$1,R29)</f>
        <v>3</v>
      </c>
      <c r="X29" s="102">
        <f t="shared" si="7"/>
        <v>0.4</v>
      </c>
      <c r="Y29" s="102">
        <v>3.3300000000000003E-2</v>
      </c>
      <c r="Z29" s="95">
        <v>0</v>
      </c>
      <c r="AA29" s="104">
        <v>0</v>
      </c>
      <c r="AB29" s="105" t="s">
        <v>128</v>
      </c>
      <c r="AC29" s="106">
        <v>1</v>
      </c>
      <c r="AD29" s="107" t="s">
        <v>131</v>
      </c>
      <c r="AE29" s="108"/>
      <c r="AF29" s="143"/>
      <c r="AG29" s="93" t="s">
        <v>132</v>
      </c>
      <c r="AH29" s="110"/>
      <c r="AI29" s="93">
        <v>0</v>
      </c>
      <c r="AJ29" s="93">
        <v>0</v>
      </c>
      <c r="AK29" s="93">
        <v>0</v>
      </c>
      <c r="AL29" s="93">
        <v>0</v>
      </c>
      <c r="AM29" s="93" t="s">
        <v>133</v>
      </c>
      <c r="AN29" s="93"/>
      <c r="AO29" s="100">
        <f t="shared" si="8"/>
        <v>57500</v>
      </c>
      <c r="AP29" s="111">
        <f t="shared" si="9"/>
        <v>0</v>
      </c>
      <c r="AQ29" s="112">
        <f t="shared" si="10"/>
        <v>0</v>
      </c>
      <c r="AR29" s="93">
        <f t="shared" si="11"/>
        <v>0</v>
      </c>
      <c r="AS29" s="113">
        <v>15000</v>
      </c>
      <c r="AT29" s="114">
        <f t="shared" si="12"/>
        <v>72500</v>
      </c>
      <c r="AU29" s="115"/>
      <c r="AV29" s="132" t="s">
        <v>244</v>
      </c>
      <c r="AW29" s="93" t="s">
        <v>245</v>
      </c>
      <c r="AX29" s="122" t="s">
        <v>140</v>
      </c>
      <c r="AY29" s="93" t="s">
        <v>246</v>
      </c>
      <c r="AZ29" s="287" t="s">
        <v>247</v>
      </c>
    </row>
    <row r="30" spans="1:53">
      <c r="A30" s="159"/>
      <c r="B30" s="159"/>
      <c r="C30" s="160"/>
      <c r="D30" s="160"/>
      <c r="E30" s="106"/>
      <c r="F30" s="107"/>
      <c r="G30" s="106"/>
      <c r="H30" s="106"/>
      <c r="I30" s="122"/>
      <c r="J30" s="161"/>
      <c r="K30" s="161"/>
      <c r="L30" s="156"/>
      <c r="M30" s="106"/>
      <c r="N30" s="106"/>
      <c r="O30" s="124"/>
      <c r="P30" s="162"/>
      <c r="Q30" s="106"/>
      <c r="R30" s="163"/>
      <c r="S30" s="173"/>
      <c r="T30" s="164"/>
      <c r="U30" s="107"/>
      <c r="V30" s="107"/>
      <c r="W30" s="107"/>
      <c r="X30" s="165"/>
      <c r="Y30" s="165"/>
      <c r="Z30" s="107"/>
      <c r="AA30" s="170"/>
      <c r="AB30" s="174"/>
      <c r="AC30" s="107"/>
      <c r="AD30" s="107"/>
      <c r="AE30" s="108"/>
      <c r="AF30" s="131"/>
      <c r="AG30" s="167"/>
      <c r="AH30" s="110"/>
      <c r="AI30" s="107"/>
      <c r="AJ30" s="107"/>
      <c r="AK30" s="106"/>
      <c r="AL30" s="107"/>
      <c r="AM30" s="107"/>
      <c r="AN30" s="124"/>
      <c r="AO30" s="169"/>
      <c r="AP30" s="169"/>
      <c r="AQ30" s="169"/>
      <c r="AR30" s="169"/>
      <c r="AS30" s="113"/>
      <c r="AT30" s="115"/>
      <c r="AU30" s="115"/>
      <c r="AV30" s="132"/>
      <c r="AW30" s="116"/>
      <c r="AX30" s="106"/>
      <c r="AY30" s="116"/>
      <c r="AZ30" s="117"/>
    </row>
    <row r="31" spans="1:53">
      <c r="A31" s="159"/>
      <c r="B31" s="159"/>
      <c r="C31" s="160"/>
      <c r="D31" s="160"/>
      <c r="E31" s="106"/>
      <c r="F31" s="107"/>
      <c r="G31" s="106"/>
      <c r="H31" s="106"/>
      <c r="I31" s="122"/>
      <c r="J31" s="161"/>
      <c r="K31" s="161"/>
      <c r="L31" s="156"/>
      <c r="M31" s="106"/>
      <c r="N31" s="106"/>
      <c r="O31" s="124"/>
      <c r="P31" s="162"/>
      <c r="Q31" s="106"/>
      <c r="R31" s="163"/>
      <c r="S31" s="173"/>
      <c r="T31" s="164"/>
      <c r="U31" s="107"/>
      <c r="V31" s="107"/>
      <c r="W31" s="107"/>
      <c r="X31" s="165"/>
      <c r="Y31" s="163"/>
      <c r="Z31" s="107"/>
      <c r="AA31" s="170"/>
      <c r="AB31" s="174"/>
      <c r="AC31" s="107"/>
      <c r="AD31" s="107"/>
      <c r="AE31" s="175"/>
      <c r="AF31" s="176"/>
      <c r="AG31" s="167"/>
      <c r="AH31" s="110"/>
      <c r="AI31" s="107"/>
      <c r="AJ31" s="107"/>
      <c r="AK31" s="106"/>
      <c r="AL31" s="107"/>
      <c r="AM31" s="107"/>
      <c r="AN31" s="124"/>
      <c r="AO31" s="169"/>
      <c r="AP31" s="169"/>
      <c r="AQ31" s="169"/>
      <c r="AR31" s="169"/>
      <c r="AS31" s="113"/>
      <c r="AT31" s="115"/>
      <c r="AU31" s="115"/>
      <c r="AV31" s="132"/>
      <c r="AW31" s="116"/>
      <c r="AX31" s="106"/>
      <c r="AY31" s="116"/>
      <c r="AZ31" s="117"/>
    </row>
    <row r="32" spans="1:53">
      <c r="A32" s="159"/>
      <c r="B32" s="159"/>
      <c r="C32" s="160"/>
      <c r="D32" s="160"/>
      <c r="E32" s="106"/>
      <c r="F32" s="107"/>
      <c r="G32" s="106"/>
      <c r="H32" s="106"/>
      <c r="I32" s="122"/>
      <c r="J32" s="161"/>
      <c r="K32" s="161"/>
      <c r="L32" s="156"/>
      <c r="M32" s="106"/>
      <c r="N32" s="106"/>
      <c r="O32" s="124"/>
      <c r="P32" s="162"/>
      <c r="Q32" s="106"/>
      <c r="R32" s="163"/>
      <c r="S32" s="173"/>
      <c r="T32" s="164"/>
      <c r="U32" s="107"/>
      <c r="V32" s="107"/>
      <c r="W32" s="107"/>
      <c r="X32" s="165"/>
      <c r="Y32" s="165"/>
      <c r="Z32" s="107"/>
      <c r="AA32" s="170"/>
      <c r="AB32" s="174"/>
      <c r="AC32" s="107"/>
      <c r="AD32" s="107"/>
      <c r="AE32" s="108"/>
      <c r="AF32" s="131"/>
      <c r="AG32" s="167"/>
      <c r="AH32" s="110"/>
      <c r="AI32" s="107"/>
      <c r="AJ32" s="107"/>
      <c r="AK32" s="106"/>
      <c r="AL32" s="107"/>
      <c r="AM32" s="107"/>
      <c r="AN32" s="124"/>
      <c r="AO32" s="169"/>
      <c r="AP32" s="169"/>
      <c r="AQ32" s="169"/>
      <c r="AR32" s="169"/>
      <c r="AS32" s="113"/>
      <c r="AT32" s="115"/>
      <c r="AU32" s="115"/>
      <c r="AV32" s="132"/>
      <c r="AW32" s="116"/>
      <c r="AX32" s="106"/>
      <c r="AY32" s="116"/>
      <c r="AZ32" s="117"/>
    </row>
    <row r="33" spans="1:52">
      <c r="A33" s="159"/>
      <c r="B33" s="159"/>
      <c r="C33" s="160"/>
      <c r="D33" s="160"/>
      <c r="E33" s="106"/>
      <c r="F33" s="107"/>
      <c r="G33" s="106"/>
      <c r="H33" s="106"/>
      <c r="I33" s="122"/>
      <c r="J33" s="161"/>
      <c r="K33" s="161"/>
      <c r="L33" s="156"/>
      <c r="M33" s="106"/>
      <c r="N33" s="106"/>
      <c r="O33" s="124"/>
      <c r="P33" s="162"/>
      <c r="Q33" s="106"/>
      <c r="R33" s="163"/>
      <c r="S33" s="173"/>
      <c r="T33" s="164"/>
      <c r="U33" s="107"/>
      <c r="V33" s="107"/>
      <c r="W33" s="107"/>
      <c r="X33" s="165"/>
      <c r="Y33" s="165"/>
      <c r="Z33" s="107"/>
      <c r="AA33" s="170"/>
      <c r="AB33" s="166"/>
      <c r="AC33" s="107"/>
      <c r="AD33" s="107"/>
      <c r="AE33" s="108"/>
      <c r="AF33" s="176"/>
      <c r="AG33" s="167"/>
      <c r="AH33" s="110"/>
      <c r="AI33" s="177"/>
      <c r="AJ33" s="177"/>
      <c r="AK33" s="106"/>
      <c r="AL33" s="177"/>
      <c r="AM33" s="107"/>
      <c r="AN33" s="124"/>
      <c r="AO33" s="168"/>
      <c r="AP33" s="169"/>
      <c r="AQ33" s="169"/>
      <c r="AR33" s="169"/>
      <c r="AS33" s="113"/>
      <c r="AT33" s="115"/>
      <c r="AU33" s="115"/>
      <c r="AV33" s="118"/>
      <c r="AW33" s="116"/>
      <c r="AX33" s="122"/>
      <c r="AY33" s="116"/>
      <c r="AZ33" s="117"/>
    </row>
    <row r="34" spans="1:52">
      <c r="A34" s="159"/>
      <c r="B34" s="159"/>
      <c r="C34" s="178"/>
      <c r="D34" s="171"/>
      <c r="E34" s="106"/>
      <c r="F34" s="107"/>
      <c r="G34" s="106"/>
      <c r="H34" s="106"/>
      <c r="I34" s="122"/>
      <c r="J34" s="161"/>
      <c r="K34" s="161"/>
      <c r="L34" s="156"/>
      <c r="M34" s="106"/>
      <c r="N34" s="106"/>
      <c r="O34" s="124"/>
      <c r="P34" s="162"/>
      <c r="Q34" s="106"/>
      <c r="R34" s="163"/>
      <c r="S34" s="173"/>
      <c r="T34" s="164"/>
      <c r="U34" s="107"/>
      <c r="V34" s="107"/>
      <c r="W34" s="107"/>
      <c r="X34" s="165"/>
      <c r="Y34" s="165"/>
      <c r="Z34" s="107"/>
      <c r="AA34" s="170"/>
      <c r="AB34" s="166"/>
      <c r="AC34" s="107"/>
      <c r="AD34" s="107"/>
      <c r="AE34" s="108"/>
      <c r="AF34" s="176"/>
      <c r="AG34" s="167"/>
      <c r="AH34" s="110"/>
      <c r="AI34" s="177"/>
      <c r="AJ34" s="177"/>
      <c r="AK34" s="106"/>
      <c r="AL34" s="177"/>
      <c r="AM34" s="107"/>
      <c r="AN34" s="124"/>
      <c r="AO34" s="168"/>
      <c r="AP34" s="169"/>
      <c r="AQ34" s="169"/>
      <c r="AR34" s="169"/>
      <c r="AS34" s="113"/>
      <c r="AT34" s="115"/>
      <c r="AU34" s="115"/>
      <c r="AV34" s="118"/>
      <c r="AW34" s="116"/>
      <c r="AX34" s="122"/>
      <c r="AY34" s="116"/>
      <c r="AZ34" s="117"/>
    </row>
    <row r="35" spans="1:52">
      <c r="A35" s="159"/>
      <c r="B35" s="159"/>
      <c r="C35" s="171"/>
      <c r="D35" s="171"/>
      <c r="E35" s="106"/>
      <c r="F35" s="107"/>
      <c r="G35" s="106"/>
      <c r="H35" s="106"/>
      <c r="I35" s="122"/>
      <c r="J35" s="161"/>
      <c r="K35" s="161"/>
      <c r="L35" s="156"/>
      <c r="M35" s="106"/>
      <c r="N35" s="106"/>
      <c r="O35" s="124"/>
      <c r="P35" s="162"/>
      <c r="Q35" s="106"/>
      <c r="R35" s="163"/>
      <c r="S35" s="173"/>
      <c r="T35" s="164"/>
      <c r="U35" s="107"/>
      <c r="V35" s="107"/>
      <c r="W35" s="107"/>
      <c r="X35" s="165"/>
      <c r="Y35" s="165"/>
      <c r="Z35" s="107"/>
      <c r="AA35" s="170"/>
      <c r="AB35" s="174"/>
      <c r="AC35" s="107"/>
      <c r="AD35" s="107"/>
      <c r="AE35" s="108"/>
      <c r="AF35" s="131"/>
      <c r="AG35" s="167"/>
      <c r="AH35" s="110"/>
      <c r="AI35" s="107"/>
      <c r="AJ35" s="107"/>
      <c r="AK35" s="106"/>
      <c r="AL35" s="107"/>
      <c r="AM35" s="107"/>
      <c r="AN35" s="124"/>
      <c r="AO35" s="168"/>
      <c r="AP35" s="169"/>
      <c r="AQ35" s="169"/>
      <c r="AR35" s="169"/>
      <c r="AS35" s="113"/>
      <c r="AT35" s="115"/>
      <c r="AU35" s="115"/>
      <c r="AV35" s="118"/>
      <c r="AW35" s="116"/>
      <c r="AX35" s="122"/>
      <c r="AY35" s="116"/>
      <c r="AZ35" s="160"/>
    </row>
    <row r="36" spans="1:52">
      <c r="A36" s="159"/>
      <c r="B36" s="159"/>
      <c r="C36" s="178"/>
      <c r="D36" s="178"/>
      <c r="E36" s="106"/>
      <c r="F36" s="107"/>
      <c r="G36" s="106"/>
      <c r="H36" s="106"/>
      <c r="I36" s="122"/>
      <c r="J36" s="161"/>
      <c r="K36" s="161"/>
      <c r="L36" s="156"/>
      <c r="M36" s="106"/>
      <c r="N36" s="106"/>
      <c r="O36" s="124"/>
      <c r="P36" s="162"/>
      <c r="Q36" s="106"/>
      <c r="R36" s="163"/>
      <c r="S36" s="173"/>
      <c r="T36" s="164"/>
      <c r="U36" s="107"/>
      <c r="V36" s="107"/>
      <c r="W36" s="107"/>
      <c r="X36" s="165"/>
      <c r="Y36" s="163"/>
      <c r="Z36" s="107"/>
      <c r="AA36" s="170"/>
      <c r="AB36" s="174"/>
      <c r="AC36" s="107"/>
      <c r="AD36" s="107"/>
      <c r="AE36" s="108"/>
      <c r="AF36" s="131"/>
      <c r="AG36" s="167"/>
      <c r="AH36" s="110"/>
      <c r="AI36" s="177"/>
      <c r="AJ36" s="177"/>
      <c r="AK36" s="106"/>
      <c r="AL36" s="177"/>
      <c r="AM36" s="107"/>
      <c r="AN36" s="124"/>
      <c r="AO36" s="168"/>
      <c r="AP36" s="169"/>
      <c r="AQ36" s="169"/>
      <c r="AR36" s="169"/>
      <c r="AS36" s="179"/>
      <c r="AT36" s="115"/>
      <c r="AU36" s="115"/>
      <c r="AV36" s="118"/>
      <c r="AW36" s="116"/>
      <c r="AX36" s="122"/>
      <c r="AY36" s="116"/>
      <c r="AZ36" s="117"/>
    </row>
  </sheetData>
  <mergeCells count="7">
    <mergeCell ref="AO2:AU2"/>
    <mergeCell ref="AV2:AY2"/>
    <mergeCell ref="E2:F2"/>
    <mergeCell ref="G2:O2"/>
    <mergeCell ref="P2:AA2"/>
    <mergeCell ref="AB2:AF2"/>
    <mergeCell ref="AG2:AN2"/>
  </mergeCells>
  <conditionalFormatting sqref="AA4:AA29">
    <cfRule type="cellIs" dxfId="7" priority="6" operator="lessThanOrEqual">
      <formula>0</formula>
    </cfRule>
    <cfRule type="cellIs" dxfId="6" priority="7" operator="lessThanOrEqual">
      <formula>0</formula>
    </cfRule>
  </conditionalFormatting>
  <conditionalFormatting sqref="AA20">
    <cfRule type="cellIs" dxfId="5" priority="12" operator="lessThanOrEqual">
      <formula>0</formula>
    </cfRule>
    <cfRule type="cellIs" dxfId="4" priority="13" operator="lessThanOrEqual">
      <formula>0</formula>
    </cfRule>
  </conditionalFormatting>
  <conditionalFormatting sqref="AA22:AA24 AA30:AA36">
    <cfRule type="cellIs" dxfId="3" priority="14" operator="lessThanOrEqual">
      <formula>0</formula>
    </cfRule>
    <cfRule type="cellIs" dxfId="2" priority="15" operator="lessThanOrEqual">
      <formula>0</formula>
    </cfRule>
  </conditionalFormatting>
  <conditionalFormatting sqref="AA29">
    <cfRule type="cellIs" dxfId="1" priority="1" operator="lessThanOrEqual">
      <formula>0</formula>
    </cfRule>
    <cfRule type="cellIs" dxfId="0" priority="2" operator="lessThanOrEqual">
      <formula>0</formula>
    </cfRule>
  </conditionalFormatting>
  <dataValidations count="8">
    <dataValidation type="list" allowBlank="1" showInputMessage="1" showErrorMessage="1" promptTitle="Rack, U Space, Cage" sqref="G4:G7 G9 G15 G17 G22:G24 G29:G36 WKU4:WKU36 WAY4:WAY36 VRC4:VRC36 VHG4:VHG36 UXK4:UXK36 UNO4:UNO36 UDS4:UDS36 TTW4:TTW36 TKA4:TKA36 TAE4:TAE36 SQI4:SQI36 SGM4:SGM36 RWQ4:RWQ36 RMU4:RMU36 RCY4:RCY36 QTC4:QTC36 QJG4:QJG36 PZK4:PZK36 PPO4:PPO36 PFS4:PFS36 OVW4:OVW36 OMA4:OMA36 OCE4:OCE36 NSI4:NSI36 NIM4:NIM36 MYQ4:MYQ36 MOU4:MOU36 MEY4:MEY36 LVC4:LVC36 LLG4:LLG36 LBK4:LBK36 KRO4:KRO36 KHS4:KHS36 JXW4:JXW36 JOA4:JOA36 JEE4:JEE36 IUI4:IUI36 IKM4:IKM36 IAQ4:IAQ36 HQU4:HQU36 HGY4:HGY36 GXC4:GXC36 GNG4:GNG36 GDK4:GDK36 FTO4:FTO36 FJS4:FJS36 EZW4:EZW36 EQA4:EQA36 EGE4:EGE36 DWI4:DWI36 DMM4:DMM36 DCQ4:DCQ36 CSU4:CSU36 CIY4:CIY36 BZC4:BZC36 BPG4:BPG36 BFK4:BFK36 AVO4:AVO36 ALS4:ALS36 ABW4:ABW36 SA4:SA36 IE4:IE36 WUQ4:WUQ36">
      <formula1>"Space,Rack,U space"</formula1>
      <formula2>0</formula2>
    </dataValidation>
    <dataValidation type="list" allowBlank="1" showInputMessage="1" showErrorMessage="1" sqref="AG24 AG30:AG36 WLT4:WLT36 WBX4:WBX36 VSB4:VSB36 VIF4:VIF36 UYJ4:UYJ36 UON4:UON36 UER4:UER36 TUV4:TUV36 TKZ4:TKZ36 TBD4:TBD36 SRH4:SRH36 SHL4:SHL36 RXP4:RXP36 RNT4:RNT36 RDX4:RDX36 QUB4:QUB36 QKF4:QKF36 QAJ4:QAJ36 PQN4:PQN36 PGR4:PGR36 OWV4:OWV36 OMZ4:OMZ36 ODD4:ODD36 NTH4:NTH36 NJL4:NJL36 MZP4:MZP36 MPT4:MPT36 MFX4:MFX36 LWB4:LWB36 LMF4:LMF36 LCJ4:LCJ36 KSN4:KSN36 KIR4:KIR36 JYV4:JYV36 JOZ4:JOZ36 JFD4:JFD36 IVH4:IVH36 ILL4:ILL36 IBP4:IBP36 HRT4:HRT36 HHX4:HHX36 GYB4:GYB36 GOF4:GOF36 GEJ4:GEJ36 FUN4:FUN36 FKR4:FKR36 FAV4:FAV36 EQZ4:EQZ36 EHD4:EHD36 DXH4:DXH36 DNL4:DNL36 DDP4:DDP36 CTT4:CTT36 CJX4:CJX36 CAB4:CAB36 BQF4:BQF36 BGJ4:BGJ36 AWN4:AWN36 AMR4:AMR36 ACV4:ACV36 SZ4:SZ36 JD4:JD36 WVP4:WVP36">
      <formula1>"No of Seats,Space"</formula1>
      <formula2>0</formula2>
    </dataValidation>
    <dataValidation type="list" allowBlank="1" showInputMessage="1" showErrorMessage="1" sqref="AU4:AU36 WMH4:WMH36 WCL4:WCL36 VSP4:VSP36 VIT4:VIT36 UYX4:UYX36 UPB4:UPB36 UFF4:UFF36 TVJ4:TVJ36 TLN4:TLN36 TBR4:TBR36 SRV4:SRV36 SHZ4:SHZ36 RYD4:RYD36 ROH4:ROH36 REL4:REL36 QUP4:QUP36 QKT4:QKT36 QAX4:QAX36 PRB4:PRB36 PHF4:PHF36 OXJ4:OXJ36 ONN4:ONN36 ODR4:ODR36 NTV4:NTV36 NJZ4:NJZ36 NAD4:NAD36 MQH4:MQH36 MGL4:MGL36 LWP4:LWP36 LMT4:LMT36 LCX4:LCX36 KTB4:KTB36 KJF4:KJF36 JZJ4:JZJ36 JPN4:JPN36 JFR4:JFR36 IVV4:IVV36 ILZ4:ILZ36 ICD4:ICD36 HSH4:HSH36 HIL4:HIL36 GYP4:GYP36 GOT4:GOT36 GEX4:GEX36 FVB4:FVB36 FLF4:FLF36 FBJ4:FBJ36 ERN4:ERN36 EHR4:EHR36 DXV4:DXV36 DNZ4:DNZ36 DED4:DED36 CUH4:CUH36 CKL4:CKL36 CAP4:CAP36 BQT4:BQT36 BGX4:BGX36 AXB4:AXB36 ANF4:ANF36 ADJ4:ADJ36 TN4:TN36 JR4:JR36 WWD4:WWD36">
      <formula1>"Qtrly Adv,Qtry Ars,Monthly Adv,Monthly Ars"</formula1>
      <formula2>0</formula2>
    </dataValidation>
    <dataValidation type="list" allowBlank="1" showInputMessage="1" showErrorMessage="1" sqref="Q4:Q36 WVA4:WVA36 WLE4:WLE36 WBI4:WBI36 VRM4:VRM36 VHQ4:VHQ36 UXU4:UXU36 UNY4:UNY36 UEC4:UEC36 TUG4:TUG36 TKK4:TKK36 TAO4:TAO36 SQS4:SQS36 SGW4:SGW36 RXA4:RXA36 RNE4:RNE36 RDI4:RDI36 QTM4:QTM36 QJQ4:QJQ36 PZU4:PZU36 PPY4:PPY36 PGC4:PGC36 OWG4:OWG36 OMK4:OMK36 OCO4:OCO36 NSS4:NSS36 NIW4:NIW36 MZA4:MZA36 MPE4:MPE36 MFI4:MFI36 LVM4:LVM36 LLQ4:LLQ36 LBU4:LBU36 KRY4:KRY36 KIC4:KIC36 JYG4:JYG36 JOK4:JOK36 JEO4:JEO36 IUS4:IUS36 IKW4:IKW36 IBA4:IBA36 HRE4:HRE36 HHI4:HHI36 GXM4:GXM36 GNQ4:GNQ36 GDU4:GDU36 FTY4:FTY36 FKC4:FKC36 FAG4:FAG36 EQK4:EQK36 EGO4:EGO36 DWS4:DWS36 DMW4:DMW36 DDA4:DDA36 CTE4:CTE36 CJI4:CJI36 BZM4:BZM36 BPQ4:BPQ36 BFU4:BFU36 AVY4:AVY36 AMC4:AMC36 ACG4:ACG36 SK4:SK36 IO4:IO36">
      <formula1>"KW,KVA"</formula1>
      <formula2>0</formula2>
    </dataValidation>
    <dataValidation type="list" allowBlank="1" showInputMessage="1" showErrorMessage="1" promptTitle="Rack, U Space, Cage" sqref="H4:H36 WKV4:WKV36 WAZ4:WAZ36 VRD4:VRD36 VHH4:VHH36 UXL4:UXL36 UNP4:UNP36 UDT4:UDT36 TTX4:TTX36 TKB4:TKB36 TAF4:TAF36 SQJ4:SQJ36 SGN4:SGN36 RWR4:RWR36 RMV4:RMV36 RCZ4:RCZ36 QTD4:QTD36 QJH4:QJH36 PZL4:PZL36 PPP4:PPP36 PFT4:PFT36 OVX4:OVX36 OMB4:OMB36 OCF4:OCF36 NSJ4:NSJ36 NIN4:NIN36 MYR4:MYR36 MOV4:MOV36 MEZ4:MEZ36 LVD4:LVD36 LLH4:LLH36 LBL4:LBL36 KRP4:KRP36 KHT4:KHT36 JXX4:JXX36 JOB4:JOB36 JEF4:JEF36 IUJ4:IUJ36 IKN4:IKN36 IAR4:IAR36 HQV4:HQV36 HGZ4:HGZ36 GXD4:GXD36 GNH4:GNH36 GDL4:GDL36 FTP4:FTP36 FJT4:FJT36 EZX4:EZX36 EQB4:EQB36 EGF4:EGF36 DWJ4:DWJ36 DMN4:DMN36 DCR4:DCR36 CSV4:CSV36 CIZ4:CIZ36 BZD4:BZD36 BPH4:BPH36 BFL4:BFL36 AVP4:AVP36 ALT4:ALT36 ABX4:ABX36 SB4:SB36 IF4:IF36 WUR4:WUR36">
      <formula1>"Caged,Uncaged"</formula1>
      <formula2>0</formula2>
    </dataValidation>
    <dataValidation type="list" allowBlank="1" showInputMessage="1" showErrorMessage="1" sqref="F4:F36 WKT4:WKT36 WAX4:WAX36 VRB4:VRB36 VHF4:VHF36 UXJ4:UXJ36 UNN4:UNN36 UDR4:UDR36 TTV4:TTV36 TJZ4:TJZ36 TAD4:TAD36 SQH4:SQH36 SGL4:SGL36 RWP4:RWP36 RMT4:RMT36 RCX4:RCX36 QTB4:QTB36 QJF4:QJF36 PZJ4:PZJ36 PPN4:PPN36 PFR4:PFR36 OVV4:OVV36 OLZ4:OLZ36 OCD4:OCD36 NSH4:NSH36 NIL4:NIL36 MYP4:MYP36 MOT4:MOT36 MEX4:MEX36 LVB4:LVB36 LLF4:LLF36 LBJ4:LBJ36 KRN4:KRN36 KHR4:KHR36 JXV4:JXV36 JNZ4:JNZ36 JED4:JED36 IUH4:IUH36 IKL4:IKL36 IAP4:IAP36 HQT4:HQT36 HGX4:HGX36 GXB4:GXB36 GNF4:GNF36 GDJ4:GDJ36 FTN4:FTN36 FJR4:FJR36 EZV4:EZV36 EPZ4:EPZ36 EGD4:EGD36 DWH4:DWH36 DML4:DML36 DCP4:DCP36 CST4:CST36 CIX4:CIX36 BZB4:BZB36 BPF4:BPF36 BFJ4:BFJ36 AVN4:AVN36 ALR4:ALR36 ABV4:ABV36 RZ4:RZ36 ID4:ID36 WUP4:WUP36">
      <formula1>"Bundled,Metered"</formula1>
      <formula2>0</formula2>
    </dataValidation>
    <dataValidation type="list" allowBlank="1" showInputMessage="1" showErrorMessage="1" sqref="E4:E36 WKS4:WKS36 WAW4:WAW36 VRA4:VRA36 VHE4:VHE36 UXI4:UXI36 UNM4:UNM36 UDQ4:UDQ36 TTU4:TTU36 TJY4:TJY36 TAC4:TAC36 SQG4:SQG36 SGK4:SGK36 RWO4:RWO36 RMS4:RMS36 RCW4:RCW36 QTA4:QTA36 QJE4:QJE36 PZI4:PZI36 PPM4:PPM36 PFQ4:PFQ36 OVU4:OVU36 OLY4:OLY36 OCC4:OCC36 NSG4:NSG36 NIK4:NIK36 MYO4:MYO36 MOS4:MOS36 MEW4:MEW36 LVA4:LVA36 LLE4:LLE36 LBI4:LBI36 KRM4:KRM36 KHQ4:KHQ36 JXU4:JXU36 JNY4:JNY36 JEC4:JEC36 IUG4:IUG36 IKK4:IKK36 IAO4:IAO36 HQS4:HQS36 HGW4:HGW36 GXA4:GXA36 GNE4:GNE36 GDI4:GDI36 FTM4:FTM36 FJQ4:FJQ36 EZU4:EZU36 EPY4:EPY36 EGC4:EGC36 DWG4:DWG36 DMK4:DMK36 DCO4:DCO36 CSS4:CSS36 CIW4:CIW36 BZA4:BZA36 BPE4:BPE36 BFI4:BFI36 AVM4:AVM36 ALQ4:ALQ36 ABU4:ABU36 RY4:RY36 IC4:IC36 WUO4:WUO36">
      <formula1>"Rated,Subscribed"</formula1>
      <formula2>0</formula2>
    </dataValidation>
    <dataValidation type="list" allowBlank="1" showInputMessage="1" showErrorMessage="1" sqref="AD4:AD36 WLQ4:WLQ36 WBU4:WBU36 VRY4:VRY36 VIC4:VIC36 UYG4:UYG36 UOK4:UOK36 UEO4:UEO36 TUS4:TUS36 TKW4:TKW36 TBA4:TBA36 SRE4:SRE36 SHI4:SHI36 RXM4:RXM36 RNQ4:RNQ36 RDU4:RDU36 QTY4:QTY36 QKC4:QKC36 QAG4:QAG36 PQK4:PQK36 PGO4:PGO36 OWS4:OWS36 OMW4:OMW36 ODA4:ODA36 NTE4:NTE36 NJI4:NJI36 MZM4:MZM36 MPQ4:MPQ36 MFU4:MFU36 LVY4:LVY36 LMC4:LMC36 LCG4:LCG36 KSK4:KSK36 KIO4:KIO36 JYS4:JYS36 JOW4:JOW36 JFA4:JFA36 IVE4:IVE36 ILI4:ILI36 IBM4:IBM36 HRQ4:HRQ36 HHU4:HHU36 GXY4:GXY36 GOC4:GOC36 GEG4:GEG36 FUK4:FUK36 FKO4:FKO36 FAS4:FAS36 EQW4:EQW36 EHA4:EHA36 DXE4:DXE36 DNI4:DNI36 DDM4:DDM36 CTQ4:CTQ36 CJU4:CJU36 BZY4:BZY36 BQC4:BQC36 BGG4:BGG36 AWK4:AWK36 AMO4:AMO36 ACS4:ACS36 SW4:SW36 JA4:JA36 WVM4:WVM36">
      <formula1>"Fixed,Variable"</formula1>
      <formula2>0</formula2>
    </dataValidation>
  </dataValidations>
  <pageMargins left="0.70833333333333304" right="0.70833333333333304" top="0.74791666666666701" bottom="0.7479166666666670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
  <sheetViews>
    <sheetView zoomScaleNormal="100" workbookViewId="0">
      <selection activeCell="B15" sqref="B15"/>
    </sheetView>
  </sheetViews>
  <sheetFormatPr defaultColWidth="9.140625" defaultRowHeight="12.75"/>
  <cols>
    <col min="1" max="1" width="20.140625" style="180" customWidth="1"/>
    <col min="2" max="2" width="16.5703125" style="180" customWidth="1"/>
    <col min="3" max="3" width="47.5703125" style="180" customWidth="1"/>
    <col min="4" max="4" width="22.28515625" style="180" customWidth="1"/>
    <col min="5" max="5" width="25.7109375" style="180" customWidth="1"/>
    <col min="6" max="6" width="21.140625" style="180" customWidth="1"/>
    <col min="7" max="7" width="20" style="180" customWidth="1"/>
    <col min="8" max="8" width="18.140625" style="180" customWidth="1"/>
    <col min="9" max="9" width="9.28515625" style="180" customWidth="1"/>
    <col min="10" max="10" width="15.28515625" style="180" customWidth="1"/>
    <col min="11" max="11" width="10.140625" style="180" customWidth="1"/>
    <col min="12" max="12" width="18" style="181" customWidth="1"/>
    <col min="13" max="13" width="9.85546875" style="182" customWidth="1"/>
    <col min="14" max="14" width="23.5703125" style="182" customWidth="1"/>
    <col min="15" max="15" width="20" style="182" customWidth="1"/>
    <col min="16" max="16" width="20.42578125" style="182" customWidth="1"/>
    <col min="17" max="17" width="8.7109375" style="182" customWidth="1"/>
    <col min="18" max="18" width="24" style="183" customWidth="1"/>
    <col min="19" max="19" width="17.28515625" style="180" customWidth="1"/>
    <col min="20" max="20" width="21.42578125" style="181" customWidth="1"/>
    <col min="21" max="21" width="16.5703125" style="180" customWidth="1"/>
    <col min="22" max="22" width="23.7109375" style="180" customWidth="1"/>
    <col min="23" max="24" width="23.42578125" style="180" customWidth="1"/>
    <col min="25" max="25" width="14.85546875" style="180" customWidth="1"/>
    <col min="26" max="26" width="19.5703125" style="180" customWidth="1"/>
    <col min="27" max="27" width="20.7109375" style="180" customWidth="1"/>
    <col min="28" max="28" width="15" style="180" customWidth="1"/>
    <col min="29" max="29" width="10.42578125" style="180" customWidth="1"/>
    <col min="30" max="30" width="15.85546875" style="180" customWidth="1"/>
    <col min="31" max="31" width="20.42578125" style="180" customWidth="1"/>
    <col min="32" max="32" width="17.140625" style="184" customWidth="1"/>
    <col min="33" max="33" width="20.85546875" style="184" customWidth="1"/>
    <col min="34" max="34" width="9.140625" style="184"/>
    <col min="35" max="35" width="15.28515625" style="180" customWidth="1"/>
    <col min="36" max="36" width="10.140625" style="180" customWidth="1"/>
    <col min="37" max="37" width="17.28515625" style="180" customWidth="1"/>
    <col min="38" max="38" width="9.85546875" style="180" customWidth="1"/>
    <col min="39" max="39" width="24.7109375" style="180" customWidth="1"/>
    <col min="40" max="40" width="15.140625" style="180" customWidth="1"/>
    <col min="41" max="41" width="21.5703125" style="180" customWidth="1"/>
    <col min="42" max="42" width="18.42578125" style="180" customWidth="1"/>
    <col min="43" max="43" width="20.42578125" style="180" customWidth="1"/>
    <col min="44" max="44" width="14" style="180" customWidth="1"/>
    <col min="45" max="45" width="15.85546875" style="180" customWidth="1"/>
    <col min="46" max="46" width="19.28515625" style="180" customWidth="1"/>
    <col min="47" max="47" width="17" style="180" customWidth="1"/>
    <col min="48" max="48" width="17.42578125" style="185" customWidth="1"/>
    <col min="49" max="49" width="18" style="185" customWidth="1"/>
    <col min="50" max="50" width="21.7109375" style="185" customWidth="1"/>
    <col min="51" max="51" width="18.7109375" style="185" customWidth="1"/>
    <col min="52" max="52" width="32.140625" style="180" customWidth="1"/>
    <col min="53" max="16149" width="9.140625" style="180"/>
    <col min="16150" max="16384" width="12.7109375" customWidth="1"/>
  </cols>
  <sheetData>
    <row r="1" spans="1:1023 1028:2048 2050:3071 3077:5119 5121:6139 6145:9216 9221:10240 10243:12284 12289:14335 14340:15360 15362:16384">
      <c r="A1" s="186"/>
      <c r="B1" s="187"/>
      <c r="C1" s="187"/>
      <c r="D1" s="187"/>
      <c r="E1" s="187"/>
      <c r="F1" s="187"/>
      <c r="G1" s="188"/>
      <c r="H1" s="188"/>
      <c r="I1" s="188"/>
      <c r="J1" s="188"/>
      <c r="K1" s="189"/>
      <c r="L1" s="190"/>
      <c r="M1" s="191"/>
      <c r="N1" s="191"/>
      <c r="O1" s="191"/>
      <c r="P1" s="192"/>
      <c r="Q1" s="192"/>
      <c r="R1" s="191"/>
      <c r="S1" s="189"/>
      <c r="T1" s="193" t="s">
        <v>68</v>
      </c>
      <c r="U1" s="194"/>
      <c r="V1" s="194">
        <v>0.5</v>
      </c>
      <c r="W1" s="195" t="s">
        <v>69</v>
      </c>
      <c r="X1" s="195"/>
      <c r="Y1" s="194"/>
      <c r="Z1" s="196" t="e">
        <f>#REF!</f>
        <v>#REF!</v>
      </c>
      <c r="AA1" s="194"/>
      <c r="AB1" s="194" t="s">
        <v>70</v>
      </c>
      <c r="AC1" s="194" t="e">
        <f>#REF!</f>
        <v>#REF!</v>
      </c>
      <c r="AD1" s="194" t="s">
        <v>71</v>
      </c>
      <c r="AE1" s="197" t="e">
        <f>#REF!</f>
        <v>#REF!</v>
      </c>
      <c r="AF1" s="198" t="e">
        <f>+AC1*(AE1*(30.5*24-AH1)+AH1*20)</f>
        <v>#REF!</v>
      </c>
      <c r="AG1" s="198" t="s">
        <v>72</v>
      </c>
      <c r="AH1" s="198">
        <v>5</v>
      </c>
      <c r="AI1" s="194"/>
      <c r="AJ1" s="194"/>
      <c r="AK1" s="194"/>
      <c r="AL1" s="194"/>
      <c r="AM1" s="194"/>
      <c r="AN1" s="194"/>
      <c r="AO1" s="186"/>
      <c r="AP1" s="186"/>
      <c r="AQ1" s="186"/>
      <c r="AR1" s="186"/>
      <c r="AS1" s="186"/>
      <c r="AT1" s="186"/>
      <c r="AU1" s="186"/>
      <c r="AV1" s="199"/>
      <c r="AW1" s="199"/>
      <c r="AX1" s="199"/>
      <c r="AY1" s="199"/>
      <c r="AZ1" s="186"/>
      <c r="BA1" s="186"/>
    </row>
    <row r="2" spans="1:1023 1028:2048 2050:3071 3077:5119 5121:6139 6145:9216 9221:10240 10243:12284 12289:14335 14340:15360 15362:16384" ht="12.75" customHeight="1">
      <c r="A2" s="186"/>
      <c r="B2" s="187"/>
      <c r="C2" s="187"/>
      <c r="D2" s="187"/>
      <c r="E2" s="308" t="s">
        <v>73</v>
      </c>
      <c r="F2" s="308"/>
      <c r="G2" s="309" t="s">
        <v>74</v>
      </c>
      <c r="H2" s="309"/>
      <c r="I2" s="309"/>
      <c r="J2" s="309"/>
      <c r="K2" s="309"/>
      <c r="L2" s="309"/>
      <c r="M2" s="309"/>
      <c r="N2" s="309"/>
      <c r="O2" s="309"/>
      <c r="P2" s="310" t="s">
        <v>75</v>
      </c>
      <c r="Q2" s="310"/>
      <c r="R2" s="310"/>
      <c r="S2" s="310"/>
      <c r="T2" s="310"/>
      <c r="U2" s="310"/>
      <c r="V2" s="310"/>
      <c r="W2" s="310"/>
      <c r="X2" s="310"/>
      <c r="Y2" s="310"/>
      <c r="Z2" s="310"/>
      <c r="AA2" s="310"/>
      <c r="AB2" s="311" t="s">
        <v>76</v>
      </c>
      <c r="AC2" s="311"/>
      <c r="AD2" s="311"/>
      <c r="AE2" s="311"/>
      <c r="AF2" s="311"/>
      <c r="AG2" s="312" t="s">
        <v>77</v>
      </c>
      <c r="AH2" s="312"/>
      <c r="AI2" s="312"/>
      <c r="AJ2" s="312"/>
      <c r="AK2" s="312"/>
      <c r="AL2" s="312"/>
      <c r="AM2" s="312"/>
      <c r="AN2" s="312"/>
      <c r="AO2" s="306" t="s">
        <v>78</v>
      </c>
      <c r="AP2" s="306"/>
      <c r="AQ2" s="306"/>
      <c r="AR2" s="306"/>
      <c r="AS2" s="306"/>
      <c r="AT2" s="306"/>
      <c r="AU2" s="306"/>
      <c r="AV2" s="307" t="s">
        <v>79</v>
      </c>
      <c r="AW2" s="307"/>
      <c r="AX2" s="307"/>
      <c r="AY2" s="307"/>
      <c r="AZ2" s="186"/>
      <c r="BA2" s="186"/>
    </row>
    <row r="3" spans="1:1023 1028:2048 2050:3071 3077:5119 5121:6139 6145:9216 9221:10240 10243:12284 12289:14335 14340:15360 15362:16384" s="211" customFormat="1" ht="25.5">
      <c r="A3" s="200" t="s">
        <v>80</v>
      </c>
      <c r="B3" s="201" t="s">
        <v>81</v>
      </c>
      <c r="C3" s="201" t="s">
        <v>82</v>
      </c>
      <c r="D3" s="201" t="s">
        <v>83</v>
      </c>
      <c r="E3" s="202" t="s">
        <v>84</v>
      </c>
      <c r="F3" s="202" t="s">
        <v>85</v>
      </c>
      <c r="G3" s="202" t="s">
        <v>86</v>
      </c>
      <c r="H3" s="202" t="s">
        <v>87</v>
      </c>
      <c r="I3" s="202" t="s">
        <v>88</v>
      </c>
      <c r="J3" s="203" t="s">
        <v>89</v>
      </c>
      <c r="K3" s="202" t="s">
        <v>90</v>
      </c>
      <c r="L3" s="201" t="s">
        <v>91</v>
      </c>
      <c r="M3" s="204" t="s">
        <v>92</v>
      </c>
      <c r="N3" s="202" t="s">
        <v>93</v>
      </c>
      <c r="O3" s="202" t="s">
        <v>94</v>
      </c>
      <c r="P3" s="202" t="s">
        <v>95</v>
      </c>
      <c r="Q3" s="202" t="s">
        <v>88</v>
      </c>
      <c r="R3" s="203" t="s">
        <v>96</v>
      </c>
      <c r="S3" s="203" t="s">
        <v>97</v>
      </c>
      <c r="T3" s="203" t="s">
        <v>98</v>
      </c>
      <c r="U3" s="204" t="s">
        <v>99</v>
      </c>
      <c r="V3" s="202" t="s">
        <v>100</v>
      </c>
      <c r="W3" s="203" t="s">
        <v>101</v>
      </c>
      <c r="X3" s="203" t="s">
        <v>102</v>
      </c>
      <c r="Y3" s="202" t="s">
        <v>103</v>
      </c>
      <c r="Z3" s="203" t="s">
        <v>104</v>
      </c>
      <c r="AA3" s="203" t="s">
        <v>105</v>
      </c>
      <c r="AB3" s="203" t="s">
        <v>106</v>
      </c>
      <c r="AC3" s="205" t="s">
        <v>107</v>
      </c>
      <c r="AD3" s="202" t="s">
        <v>108</v>
      </c>
      <c r="AE3" s="202" t="s">
        <v>109</v>
      </c>
      <c r="AF3" s="206" t="s">
        <v>110</v>
      </c>
      <c r="AG3" s="206" t="s">
        <v>95</v>
      </c>
      <c r="AH3" s="206" t="s">
        <v>88</v>
      </c>
      <c r="AI3" s="202" t="s">
        <v>89</v>
      </c>
      <c r="AJ3" s="201" t="s">
        <v>90</v>
      </c>
      <c r="AK3" s="202" t="s">
        <v>111</v>
      </c>
      <c r="AL3" s="202" t="s">
        <v>92</v>
      </c>
      <c r="AM3" s="202" t="s">
        <v>248</v>
      </c>
      <c r="AN3" s="202" t="s">
        <v>112</v>
      </c>
      <c r="AO3" s="202" t="s">
        <v>113</v>
      </c>
      <c r="AP3" s="202" t="s">
        <v>114</v>
      </c>
      <c r="AQ3" s="202" t="s">
        <v>115</v>
      </c>
      <c r="AR3" s="207" t="s">
        <v>77</v>
      </c>
      <c r="AS3" s="207" t="s">
        <v>116</v>
      </c>
      <c r="AT3" s="202" t="s">
        <v>117</v>
      </c>
      <c r="AU3" s="202" t="s">
        <v>118</v>
      </c>
      <c r="AV3" s="202" t="s">
        <v>119</v>
      </c>
      <c r="AW3" s="202" t="s">
        <v>120</v>
      </c>
      <c r="AX3" s="202" t="s">
        <v>121</v>
      </c>
      <c r="AY3" s="202" t="s">
        <v>122</v>
      </c>
      <c r="AZ3" s="208" t="s">
        <v>123</v>
      </c>
      <c r="BA3" s="209"/>
      <c r="BB3" s="210"/>
      <c r="BC3" s="210"/>
      <c r="BI3" s="212"/>
      <c r="BK3" s="210"/>
      <c r="BL3" s="213"/>
      <c r="BQ3" s="212"/>
      <c r="BR3" s="212"/>
      <c r="BS3" s="212"/>
      <c r="BT3" s="213"/>
      <c r="BV3" s="212"/>
      <c r="BW3" s="212"/>
      <c r="BY3" s="212"/>
      <c r="BZ3" s="212"/>
      <c r="CA3" s="212"/>
      <c r="CB3" s="214"/>
      <c r="CC3" s="215"/>
      <c r="CD3" s="215"/>
      <c r="CE3" s="216"/>
      <c r="CF3" s="216"/>
      <c r="CG3" s="216"/>
      <c r="CI3" s="210"/>
      <c r="CN3" s="215"/>
      <c r="CO3" s="215"/>
      <c r="CP3" s="215"/>
      <c r="CQ3" s="215"/>
      <c r="CR3" s="215"/>
      <c r="CS3" s="215"/>
      <c r="CT3" s="215"/>
      <c r="CU3" s="217"/>
      <c r="CV3" s="217"/>
      <c r="CY3" s="214"/>
      <c r="CZ3" s="210"/>
      <c r="DA3" s="210"/>
      <c r="DB3" s="210"/>
      <c r="DC3" s="210"/>
      <c r="DI3" s="212"/>
      <c r="DK3" s="210"/>
      <c r="DL3" s="213"/>
      <c r="DQ3" s="212"/>
      <c r="DR3" s="212"/>
      <c r="DS3" s="212"/>
      <c r="DT3" s="213"/>
      <c r="DV3" s="212"/>
      <c r="DW3" s="212"/>
      <c r="DY3" s="212"/>
      <c r="DZ3" s="212"/>
      <c r="EA3" s="212"/>
      <c r="EB3" s="214"/>
      <c r="EC3" s="215"/>
      <c r="ED3" s="215"/>
      <c r="EE3" s="216"/>
      <c r="EF3" s="216"/>
      <c r="EG3" s="216"/>
      <c r="EI3" s="210"/>
      <c r="EN3" s="215"/>
      <c r="EO3" s="215"/>
      <c r="EP3" s="215"/>
      <c r="EQ3" s="215"/>
      <c r="ER3" s="215"/>
      <c r="ES3" s="215"/>
      <c r="ET3" s="215"/>
      <c r="EU3" s="217"/>
      <c r="EV3" s="217"/>
      <c r="EY3" s="214"/>
      <c r="EZ3" s="210"/>
      <c r="FA3" s="210"/>
      <c r="FB3" s="210"/>
      <c r="FC3" s="210"/>
      <c r="FI3" s="212"/>
      <c r="FK3" s="210"/>
      <c r="FL3" s="213"/>
      <c r="FQ3" s="212"/>
      <c r="FR3" s="212"/>
      <c r="FS3" s="212"/>
      <c r="FT3" s="213"/>
      <c r="FV3" s="212"/>
      <c r="FW3" s="212"/>
      <c r="FY3" s="212"/>
      <c r="FZ3" s="212"/>
      <c r="GA3" s="212"/>
      <c r="GB3" s="214"/>
      <c r="GC3" s="215"/>
      <c r="GD3" s="215"/>
      <c r="GE3" s="216"/>
      <c r="GF3" s="216"/>
      <c r="GG3" s="216"/>
      <c r="GI3" s="210"/>
      <c r="GN3" s="215"/>
      <c r="GO3" s="215"/>
      <c r="GP3" s="215"/>
      <c r="GQ3" s="215"/>
      <c r="GR3" s="215"/>
      <c r="GS3" s="215"/>
      <c r="GT3" s="215"/>
      <c r="GU3" s="217"/>
      <c r="GV3" s="217"/>
      <c r="GY3" s="214"/>
      <c r="GZ3" s="210"/>
      <c r="HA3" s="210"/>
      <c r="HB3" s="210"/>
      <c r="HC3" s="210"/>
      <c r="HI3" s="212"/>
      <c r="HK3" s="210"/>
      <c r="HL3" s="213"/>
      <c r="HQ3" s="212"/>
      <c r="HR3" s="212"/>
      <c r="HS3" s="212"/>
      <c r="HT3" s="213"/>
      <c r="HV3" s="212"/>
      <c r="HW3" s="212"/>
      <c r="HY3" s="212"/>
      <c r="HZ3" s="212"/>
      <c r="IA3" s="212"/>
      <c r="IB3" s="214"/>
      <c r="IC3" s="215"/>
      <c r="ID3" s="215"/>
      <c r="IE3" s="216"/>
      <c r="IF3" s="216"/>
      <c r="IG3" s="216"/>
      <c r="II3" s="210"/>
      <c r="IN3" s="215"/>
      <c r="IO3" s="215"/>
      <c r="IP3" s="215"/>
      <c r="IQ3" s="215"/>
      <c r="IR3" s="215"/>
      <c r="IS3" s="215"/>
      <c r="IT3" s="215"/>
      <c r="IU3" s="217"/>
      <c r="IV3" s="217"/>
      <c r="IY3" s="214"/>
      <c r="IZ3" s="210"/>
      <c r="JA3" s="210"/>
      <c r="JB3" s="210"/>
      <c r="JC3" s="210"/>
      <c r="JI3" s="212"/>
      <c r="JK3" s="210"/>
      <c r="JL3" s="213"/>
      <c r="JQ3" s="212"/>
      <c r="JR3" s="212"/>
      <c r="JS3" s="212"/>
      <c r="JT3" s="213"/>
      <c r="JV3" s="212"/>
      <c r="JW3" s="212"/>
      <c r="JY3" s="212"/>
      <c r="JZ3" s="212"/>
      <c r="KA3" s="212"/>
      <c r="KB3" s="214"/>
      <c r="KC3" s="215"/>
      <c r="KD3" s="215"/>
      <c r="KE3" s="216"/>
      <c r="KF3" s="216"/>
      <c r="KG3" s="216"/>
      <c r="KI3" s="210"/>
      <c r="KN3" s="215"/>
      <c r="KO3" s="215"/>
      <c r="KP3" s="215"/>
      <c r="KQ3" s="215"/>
      <c r="KR3" s="215"/>
      <c r="KS3" s="215"/>
      <c r="KT3" s="215"/>
      <c r="KU3" s="217"/>
      <c r="KV3" s="217"/>
      <c r="KY3" s="214"/>
      <c r="KZ3" s="210"/>
      <c r="LA3" s="210"/>
      <c r="LB3" s="210"/>
      <c r="LC3" s="210"/>
      <c r="LI3" s="212"/>
      <c r="LK3" s="210"/>
      <c r="LL3" s="213"/>
      <c r="LQ3" s="212"/>
      <c r="LR3" s="212"/>
      <c r="LS3" s="212"/>
      <c r="LT3" s="213"/>
      <c r="LV3" s="212"/>
      <c r="LW3" s="212"/>
      <c r="LY3" s="212"/>
      <c r="LZ3" s="212"/>
      <c r="MA3" s="212"/>
      <c r="MB3" s="214"/>
      <c r="MC3" s="215"/>
      <c r="MD3" s="215"/>
      <c r="ME3" s="216"/>
      <c r="MF3" s="216"/>
      <c r="MG3" s="216"/>
      <c r="MI3" s="210"/>
      <c r="MN3" s="215"/>
      <c r="MO3" s="215"/>
      <c r="MP3" s="215"/>
      <c r="MQ3" s="215"/>
      <c r="MR3" s="215"/>
      <c r="MS3" s="215"/>
      <c r="MT3" s="215"/>
      <c r="MU3" s="217"/>
      <c r="MV3" s="217"/>
      <c r="MY3" s="214"/>
      <c r="MZ3" s="210"/>
      <c r="NA3" s="210"/>
      <c r="NB3" s="210"/>
      <c r="NC3" s="210"/>
      <c r="NI3" s="212"/>
      <c r="NK3" s="210"/>
      <c r="NL3" s="213"/>
      <c r="NQ3" s="212"/>
      <c r="NR3" s="212"/>
      <c r="NS3" s="212"/>
      <c r="NT3" s="213"/>
      <c r="NV3" s="212"/>
      <c r="NW3" s="212"/>
      <c r="NY3" s="212"/>
      <c r="NZ3" s="212"/>
      <c r="OA3" s="212"/>
      <c r="OB3" s="214"/>
      <c r="OC3" s="215"/>
      <c r="OD3" s="215"/>
      <c r="OE3" s="216"/>
      <c r="OF3" s="216"/>
      <c r="OG3" s="216"/>
      <c r="OI3" s="210"/>
      <c r="ON3" s="215"/>
      <c r="OO3" s="215"/>
      <c r="OP3" s="215"/>
      <c r="OQ3" s="215"/>
      <c r="OR3" s="215"/>
      <c r="OS3" s="215"/>
      <c r="OT3" s="215"/>
      <c r="OU3" s="217"/>
      <c r="OV3" s="217"/>
      <c r="OY3" s="214"/>
      <c r="OZ3" s="210"/>
      <c r="PA3" s="210"/>
      <c r="PB3" s="210"/>
      <c r="PC3" s="210"/>
      <c r="PI3" s="212"/>
      <c r="PK3" s="210"/>
      <c r="PL3" s="213"/>
      <c r="PQ3" s="212"/>
      <c r="PR3" s="212"/>
      <c r="PS3" s="212"/>
      <c r="PT3" s="213"/>
      <c r="PV3" s="212"/>
      <c r="PW3" s="212"/>
      <c r="PY3" s="212"/>
      <c r="PZ3" s="212"/>
      <c r="QA3" s="212"/>
      <c r="QB3" s="214"/>
      <c r="QC3" s="215"/>
      <c r="QD3" s="215"/>
      <c r="QE3" s="216"/>
      <c r="QF3" s="216"/>
      <c r="QG3" s="216"/>
      <c r="QI3" s="210"/>
      <c r="QN3" s="215"/>
      <c r="QO3" s="215"/>
      <c r="QP3" s="215"/>
      <c r="QQ3" s="215"/>
      <c r="QR3" s="215"/>
      <c r="QS3" s="215"/>
      <c r="QT3" s="215"/>
      <c r="QU3" s="217"/>
      <c r="QV3" s="217"/>
      <c r="QY3" s="214"/>
      <c r="QZ3" s="210"/>
      <c r="RA3" s="210"/>
      <c r="RB3" s="210"/>
      <c r="RC3" s="210"/>
      <c r="RI3" s="212"/>
      <c r="RK3" s="210"/>
      <c r="RL3" s="213"/>
      <c r="RQ3" s="212"/>
      <c r="RR3" s="212"/>
      <c r="RS3" s="212"/>
      <c r="RT3" s="213"/>
      <c r="RV3" s="212"/>
      <c r="RW3" s="212"/>
      <c r="RY3" s="212"/>
      <c r="RZ3" s="212"/>
      <c r="SA3" s="212"/>
      <c r="SB3" s="214"/>
      <c r="SC3" s="215"/>
      <c r="SD3" s="215"/>
      <c r="SE3" s="216"/>
      <c r="SF3" s="216"/>
      <c r="SG3" s="216"/>
      <c r="SI3" s="210"/>
      <c r="SN3" s="215"/>
      <c r="SO3" s="215"/>
      <c r="SP3" s="215"/>
      <c r="SQ3" s="215"/>
      <c r="SR3" s="215"/>
      <c r="SS3" s="215"/>
      <c r="ST3" s="215"/>
      <c r="SU3" s="217"/>
      <c r="SV3" s="217"/>
      <c r="SY3" s="214"/>
      <c r="SZ3" s="210"/>
      <c r="TA3" s="210"/>
      <c r="TB3" s="210"/>
      <c r="TC3" s="210"/>
      <c r="TI3" s="212"/>
      <c r="TK3" s="210"/>
      <c r="TL3" s="213"/>
      <c r="TQ3" s="212"/>
      <c r="TR3" s="212"/>
      <c r="TS3" s="212"/>
      <c r="TT3" s="213"/>
      <c r="TV3" s="212"/>
      <c r="TW3" s="212"/>
      <c r="TY3" s="212"/>
      <c r="TZ3" s="212"/>
      <c r="UA3" s="212"/>
      <c r="UB3" s="214"/>
      <c r="UC3" s="215"/>
      <c r="UD3" s="215"/>
      <c r="UE3" s="216"/>
      <c r="UF3" s="216"/>
      <c r="UG3" s="216"/>
      <c r="UI3" s="210"/>
      <c r="UN3" s="215"/>
      <c r="UO3" s="215"/>
      <c r="UP3" s="215"/>
      <c r="UQ3" s="215"/>
      <c r="UR3" s="215"/>
      <c r="US3" s="215"/>
      <c r="UT3" s="215"/>
      <c r="UU3" s="217"/>
      <c r="UV3" s="217"/>
      <c r="UY3" s="214"/>
      <c r="UZ3" s="210"/>
      <c r="VA3" s="210"/>
      <c r="VB3" s="210"/>
      <c r="VC3" s="210"/>
      <c r="VI3" s="212"/>
      <c r="VK3" s="210"/>
      <c r="VL3" s="213"/>
      <c r="VQ3" s="212"/>
      <c r="VR3" s="212"/>
      <c r="VS3" s="212"/>
      <c r="VT3" s="213"/>
      <c r="VV3" s="212"/>
      <c r="VW3" s="212"/>
      <c r="VY3" s="212"/>
      <c r="VZ3" s="212"/>
      <c r="WA3" s="212"/>
      <c r="WB3" s="214"/>
      <c r="WC3" s="215"/>
      <c r="WD3" s="215"/>
      <c r="WE3" s="216"/>
      <c r="WF3" s="216"/>
      <c r="WG3" s="216"/>
      <c r="WI3" s="210"/>
      <c r="WN3" s="215"/>
      <c r="WO3" s="215"/>
      <c r="WP3" s="215"/>
      <c r="WQ3" s="215"/>
      <c r="WR3" s="215"/>
      <c r="WS3" s="215"/>
      <c r="WT3" s="215"/>
      <c r="WU3" s="217"/>
      <c r="WV3" s="217"/>
      <c r="WY3" s="214"/>
      <c r="WZ3" s="210"/>
      <c r="XA3" s="210"/>
      <c r="XB3" s="210"/>
      <c r="XC3" s="210"/>
      <c r="XI3" s="212"/>
      <c r="XK3" s="210"/>
      <c r="XL3" s="213"/>
      <c r="XQ3" s="212"/>
      <c r="XR3" s="212"/>
      <c r="XS3" s="212"/>
      <c r="XT3" s="213"/>
      <c r="XV3" s="212"/>
      <c r="XW3" s="212"/>
      <c r="XY3" s="212"/>
      <c r="XZ3" s="212"/>
      <c r="YA3" s="212"/>
      <c r="YB3" s="214"/>
      <c r="YC3" s="215"/>
      <c r="YD3" s="215"/>
      <c r="YE3" s="216"/>
      <c r="YF3" s="216"/>
      <c r="YG3" s="216"/>
      <c r="YI3" s="210"/>
      <c r="YN3" s="215"/>
      <c r="YO3" s="215"/>
      <c r="YP3" s="215"/>
      <c r="YQ3" s="215"/>
      <c r="YR3" s="215"/>
      <c r="YS3" s="215"/>
      <c r="YT3" s="215"/>
      <c r="YU3" s="217"/>
      <c r="YV3" s="217"/>
      <c r="YY3" s="214"/>
      <c r="YZ3" s="210"/>
      <c r="ZA3" s="210"/>
      <c r="ZB3" s="210"/>
      <c r="ZC3" s="210"/>
      <c r="ZI3" s="212"/>
      <c r="ZK3" s="210"/>
      <c r="ZL3" s="213"/>
      <c r="ZQ3" s="212"/>
      <c r="ZR3" s="212"/>
      <c r="ZS3" s="212"/>
      <c r="ZT3" s="213"/>
      <c r="ZV3" s="212"/>
      <c r="ZW3" s="212"/>
      <c r="ZY3" s="212"/>
      <c r="ZZ3" s="212"/>
      <c r="AAA3" s="212"/>
      <c r="AAB3" s="214"/>
      <c r="AAC3" s="215"/>
      <c r="AAD3" s="215"/>
      <c r="AAE3" s="216"/>
      <c r="AAF3" s="216"/>
      <c r="AAG3" s="216"/>
      <c r="AAI3" s="210"/>
      <c r="AAN3" s="215"/>
      <c r="AAO3" s="215"/>
      <c r="AAP3" s="215"/>
      <c r="AAQ3" s="215"/>
      <c r="AAR3" s="215"/>
      <c r="AAS3" s="215"/>
      <c r="AAT3" s="215"/>
      <c r="AAU3" s="217"/>
      <c r="AAV3" s="217"/>
      <c r="AAY3" s="214"/>
      <c r="AAZ3" s="210"/>
      <c r="ABA3" s="210"/>
      <c r="ABB3" s="210"/>
      <c r="ABC3" s="210"/>
      <c r="ABI3" s="212"/>
      <c r="ABK3" s="210"/>
      <c r="ABL3" s="213"/>
      <c r="ABQ3" s="212"/>
      <c r="ABR3" s="212"/>
      <c r="ABS3" s="212"/>
      <c r="ABT3" s="213"/>
      <c r="ABV3" s="212"/>
      <c r="ABW3" s="212"/>
      <c r="ABY3" s="212"/>
      <c r="ABZ3" s="212"/>
      <c r="ACA3" s="212"/>
      <c r="ACB3" s="214"/>
      <c r="ACC3" s="215"/>
      <c r="ACD3" s="215"/>
      <c r="ACE3" s="216"/>
      <c r="ACF3" s="216"/>
      <c r="ACG3" s="216"/>
      <c r="ACI3" s="210"/>
      <c r="ACN3" s="215"/>
      <c r="ACO3" s="215"/>
      <c r="ACP3" s="215"/>
      <c r="ACQ3" s="215"/>
      <c r="ACR3" s="215"/>
      <c r="ACS3" s="215"/>
      <c r="ACT3" s="215"/>
      <c r="ACU3" s="217"/>
      <c r="ACV3" s="217"/>
      <c r="ACY3" s="214"/>
      <c r="ACZ3" s="210"/>
      <c r="ADA3" s="210"/>
      <c r="ADB3" s="210"/>
      <c r="ADC3" s="210"/>
      <c r="ADI3" s="212"/>
      <c r="ADK3" s="210"/>
      <c r="ADL3" s="213"/>
      <c r="ADQ3" s="212"/>
      <c r="ADR3" s="212"/>
      <c r="ADS3" s="212"/>
      <c r="ADT3" s="213"/>
      <c r="ADV3" s="212"/>
      <c r="ADW3" s="212"/>
      <c r="ADY3" s="212"/>
      <c r="ADZ3" s="212"/>
      <c r="AEA3" s="212"/>
      <c r="AEB3" s="214"/>
      <c r="AEC3" s="215"/>
      <c r="AED3" s="215"/>
      <c r="AEE3" s="216"/>
      <c r="AEF3" s="216"/>
      <c r="AEG3" s="216"/>
      <c r="AEI3" s="210"/>
      <c r="AEN3" s="215"/>
      <c r="AEO3" s="215"/>
      <c r="AEP3" s="215"/>
      <c r="AEQ3" s="215"/>
      <c r="AER3" s="215"/>
      <c r="AES3" s="215"/>
      <c r="AET3" s="215"/>
      <c r="AEU3" s="217"/>
      <c r="AEV3" s="217"/>
      <c r="AEY3" s="214"/>
      <c r="AEZ3" s="210"/>
      <c r="AFA3" s="210"/>
      <c r="AFB3" s="210"/>
      <c r="AFC3" s="210"/>
      <c r="AFI3" s="212"/>
      <c r="AFK3" s="210"/>
      <c r="AFL3" s="213"/>
      <c r="AFQ3" s="212"/>
      <c r="AFR3" s="212"/>
      <c r="AFS3" s="212"/>
      <c r="AFT3" s="213"/>
      <c r="AFV3" s="212"/>
      <c r="AFW3" s="212"/>
      <c r="AFY3" s="212"/>
      <c r="AFZ3" s="212"/>
      <c r="AGA3" s="212"/>
      <c r="AGB3" s="214"/>
      <c r="AGC3" s="215"/>
      <c r="AGD3" s="215"/>
      <c r="AGE3" s="216"/>
      <c r="AGF3" s="216"/>
      <c r="AGG3" s="216"/>
      <c r="AGI3" s="210"/>
      <c r="AGN3" s="215"/>
      <c r="AGO3" s="215"/>
      <c r="AGP3" s="215"/>
      <c r="AGQ3" s="215"/>
      <c r="AGR3" s="215"/>
      <c r="AGS3" s="215"/>
      <c r="AGT3" s="215"/>
      <c r="AGU3" s="217"/>
      <c r="AGV3" s="217"/>
      <c r="AGY3" s="214"/>
      <c r="AGZ3" s="210"/>
      <c r="AHA3" s="210"/>
      <c r="AHB3" s="210"/>
      <c r="AHC3" s="210"/>
      <c r="AHI3" s="212"/>
      <c r="AHK3" s="210"/>
      <c r="AHL3" s="213"/>
      <c r="AHQ3" s="212"/>
      <c r="AHR3" s="212"/>
      <c r="AHS3" s="212"/>
      <c r="AHT3" s="213"/>
      <c r="AHV3" s="212"/>
      <c r="AHW3" s="212"/>
      <c r="AHY3" s="212"/>
      <c r="AHZ3" s="212"/>
      <c r="AIA3" s="212"/>
      <c r="AIB3" s="214"/>
      <c r="AIC3" s="215"/>
      <c r="AID3" s="215"/>
      <c r="AIE3" s="216"/>
      <c r="AIF3" s="216"/>
      <c r="AIG3" s="216"/>
      <c r="AII3" s="210"/>
      <c r="AIN3" s="215"/>
      <c r="AIO3" s="215"/>
      <c r="AIP3" s="215"/>
      <c r="AIQ3" s="215"/>
      <c r="AIR3" s="215"/>
      <c r="AIS3" s="215"/>
      <c r="AIT3" s="215"/>
      <c r="AIU3" s="217"/>
      <c r="AIV3" s="217"/>
      <c r="AIY3" s="214"/>
      <c r="AIZ3" s="210"/>
      <c r="AJA3" s="210"/>
      <c r="AJB3" s="210"/>
      <c r="AJC3" s="210"/>
      <c r="AJI3" s="212"/>
      <c r="AJK3" s="210"/>
      <c r="AJL3" s="213"/>
      <c r="AJQ3" s="212"/>
      <c r="AJR3" s="212"/>
      <c r="AJS3" s="212"/>
      <c r="AJT3" s="213"/>
      <c r="AJV3" s="212"/>
      <c r="AJW3" s="212"/>
      <c r="AJY3" s="212"/>
      <c r="AJZ3" s="212"/>
      <c r="AKA3" s="212"/>
      <c r="AKB3" s="214"/>
      <c r="AKC3" s="215"/>
      <c r="AKD3" s="215"/>
      <c r="AKE3" s="216"/>
      <c r="AKF3" s="216"/>
      <c r="AKG3" s="216"/>
      <c r="AKI3" s="210"/>
      <c r="AKN3" s="215"/>
      <c r="AKO3" s="215"/>
      <c r="AKP3" s="215"/>
      <c r="AKQ3" s="215"/>
      <c r="AKR3" s="215"/>
      <c r="AKS3" s="215"/>
      <c r="AKT3" s="215"/>
      <c r="AKU3" s="217"/>
      <c r="AKV3" s="217"/>
      <c r="AKY3" s="214"/>
      <c r="AKZ3" s="210"/>
      <c r="ALA3" s="210"/>
      <c r="ALB3" s="210"/>
      <c r="ALC3" s="210"/>
      <c r="ALI3" s="212"/>
      <c r="ALK3" s="210"/>
      <c r="ALL3" s="213"/>
      <c r="ALQ3" s="212"/>
      <c r="ALR3" s="212"/>
      <c r="ALS3" s="212"/>
      <c r="ALT3" s="213"/>
      <c r="ALV3" s="212"/>
      <c r="ALW3" s="212"/>
      <c r="ALY3" s="212"/>
      <c r="ALZ3" s="212"/>
      <c r="AMA3" s="212"/>
      <c r="AMB3" s="214"/>
      <c r="AMC3" s="215"/>
      <c r="AMD3" s="215"/>
      <c r="AME3" s="216"/>
      <c r="AMF3" s="216"/>
      <c r="AMG3" s="216"/>
      <c r="AMI3" s="210"/>
      <c r="AMN3" s="215"/>
      <c r="AMO3" s="215"/>
      <c r="AMP3" s="215"/>
      <c r="AMQ3" s="215"/>
      <c r="AMR3" s="215"/>
      <c r="AMS3" s="215"/>
      <c r="AMT3" s="215"/>
      <c r="AMU3" s="217"/>
      <c r="AMV3" s="217"/>
      <c r="AMY3" s="214"/>
      <c r="AMZ3" s="210"/>
      <c r="ANA3" s="210"/>
      <c r="ANB3" s="210"/>
      <c r="ANC3" s="210"/>
      <c r="ANI3" s="212"/>
      <c r="ANK3" s="210"/>
      <c r="ANL3" s="213"/>
      <c r="ANQ3" s="212"/>
      <c r="ANR3" s="212"/>
      <c r="ANS3" s="212"/>
      <c r="ANT3" s="213"/>
      <c r="ANV3" s="212"/>
      <c r="ANW3" s="212"/>
      <c r="ANY3" s="212"/>
      <c r="ANZ3" s="212"/>
      <c r="AOA3" s="212"/>
      <c r="AOB3" s="214"/>
      <c r="AOC3" s="215"/>
      <c r="AOD3" s="215"/>
      <c r="AOE3" s="216"/>
      <c r="AOF3" s="216"/>
      <c r="AOG3" s="216"/>
      <c r="AOI3" s="210"/>
      <c r="AON3" s="215"/>
      <c r="AOO3" s="215"/>
      <c r="AOP3" s="215"/>
      <c r="AOQ3" s="215"/>
      <c r="AOR3" s="215"/>
      <c r="AOS3" s="215"/>
      <c r="AOT3" s="215"/>
      <c r="AOU3" s="217"/>
      <c r="AOV3" s="217"/>
      <c r="AOY3" s="214"/>
      <c r="AOZ3" s="210"/>
      <c r="APA3" s="210"/>
      <c r="APB3" s="210"/>
      <c r="APC3" s="210"/>
      <c r="API3" s="212"/>
      <c r="APK3" s="210"/>
      <c r="APL3" s="213"/>
      <c r="APQ3" s="212"/>
      <c r="APR3" s="212"/>
      <c r="APS3" s="212"/>
      <c r="APT3" s="213"/>
      <c r="APV3" s="212"/>
      <c r="APW3" s="212"/>
      <c r="APY3" s="212"/>
      <c r="APZ3" s="212"/>
      <c r="AQA3" s="212"/>
      <c r="AQB3" s="214"/>
      <c r="AQC3" s="215"/>
      <c r="AQD3" s="215"/>
      <c r="AQE3" s="216"/>
      <c r="AQF3" s="216"/>
      <c r="AQG3" s="216"/>
      <c r="AQI3" s="210"/>
      <c r="AQN3" s="215"/>
      <c r="AQO3" s="215"/>
      <c r="AQP3" s="215"/>
      <c r="AQQ3" s="215"/>
      <c r="AQR3" s="215"/>
      <c r="AQS3" s="215"/>
      <c r="AQT3" s="215"/>
      <c r="AQU3" s="217"/>
      <c r="AQV3" s="217"/>
      <c r="AQY3" s="214"/>
      <c r="AQZ3" s="210"/>
      <c r="ARA3" s="210"/>
      <c r="ARB3" s="210"/>
      <c r="ARC3" s="210"/>
      <c r="ARI3" s="212"/>
      <c r="ARK3" s="210"/>
      <c r="ARL3" s="213"/>
      <c r="ARQ3" s="212"/>
      <c r="ARR3" s="212"/>
      <c r="ARS3" s="212"/>
      <c r="ART3" s="213"/>
      <c r="ARV3" s="212"/>
      <c r="ARW3" s="212"/>
      <c r="ARY3" s="212"/>
      <c r="ARZ3" s="212"/>
      <c r="ASA3" s="212"/>
      <c r="ASB3" s="214"/>
      <c r="ASC3" s="215"/>
      <c r="ASD3" s="215"/>
      <c r="ASE3" s="216"/>
      <c r="ASF3" s="216"/>
      <c r="ASG3" s="216"/>
      <c r="ASI3" s="210"/>
      <c r="ASN3" s="215"/>
      <c r="ASO3" s="215"/>
      <c r="ASP3" s="215"/>
      <c r="ASQ3" s="215"/>
      <c r="ASR3" s="215"/>
      <c r="ASS3" s="215"/>
      <c r="AST3" s="215"/>
      <c r="ASU3" s="217"/>
      <c r="ASV3" s="217"/>
      <c r="ASY3" s="214"/>
      <c r="ASZ3" s="210"/>
      <c r="ATA3" s="210"/>
      <c r="ATB3" s="210"/>
      <c r="ATC3" s="210"/>
      <c r="ATI3" s="212"/>
      <c r="ATK3" s="210"/>
      <c r="ATL3" s="213"/>
      <c r="ATQ3" s="212"/>
      <c r="ATR3" s="212"/>
      <c r="ATS3" s="212"/>
      <c r="ATT3" s="213"/>
      <c r="ATV3" s="212"/>
      <c r="ATW3" s="212"/>
      <c r="ATY3" s="212"/>
      <c r="ATZ3" s="212"/>
      <c r="AUA3" s="212"/>
      <c r="AUB3" s="214"/>
      <c r="AUC3" s="215"/>
      <c r="AUD3" s="215"/>
      <c r="AUE3" s="216"/>
      <c r="AUF3" s="216"/>
      <c r="AUG3" s="216"/>
      <c r="AUI3" s="210"/>
      <c r="AUN3" s="215"/>
      <c r="AUO3" s="215"/>
      <c r="AUP3" s="215"/>
      <c r="AUQ3" s="215"/>
      <c r="AUR3" s="215"/>
      <c r="AUS3" s="215"/>
      <c r="AUT3" s="215"/>
      <c r="AUU3" s="217"/>
      <c r="AUV3" s="217"/>
      <c r="AUY3" s="214"/>
      <c r="AUZ3" s="210"/>
      <c r="AVA3" s="210"/>
      <c r="AVB3" s="210"/>
      <c r="AVC3" s="210"/>
      <c r="AVI3" s="212"/>
      <c r="AVK3" s="210"/>
      <c r="AVL3" s="213"/>
      <c r="AVQ3" s="212"/>
      <c r="AVR3" s="212"/>
      <c r="AVS3" s="212"/>
      <c r="AVT3" s="213"/>
      <c r="AVV3" s="212"/>
      <c r="AVW3" s="212"/>
      <c r="AVY3" s="212"/>
      <c r="AVZ3" s="212"/>
      <c r="AWA3" s="212"/>
      <c r="AWB3" s="214"/>
      <c r="AWC3" s="215"/>
      <c r="AWD3" s="215"/>
      <c r="AWE3" s="216"/>
      <c r="AWF3" s="216"/>
      <c r="AWG3" s="216"/>
      <c r="AWI3" s="210"/>
      <c r="AWN3" s="215"/>
      <c r="AWO3" s="215"/>
      <c r="AWP3" s="215"/>
      <c r="AWQ3" s="215"/>
      <c r="AWR3" s="215"/>
      <c r="AWS3" s="215"/>
      <c r="AWT3" s="215"/>
      <c r="AWU3" s="217"/>
      <c r="AWV3" s="217"/>
      <c r="AWY3" s="214"/>
      <c r="AWZ3" s="210"/>
      <c r="AXA3" s="210"/>
      <c r="AXB3" s="210"/>
      <c r="AXC3" s="210"/>
      <c r="AXI3" s="212"/>
      <c r="AXK3" s="210"/>
      <c r="AXL3" s="213"/>
      <c r="AXQ3" s="212"/>
      <c r="AXR3" s="212"/>
      <c r="AXS3" s="212"/>
      <c r="AXT3" s="213"/>
      <c r="AXV3" s="212"/>
      <c r="AXW3" s="212"/>
      <c r="AXY3" s="212"/>
      <c r="AXZ3" s="212"/>
      <c r="AYA3" s="212"/>
      <c r="AYB3" s="214"/>
      <c r="AYC3" s="215"/>
      <c r="AYD3" s="215"/>
      <c r="AYE3" s="216"/>
      <c r="AYF3" s="216"/>
      <c r="AYG3" s="216"/>
      <c r="AYI3" s="210"/>
      <c r="AYN3" s="215"/>
      <c r="AYO3" s="215"/>
      <c r="AYP3" s="215"/>
      <c r="AYQ3" s="215"/>
      <c r="AYR3" s="215"/>
      <c r="AYS3" s="215"/>
      <c r="AYT3" s="215"/>
      <c r="AYU3" s="217"/>
      <c r="AYV3" s="217"/>
      <c r="AYY3" s="214"/>
      <c r="AYZ3" s="210"/>
      <c r="AZA3" s="210"/>
      <c r="AZB3" s="210"/>
      <c r="AZC3" s="210"/>
      <c r="AZI3" s="212"/>
      <c r="AZK3" s="210"/>
      <c r="AZL3" s="213"/>
      <c r="AZQ3" s="212"/>
      <c r="AZR3" s="212"/>
      <c r="AZS3" s="212"/>
      <c r="AZT3" s="213"/>
      <c r="AZV3" s="212"/>
      <c r="AZW3" s="212"/>
      <c r="AZY3" s="212"/>
      <c r="AZZ3" s="212"/>
      <c r="BAA3" s="212"/>
      <c r="BAB3" s="214"/>
      <c r="BAC3" s="215"/>
      <c r="BAD3" s="215"/>
      <c r="BAE3" s="216"/>
      <c r="BAF3" s="216"/>
      <c r="BAG3" s="216"/>
      <c r="BAI3" s="210"/>
      <c r="BAN3" s="215"/>
      <c r="BAO3" s="215"/>
      <c r="BAP3" s="215"/>
      <c r="BAQ3" s="215"/>
      <c r="BAR3" s="215"/>
      <c r="BAS3" s="215"/>
      <c r="BAT3" s="215"/>
      <c r="BAU3" s="217"/>
      <c r="BAV3" s="217"/>
      <c r="BAY3" s="214"/>
      <c r="BAZ3" s="210"/>
      <c r="BBA3" s="210"/>
      <c r="BBB3" s="210"/>
      <c r="BBC3" s="210"/>
      <c r="BBI3" s="212"/>
      <c r="BBK3" s="210"/>
      <c r="BBL3" s="213"/>
      <c r="BBQ3" s="212"/>
      <c r="BBR3" s="212"/>
      <c r="BBS3" s="212"/>
      <c r="BBT3" s="213"/>
      <c r="BBV3" s="212"/>
      <c r="BBW3" s="212"/>
      <c r="BBY3" s="212"/>
      <c r="BBZ3" s="212"/>
      <c r="BCA3" s="212"/>
      <c r="BCB3" s="214"/>
      <c r="BCC3" s="215"/>
      <c r="BCD3" s="215"/>
      <c r="BCE3" s="216"/>
      <c r="BCF3" s="216"/>
      <c r="BCG3" s="216"/>
      <c r="BCI3" s="210"/>
      <c r="BCN3" s="215"/>
      <c r="BCO3" s="215"/>
      <c r="BCP3" s="215"/>
      <c r="BCQ3" s="215"/>
      <c r="BCR3" s="215"/>
      <c r="BCS3" s="215"/>
      <c r="BCT3" s="215"/>
      <c r="BCU3" s="217"/>
      <c r="BCV3" s="217"/>
      <c r="BCY3" s="214"/>
      <c r="BCZ3" s="210"/>
      <c r="BDA3" s="210"/>
      <c r="BDB3" s="210"/>
      <c r="BDC3" s="210"/>
      <c r="BDI3" s="212"/>
      <c r="BDK3" s="210"/>
      <c r="BDL3" s="213"/>
      <c r="BDQ3" s="212"/>
      <c r="BDR3" s="212"/>
      <c r="BDS3" s="212"/>
      <c r="BDT3" s="213"/>
      <c r="BDV3" s="212"/>
      <c r="BDW3" s="212"/>
      <c r="BDY3" s="212"/>
      <c r="BDZ3" s="212"/>
      <c r="BEA3" s="212"/>
      <c r="BEB3" s="214"/>
      <c r="BEC3" s="215"/>
      <c r="BED3" s="215"/>
      <c r="BEE3" s="216"/>
      <c r="BEF3" s="216"/>
      <c r="BEG3" s="216"/>
      <c r="BEI3" s="210"/>
      <c r="BEN3" s="215"/>
      <c r="BEO3" s="215"/>
      <c r="BEP3" s="215"/>
      <c r="BEQ3" s="215"/>
      <c r="BER3" s="215"/>
      <c r="BES3" s="215"/>
      <c r="BET3" s="215"/>
      <c r="BEU3" s="217"/>
      <c r="BEV3" s="217"/>
      <c r="BEY3" s="214"/>
      <c r="BEZ3" s="210"/>
      <c r="BFA3" s="210"/>
      <c r="BFB3" s="210"/>
      <c r="BFC3" s="210"/>
      <c r="BFI3" s="212"/>
      <c r="BFK3" s="210"/>
      <c r="BFL3" s="213"/>
      <c r="BFQ3" s="212"/>
      <c r="BFR3" s="212"/>
      <c r="BFS3" s="212"/>
      <c r="BFT3" s="213"/>
      <c r="BFV3" s="212"/>
      <c r="BFW3" s="212"/>
      <c r="BFY3" s="212"/>
      <c r="BFZ3" s="212"/>
      <c r="BGA3" s="212"/>
      <c r="BGB3" s="214"/>
      <c r="BGC3" s="215"/>
      <c r="BGD3" s="215"/>
      <c r="BGE3" s="216"/>
      <c r="BGF3" s="216"/>
      <c r="BGG3" s="216"/>
      <c r="BGI3" s="210"/>
      <c r="BGN3" s="215"/>
      <c r="BGO3" s="215"/>
      <c r="BGP3" s="215"/>
      <c r="BGQ3" s="215"/>
      <c r="BGR3" s="215"/>
      <c r="BGS3" s="215"/>
      <c r="BGT3" s="215"/>
      <c r="BGU3" s="217"/>
      <c r="BGV3" s="217"/>
      <c r="BGY3" s="214"/>
      <c r="BGZ3" s="210"/>
      <c r="BHA3" s="210"/>
      <c r="BHB3" s="210"/>
      <c r="BHC3" s="210"/>
      <c r="BHI3" s="212"/>
      <c r="BHK3" s="210"/>
      <c r="BHL3" s="213"/>
      <c r="BHQ3" s="212"/>
      <c r="BHR3" s="212"/>
      <c r="BHS3" s="212"/>
      <c r="BHT3" s="213"/>
      <c r="BHV3" s="212"/>
      <c r="BHW3" s="212"/>
      <c r="BHY3" s="212"/>
      <c r="BHZ3" s="212"/>
      <c r="BIA3" s="212"/>
      <c r="BIB3" s="214"/>
      <c r="BIC3" s="215"/>
      <c r="BID3" s="215"/>
      <c r="BIE3" s="216"/>
      <c r="BIF3" s="216"/>
      <c r="BIG3" s="216"/>
      <c r="BII3" s="210"/>
      <c r="BIN3" s="215"/>
      <c r="BIO3" s="215"/>
      <c r="BIP3" s="215"/>
      <c r="BIQ3" s="215"/>
      <c r="BIR3" s="215"/>
      <c r="BIS3" s="215"/>
      <c r="BIT3" s="215"/>
      <c r="BIU3" s="217"/>
      <c r="BIV3" s="217"/>
      <c r="BIY3" s="214"/>
      <c r="BIZ3" s="210"/>
      <c r="BJA3" s="210"/>
      <c r="BJB3" s="210"/>
      <c r="BJC3" s="210"/>
      <c r="BJI3" s="212"/>
      <c r="BJK3" s="210"/>
      <c r="BJL3" s="213"/>
      <c r="BJQ3" s="212"/>
      <c r="BJR3" s="212"/>
      <c r="BJS3" s="212"/>
      <c r="BJT3" s="213"/>
      <c r="BJV3" s="212"/>
      <c r="BJW3" s="212"/>
      <c r="BJY3" s="212"/>
      <c r="BJZ3" s="212"/>
      <c r="BKA3" s="212"/>
      <c r="BKB3" s="214"/>
      <c r="BKC3" s="215"/>
      <c r="BKD3" s="215"/>
      <c r="BKE3" s="216"/>
      <c r="BKF3" s="216"/>
      <c r="BKG3" s="216"/>
      <c r="BKI3" s="210"/>
      <c r="BKN3" s="215"/>
      <c r="BKO3" s="215"/>
      <c r="BKP3" s="215"/>
      <c r="BKQ3" s="215"/>
      <c r="BKR3" s="215"/>
      <c r="BKS3" s="215"/>
      <c r="BKT3" s="215"/>
      <c r="BKU3" s="217"/>
      <c r="BKV3" s="217"/>
      <c r="BKY3" s="214"/>
      <c r="BKZ3" s="210"/>
      <c r="BLA3" s="210"/>
      <c r="BLB3" s="210"/>
      <c r="BLC3" s="210"/>
      <c r="BLI3" s="212"/>
      <c r="BLK3" s="210"/>
      <c r="BLL3" s="213"/>
      <c r="BLQ3" s="212"/>
      <c r="BLR3" s="212"/>
      <c r="BLS3" s="212"/>
      <c r="BLT3" s="213"/>
      <c r="BLV3" s="212"/>
      <c r="BLW3" s="212"/>
      <c r="BLY3" s="212"/>
      <c r="BLZ3" s="212"/>
      <c r="BMA3" s="212"/>
      <c r="BMB3" s="214"/>
      <c r="BMC3" s="215"/>
      <c r="BMD3" s="215"/>
      <c r="BME3" s="216"/>
      <c r="BMF3" s="216"/>
      <c r="BMG3" s="216"/>
      <c r="BMI3" s="210"/>
      <c r="BMN3" s="215"/>
      <c r="BMO3" s="215"/>
      <c r="BMP3" s="215"/>
      <c r="BMQ3" s="215"/>
      <c r="BMR3" s="215"/>
      <c r="BMS3" s="215"/>
      <c r="BMT3" s="215"/>
      <c r="BMU3" s="217"/>
      <c r="BMV3" s="217"/>
      <c r="BMY3" s="214"/>
      <c r="BMZ3" s="210"/>
      <c r="BNA3" s="210"/>
      <c r="BNB3" s="210"/>
      <c r="BNC3" s="210"/>
      <c r="BNI3" s="212"/>
      <c r="BNK3" s="210"/>
      <c r="BNL3" s="213"/>
      <c r="BNQ3" s="212"/>
      <c r="BNR3" s="212"/>
      <c r="BNS3" s="212"/>
      <c r="BNT3" s="213"/>
      <c r="BNV3" s="212"/>
      <c r="BNW3" s="212"/>
      <c r="BNY3" s="212"/>
      <c r="BNZ3" s="212"/>
      <c r="BOA3" s="212"/>
      <c r="BOB3" s="214"/>
      <c r="BOC3" s="215"/>
      <c r="BOD3" s="215"/>
      <c r="BOE3" s="216"/>
      <c r="BOF3" s="216"/>
      <c r="BOG3" s="216"/>
      <c r="BOI3" s="210"/>
      <c r="BON3" s="215"/>
      <c r="BOO3" s="215"/>
      <c r="BOP3" s="215"/>
      <c r="BOQ3" s="215"/>
      <c r="BOR3" s="215"/>
      <c r="BOS3" s="215"/>
      <c r="BOT3" s="215"/>
      <c r="BOU3" s="217"/>
      <c r="BOV3" s="217"/>
      <c r="BOY3" s="214"/>
      <c r="BOZ3" s="210"/>
      <c r="BPA3" s="210"/>
      <c r="BPB3" s="210"/>
      <c r="BPC3" s="210"/>
      <c r="BPI3" s="212"/>
      <c r="BPK3" s="210"/>
      <c r="BPL3" s="213"/>
      <c r="BPQ3" s="212"/>
      <c r="BPR3" s="212"/>
      <c r="BPS3" s="212"/>
      <c r="BPT3" s="213"/>
      <c r="BPV3" s="212"/>
      <c r="BPW3" s="212"/>
      <c r="BPY3" s="212"/>
      <c r="BPZ3" s="212"/>
      <c r="BQA3" s="212"/>
      <c r="BQB3" s="214"/>
      <c r="BQC3" s="215"/>
      <c r="BQD3" s="215"/>
      <c r="BQE3" s="216"/>
      <c r="BQF3" s="216"/>
      <c r="BQG3" s="216"/>
      <c r="BQI3" s="210"/>
      <c r="BQN3" s="215"/>
      <c r="BQO3" s="215"/>
      <c r="BQP3" s="215"/>
      <c r="BQQ3" s="215"/>
      <c r="BQR3" s="215"/>
      <c r="BQS3" s="215"/>
      <c r="BQT3" s="215"/>
      <c r="BQU3" s="217"/>
      <c r="BQV3" s="217"/>
      <c r="BQY3" s="214"/>
      <c r="BQZ3" s="210"/>
      <c r="BRA3" s="210"/>
      <c r="BRB3" s="210"/>
      <c r="BRC3" s="210"/>
      <c r="BRI3" s="212"/>
      <c r="BRK3" s="210"/>
      <c r="BRL3" s="213"/>
      <c r="BRQ3" s="212"/>
      <c r="BRR3" s="212"/>
      <c r="BRS3" s="212"/>
      <c r="BRT3" s="213"/>
      <c r="BRV3" s="212"/>
      <c r="BRW3" s="212"/>
      <c r="BRY3" s="212"/>
      <c r="BRZ3" s="212"/>
      <c r="BSA3" s="212"/>
      <c r="BSB3" s="214"/>
      <c r="BSC3" s="215"/>
      <c r="BSD3" s="215"/>
      <c r="BSE3" s="216"/>
      <c r="BSF3" s="216"/>
      <c r="BSG3" s="216"/>
      <c r="BSI3" s="210"/>
      <c r="BSN3" s="215"/>
      <c r="BSO3" s="215"/>
      <c r="BSP3" s="215"/>
      <c r="BSQ3" s="215"/>
      <c r="BSR3" s="215"/>
      <c r="BSS3" s="215"/>
      <c r="BST3" s="215"/>
      <c r="BSU3" s="217"/>
      <c r="BSV3" s="217"/>
      <c r="BSY3" s="214"/>
      <c r="BSZ3" s="210"/>
      <c r="BTA3" s="210"/>
      <c r="BTB3" s="210"/>
      <c r="BTC3" s="210"/>
      <c r="BTI3" s="212"/>
      <c r="BTK3" s="210"/>
      <c r="BTL3" s="213"/>
      <c r="BTQ3" s="212"/>
      <c r="BTR3" s="212"/>
      <c r="BTS3" s="212"/>
      <c r="BTT3" s="213"/>
      <c r="BTV3" s="212"/>
      <c r="BTW3" s="212"/>
      <c r="BTY3" s="212"/>
      <c r="BTZ3" s="212"/>
      <c r="BUA3" s="212"/>
      <c r="BUB3" s="214"/>
      <c r="BUC3" s="215"/>
      <c r="BUD3" s="215"/>
      <c r="BUE3" s="216"/>
      <c r="BUF3" s="216"/>
      <c r="BUG3" s="216"/>
      <c r="BUI3" s="210"/>
      <c r="BUN3" s="215"/>
      <c r="BUO3" s="215"/>
      <c r="BUP3" s="215"/>
      <c r="BUQ3" s="215"/>
      <c r="BUR3" s="215"/>
      <c r="BUS3" s="215"/>
      <c r="BUT3" s="215"/>
      <c r="BUU3" s="217"/>
      <c r="BUV3" s="217"/>
      <c r="BUY3" s="214"/>
      <c r="BUZ3" s="210"/>
      <c r="BVA3" s="210"/>
      <c r="BVB3" s="210"/>
      <c r="BVC3" s="210"/>
      <c r="BVI3" s="212"/>
      <c r="BVK3" s="210"/>
      <c r="BVL3" s="213"/>
      <c r="BVQ3" s="212"/>
      <c r="BVR3" s="212"/>
      <c r="BVS3" s="212"/>
      <c r="BVT3" s="213"/>
      <c r="BVV3" s="212"/>
      <c r="BVW3" s="212"/>
      <c r="BVY3" s="212"/>
      <c r="BVZ3" s="212"/>
      <c r="BWA3" s="212"/>
      <c r="BWB3" s="214"/>
      <c r="BWC3" s="215"/>
      <c r="BWD3" s="215"/>
      <c r="BWE3" s="216"/>
      <c r="BWF3" s="216"/>
      <c r="BWG3" s="216"/>
      <c r="BWI3" s="210"/>
      <c r="BWN3" s="215"/>
      <c r="BWO3" s="215"/>
      <c r="BWP3" s="215"/>
      <c r="BWQ3" s="215"/>
      <c r="BWR3" s="215"/>
      <c r="BWS3" s="215"/>
      <c r="BWT3" s="215"/>
      <c r="BWU3" s="217"/>
      <c r="BWV3" s="217"/>
      <c r="BWY3" s="214"/>
      <c r="BWZ3" s="210"/>
      <c r="BXA3" s="210"/>
      <c r="BXB3" s="210"/>
      <c r="BXC3" s="210"/>
      <c r="BXI3" s="212"/>
      <c r="BXK3" s="210"/>
      <c r="BXL3" s="213"/>
      <c r="BXQ3" s="212"/>
      <c r="BXR3" s="212"/>
      <c r="BXS3" s="212"/>
      <c r="BXT3" s="213"/>
      <c r="BXV3" s="212"/>
      <c r="BXW3" s="212"/>
      <c r="BXY3" s="212"/>
      <c r="BXZ3" s="212"/>
      <c r="BYA3" s="212"/>
      <c r="BYB3" s="214"/>
      <c r="BYC3" s="215"/>
      <c r="BYD3" s="215"/>
      <c r="BYE3" s="216"/>
      <c r="BYF3" s="216"/>
      <c r="BYG3" s="216"/>
      <c r="BYI3" s="210"/>
      <c r="BYN3" s="215"/>
      <c r="BYO3" s="215"/>
      <c r="BYP3" s="215"/>
      <c r="BYQ3" s="215"/>
      <c r="BYR3" s="215"/>
      <c r="BYS3" s="215"/>
      <c r="BYT3" s="215"/>
      <c r="BYU3" s="217"/>
      <c r="BYV3" s="217"/>
      <c r="BYY3" s="214"/>
      <c r="BYZ3" s="210"/>
      <c r="BZA3" s="210"/>
      <c r="BZB3" s="210"/>
      <c r="BZC3" s="210"/>
      <c r="BZI3" s="212"/>
      <c r="BZK3" s="210"/>
      <c r="BZL3" s="213"/>
      <c r="BZQ3" s="212"/>
      <c r="BZR3" s="212"/>
      <c r="BZS3" s="212"/>
      <c r="BZT3" s="213"/>
      <c r="BZV3" s="212"/>
      <c r="BZW3" s="212"/>
      <c r="BZY3" s="212"/>
      <c r="BZZ3" s="212"/>
      <c r="CAA3" s="212"/>
      <c r="CAB3" s="214"/>
      <c r="CAC3" s="215"/>
      <c r="CAD3" s="215"/>
      <c r="CAE3" s="216"/>
      <c r="CAF3" s="216"/>
      <c r="CAG3" s="216"/>
      <c r="CAI3" s="210"/>
      <c r="CAN3" s="215"/>
      <c r="CAO3" s="215"/>
      <c r="CAP3" s="215"/>
      <c r="CAQ3" s="215"/>
      <c r="CAR3" s="215"/>
      <c r="CAS3" s="215"/>
      <c r="CAT3" s="215"/>
      <c r="CAU3" s="217"/>
      <c r="CAV3" s="217"/>
      <c r="CAY3" s="214"/>
      <c r="CAZ3" s="210"/>
      <c r="CBA3" s="210"/>
      <c r="CBB3" s="210"/>
      <c r="CBC3" s="210"/>
      <c r="CBI3" s="212"/>
      <c r="CBK3" s="210"/>
      <c r="CBL3" s="213"/>
      <c r="CBQ3" s="212"/>
      <c r="CBR3" s="212"/>
      <c r="CBS3" s="212"/>
      <c r="CBT3" s="213"/>
      <c r="CBV3" s="212"/>
      <c r="CBW3" s="212"/>
      <c r="CBY3" s="212"/>
      <c r="CBZ3" s="212"/>
      <c r="CCA3" s="212"/>
      <c r="CCB3" s="214"/>
      <c r="CCC3" s="215"/>
      <c r="CCD3" s="215"/>
      <c r="CCE3" s="216"/>
      <c r="CCF3" s="216"/>
      <c r="CCG3" s="216"/>
      <c r="CCI3" s="210"/>
      <c r="CCN3" s="215"/>
      <c r="CCO3" s="215"/>
      <c r="CCP3" s="215"/>
      <c r="CCQ3" s="215"/>
      <c r="CCR3" s="215"/>
      <c r="CCS3" s="215"/>
      <c r="CCT3" s="215"/>
      <c r="CCU3" s="217"/>
      <c r="CCV3" s="217"/>
      <c r="CCY3" s="214"/>
      <c r="CCZ3" s="210"/>
      <c r="CDA3" s="210"/>
      <c r="CDB3" s="210"/>
      <c r="CDC3" s="210"/>
      <c r="CDI3" s="212"/>
      <c r="CDK3" s="210"/>
      <c r="CDL3" s="213"/>
      <c r="CDQ3" s="212"/>
      <c r="CDR3" s="212"/>
      <c r="CDS3" s="212"/>
      <c r="CDT3" s="213"/>
      <c r="CDV3" s="212"/>
      <c r="CDW3" s="212"/>
      <c r="CDY3" s="212"/>
      <c r="CDZ3" s="212"/>
      <c r="CEA3" s="212"/>
      <c r="CEB3" s="214"/>
      <c r="CEC3" s="215"/>
      <c r="CED3" s="215"/>
      <c r="CEE3" s="216"/>
      <c r="CEF3" s="216"/>
      <c r="CEG3" s="216"/>
      <c r="CEI3" s="210"/>
      <c r="CEN3" s="215"/>
      <c r="CEO3" s="215"/>
      <c r="CEP3" s="215"/>
      <c r="CEQ3" s="215"/>
      <c r="CER3" s="215"/>
      <c r="CES3" s="215"/>
      <c r="CET3" s="215"/>
      <c r="CEU3" s="217"/>
      <c r="CEV3" s="217"/>
      <c r="CEY3" s="214"/>
      <c r="CEZ3" s="210"/>
      <c r="CFA3" s="210"/>
      <c r="CFB3" s="210"/>
      <c r="CFC3" s="210"/>
      <c r="CFI3" s="212"/>
      <c r="CFK3" s="210"/>
      <c r="CFL3" s="213"/>
      <c r="CFQ3" s="212"/>
      <c r="CFR3" s="212"/>
      <c r="CFS3" s="212"/>
      <c r="CFT3" s="213"/>
      <c r="CFV3" s="212"/>
      <c r="CFW3" s="212"/>
      <c r="CFY3" s="212"/>
      <c r="CFZ3" s="212"/>
      <c r="CGA3" s="212"/>
      <c r="CGB3" s="214"/>
      <c r="CGC3" s="215"/>
      <c r="CGD3" s="215"/>
      <c r="CGE3" s="216"/>
      <c r="CGF3" s="216"/>
      <c r="CGG3" s="216"/>
      <c r="CGI3" s="210"/>
      <c r="CGN3" s="215"/>
      <c r="CGO3" s="215"/>
      <c r="CGP3" s="215"/>
      <c r="CGQ3" s="215"/>
      <c r="CGR3" s="215"/>
      <c r="CGS3" s="215"/>
      <c r="CGT3" s="215"/>
      <c r="CGU3" s="217"/>
      <c r="CGV3" s="217"/>
      <c r="CGY3" s="214"/>
      <c r="CGZ3" s="210"/>
      <c r="CHA3" s="210"/>
      <c r="CHB3" s="210"/>
      <c r="CHC3" s="210"/>
      <c r="CHI3" s="212"/>
      <c r="CHK3" s="210"/>
      <c r="CHL3" s="213"/>
      <c r="CHQ3" s="212"/>
      <c r="CHR3" s="212"/>
      <c r="CHS3" s="212"/>
      <c r="CHT3" s="213"/>
      <c r="CHV3" s="212"/>
      <c r="CHW3" s="212"/>
      <c r="CHY3" s="212"/>
      <c r="CHZ3" s="212"/>
      <c r="CIA3" s="212"/>
      <c r="CIB3" s="214"/>
      <c r="CIC3" s="215"/>
      <c r="CID3" s="215"/>
      <c r="CIE3" s="216"/>
      <c r="CIF3" s="216"/>
      <c r="CIG3" s="216"/>
      <c r="CII3" s="210"/>
      <c r="CIN3" s="215"/>
      <c r="CIO3" s="215"/>
      <c r="CIP3" s="215"/>
      <c r="CIQ3" s="215"/>
      <c r="CIR3" s="215"/>
      <c r="CIS3" s="215"/>
      <c r="CIT3" s="215"/>
      <c r="CIU3" s="217"/>
      <c r="CIV3" s="217"/>
      <c r="CIY3" s="214"/>
      <c r="CIZ3" s="210"/>
      <c r="CJA3" s="210"/>
      <c r="CJB3" s="210"/>
      <c r="CJC3" s="210"/>
      <c r="CJI3" s="212"/>
      <c r="CJK3" s="210"/>
      <c r="CJL3" s="213"/>
      <c r="CJQ3" s="212"/>
      <c r="CJR3" s="212"/>
      <c r="CJS3" s="212"/>
      <c r="CJT3" s="213"/>
      <c r="CJV3" s="212"/>
      <c r="CJW3" s="212"/>
      <c r="CJY3" s="212"/>
      <c r="CJZ3" s="212"/>
      <c r="CKA3" s="212"/>
      <c r="CKB3" s="214"/>
      <c r="CKC3" s="215"/>
      <c r="CKD3" s="215"/>
      <c r="CKE3" s="216"/>
      <c r="CKF3" s="216"/>
      <c r="CKG3" s="216"/>
      <c r="CKI3" s="210"/>
      <c r="CKN3" s="215"/>
      <c r="CKO3" s="215"/>
      <c r="CKP3" s="215"/>
      <c r="CKQ3" s="215"/>
      <c r="CKR3" s="215"/>
      <c r="CKS3" s="215"/>
      <c r="CKT3" s="215"/>
      <c r="CKU3" s="217"/>
      <c r="CKV3" s="217"/>
      <c r="CKY3" s="214"/>
      <c r="CKZ3" s="210"/>
      <c r="CLA3" s="210"/>
      <c r="CLB3" s="210"/>
      <c r="CLC3" s="210"/>
      <c r="CLI3" s="212"/>
      <c r="CLK3" s="210"/>
      <c r="CLL3" s="213"/>
      <c r="CLQ3" s="212"/>
      <c r="CLR3" s="212"/>
      <c r="CLS3" s="212"/>
      <c r="CLT3" s="213"/>
      <c r="CLV3" s="212"/>
      <c r="CLW3" s="212"/>
      <c r="CLY3" s="212"/>
      <c r="CLZ3" s="212"/>
      <c r="CMA3" s="212"/>
      <c r="CMB3" s="214"/>
      <c r="CMC3" s="215"/>
      <c r="CMD3" s="215"/>
      <c r="CME3" s="216"/>
      <c r="CMF3" s="216"/>
      <c r="CMG3" s="216"/>
      <c r="CMI3" s="210"/>
      <c r="CMN3" s="215"/>
      <c r="CMO3" s="215"/>
      <c r="CMP3" s="215"/>
      <c r="CMQ3" s="215"/>
      <c r="CMR3" s="215"/>
      <c r="CMS3" s="215"/>
      <c r="CMT3" s="215"/>
      <c r="CMU3" s="217"/>
      <c r="CMV3" s="217"/>
      <c r="CMY3" s="214"/>
      <c r="CMZ3" s="210"/>
      <c r="CNA3" s="210"/>
      <c r="CNB3" s="210"/>
      <c r="CNC3" s="210"/>
      <c r="CNI3" s="212"/>
      <c r="CNK3" s="210"/>
      <c r="CNL3" s="213"/>
      <c r="CNQ3" s="212"/>
      <c r="CNR3" s="212"/>
      <c r="CNS3" s="212"/>
      <c r="CNT3" s="213"/>
      <c r="CNV3" s="212"/>
      <c r="CNW3" s="212"/>
      <c r="CNY3" s="212"/>
      <c r="CNZ3" s="212"/>
      <c r="COA3" s="212"/>
      <c r="COB3" s="214"/>
      <c r="COC3" s="215"/>
      <c r="COD3" s="215"/>
      <c r="COE3" s="216"/>
      <c r="COF3" s="216"/>
      <c r="COG3" s="216"/>
      <c r="COI3" s="210"/>
      <c r="CON3" s="215"/>
      <c r="COO3" s="215"/>
      <c r="COP3" s="215"/>
      <c r="COQ3" s="215"/>
      <c r="COR3" s="215"/>
      <c r="COS3" s="215"/>
      <c r="COT3" s="215"/>
      <c r="COU3" s="217"/>
      <c r="COV3" s="217"/>
      <c r="COY3" s="214"/>
      <c r="COZ3" s="210"/>
      <c r="CPA3" s="210"/>
      <c r="CPB3" s="210"/>
      <c r="CPC3" s="210"/>
      <c r="CPI3" s="212"/>
      <c r="CPK3" s="210"/>
      <c r="CPL3" s="213"/>
      <c r="CPQ3" s="212"/>
      <c r="CPR3" s="212"/>
      <c r="CPS3" s="212"/>
      <c r="CPT3" s="213"/>
      <c r="CPV3" s="212"/>
      <c r="CPW3" s="212"/>
      <c r="CPY3" s="212"/>
      <c r="CPZ3" s="212"/>
      <c r="CQA3" s="212"/>
      <c r="CQB3" s="214"/>
      <c r="CQC3" s="215"/>
      <c r="CQD3" s="215"/>
      <c r="CQE3" s="216"/>
      <c r="CQF3" s="216"/>
      <c r="CQG3" s="216"/>
      <c r="CQI3" s="210"/>
      <c r="CQN3" s="215"/>
      <c r="CQO3" s="215"/>
      <c r="CQP3" s="215"/>
      <c r="CQQ3" s="215"/>
      <c r="CQR3" s="215"/>
      <c r="CQS3" s="215"/>
      <c r="CQT3" s="215"/>
      <c r="CQU3" s="217"/>
      <c r="CQV3" s="217"/>
      <c r="CQY3" s="214"/>
      <c r="CQZ3" s="210"/>
      <c r="CRA3" s="210"/>
      <c r="CRB3" s="210"/>
      <c r="CRC3" s="210"/>
      <c r="CRI3" s="212"/>
      <c r="CRK3" s="210"/>
      <c r="CRL3" s="213"/>
      <c r="CRQ3" s="212"/>
      <c r="CRR3" s="212"/>
      <c r="CRS3" s="212"/>
      <c r="CRT3" s="213"/>
      <c r="CRV3" s="212"/>
      <c r="CRW3" s="212"/>
      <c r="CRY3" s="212"/>
      <c r="CRZ3" s="212"/>
      <c r="CSA3" s="212"/>
      <c r="CSB3" s="214"/>
      <c r="CSC3" s="215"/>
      <c r="CSD3" s="215"/>
      <c r="CSE3" s="216"/>
      <c r="CSF3" s="216"/>
      <c r="CSG3" s="216"/>
      <c r="CSI3" s="210"/>
      <c r="CSN3" s="215"/>
      <c r="CSO3" s="215"/>
      <c r="CSP3" s="215"/>
      <c r="CSQ3" s="215"/>
      <c r="CSR3" s="215"/>
      <c r="CSS3" s="215"/>
      <c r="CST3" s="215"/>
      <c r="CSU3" s="217"/>
      <c r="CSV3" s="217"/>
      <c r="CSY3" s="214"/>
      <c r="CSZ3" s="210"/>
      <c r="CTA3" s="210"/>
      <c r="CTB3" s="210"/>
      <c r="CTC3" s="210"/>
      <c r="CTI3" s="212"/>
      <c r="CTK3" s="210"/>
      <c r="CTL3" s="213"/>
      <c r="CTQ3" s="212"/>
      <c r="CTR3" s="212"/>
      <c r="CTS3" s="212"/>
      <c r="CTT3" s="213"/>
      <c r="CTV3" s="212"/>
      <c r="CTW3" s="212"/>
      <c r="CTY3" s="212"/>
      <c r="CTZ3" s="212"/>
      <c r="CUA3" s="212"/>
      <c r="CUB3" s="214"/>
      <c r="CUC3" s="215"/>
      <c r="CUD3" s="215"/>
      <c r="CUE3" s="216"/>
      <c r="CUF3" s="216"/>
      <c r="CUG3" s="216"/>
      <c r="CUI3" s="210"/>
      <c r="CUN3" s="215"/>
      <c r="CUO3" s="215"/>
      <c r="CUP3" s="215"/>
      <c r="CUQ3" s="215"/>
      <c r="CUR3" s="215"/>
      <c r="CUS3" s="215"/>
      <c r="CUT3" s="215"/>
      <c r="CUU3" s="217"/>
      <c r="CUV3" s="217"/>
      <c r="CUY3" s="214"/>
      <c r="CUZ3" s="210"/>
      <c r="CVA3" s="210"/>
      <c r="CVB3" s="210"/>
      <c r="CVC3" s="210"/>
      <c r="CVI3" s="212"/>
      <c r="CVK3" s="210"/>
      <c r="CVL3" s="213"/>
      <c r="CVQ3" s="212"/>
      <c r="CVR3" s="212"/>
      <c r="CVS3" s="212"/>
      <c r="CVT3" s="213"/>
      <c r="CVV3" s="212"/>
      <c r="CVW3" s="212"/>
      <c r="CVY3" s="212"/>
      <c r="CVZ3" s="212"/>
      <c r="CWA3" s="212"/>
      <c r="CWB3" s="214"/>
      <c r="CWC3" s="215"/>
      <c r="CWD3" s="215"/>
      <c r="CWE3" s="216"/>
      <c r="CWF3" s="216"/>
      <c r="CWG3" s="216"/>
      <c r="CWI3" s="210"/>
      <c r="CWN3" s="215"/>
      <c r="CWO3" s="215"/>
      <c r="CWP3" s="215"/>
      <c r="CWQ3" s="215"/>
      <c r="CWR3" s="215"/>
      <c r="CWS3" s="215"/>
      <c r="CWT3" s="215"/>
      <c r="CWU3" s="217"/>
      <c r="CWV3" s="217"/>
      <c r="CWY3" s="214"/>
      <c r="CWZ3" s="210"/>
      <c r="CXA3" s="210"/>
      <c r="CXB3" s="210"/>
      <c r="CXC3" s="210"/>
      <c r="CXI3" s="212"/>
      <c r="CXK3" s="210"/>
      <c r="CXL3" s="213"/>
      <c r="CXQ3" s="212"/>
      <c r="CXR3" s="212"/>
      <c r="CXS3" s="212"/>
      <c r="CXT3" s="213"/>
      <c r="CXV3" s="212"/>
      <c r="CXW3" s="212"/>
      <c r="CXY3" s="212"/>
      <c r="CXZ3" s="212"/>
      <c r="CYA3" s="212"/>
      <c r="CYB3" s="214"/>
      <c r="CYC3" s="215"/>
      <c r="CYD3" s="215"/>
      <c r="CYE3" s="216"/>
      <c r="CYF3" s="216"/>
      <c r="CYG3" s="216"/>
      <c r="CYI3" s="210"/>
      <c r="CYN3" s="215"/>
      <c r="CYO3" s="215"/>
      <c r="CYP3" s="215"/>
      <c r="CYQ3" s="215"/>
      <c r="CYR3" s="215"/>
      <c r="CYS3" s="215"/>
      <c r="CYT3" s="215"/>
      <c r="CYU3" s="217"/>
      <c r="CYV3" s="217"/>
      <c r="CYY3" s="214"/>
      <c r="CYZ3" s="210"/>
      <c r="CZA3" s="210"/>
      <c r="CZB3" s="210"/>
      <c r="CZC3" s="210"/>
      <c r="CZI3" s="212"/>
      <c r="CZK3" s="210"/>
      <c r="CZL3" s="213"/>
      <c r="CZQ3" s="212"/>
      <c r="CZR3" s="212"/>
      <c r="CZS3" s="212"/>
      <c r="CZT3" s="213"/>
      <c r="CZV3" s="212"/>
      <c r="CZW3" s="212"/>
      <c r="CZY3" s="212"/>
      <c r="CZZ3" s="212"/>
      <c r="DAA3" s="212"/>
      <c r="DAB3" s="214"/>
      <c r="DAC3" s="215"/>
      <c r="DAD3" s="215"/>
      <c r="DAE3" s="216"/>
      <c r="DAF3" s="216"/>
      <c r="DAG3" s="216"/>
      <c r="DAI3" s="210"/>
      <c r="DAN3" s="215"/>
      <c r="DAO3" s="215"/>
      <c r="DAP3" s="215"/>
      <c r="DAQ3" s="215"/>
      <c r="DAR3" s="215"/>
      <c r="DAS3" s="215"/>
      <c r="DAT3" s="215"/>
      <c r="DAU3" s="217"/>
      <c r="DAV3" s="217"/>
      <c r="DAY3" s="214"/>
      <c r="DAZ3" s="210"/>
      <c r="DBA3" s="210"/>
      <c r="DBB3" s="210"/>
      <c r="DBC3" s="210"/>
      <c r="DBI3" s="212"/>
      <c r="DBK3" s="210"/>
      <c r="DBL3" s="213"/>
      <c r="DBQ3" s="212"/>
      <c r="DBR3" s="212"/>
      <c r="DBS3" s="212"/>
      <c r="DBT3" s="213"/>
      <c r="DBV3" s="212"/>
      <c r="DBW3" s="212"/>
      <c r="DBY3" s="212"/>
      <c r="DBZ3" s="212"/>
      <c r="DCA3" s="212"/>
      <c r="DCB3" s="214"/>
      <c r="DCC3" s="215"/>
      <c r="DCD3" s="215"/>
      <c r="DCE3" s="216"/>
      <c r="DCF3" s="216"/>
      <c r="DCG3" s="216"/>
      <c r="DCI3" s="210"/>
      <c r="DCN3" s="215"/>
      <c r="DCO3" s="215"/>
      <c r="DCP3" s="215"/>
      <c r="DCQ3" s="215"/>
      <c r="DCR3" s="215"/>
      <c r="DCS3" s="215"/>
      <c r="DCT3" s="215"/>
      <c r="DCU3" s="217"/>
      <c r="DCV3" s="217"/>
      <c r="DCY3" s="214"/>
      <c r="DCZ3" s="210"/>
      <c r="DDA3" s="210"/>
      <c r="DDB3" s="210"/>
      <c r="DDC3" s="210"/>
      <c r="DDI3" s="212"/>
      <c r="DDK3" s="210"/>
      <c r="DDL3" s="213"/>
      <c r="DDQ3" s="212"/>
      <c r="DDR3" s="212"/>
      <c r="DDS3" s="212"/>
      <c r="DDT3" s="213"/>
      <c r="DDV3" s="212"/>
      <c r="DDW3" s="212"/>
      <c r="DDY3" s="212"/>
      <c r="DDZ3" s="212"/>
      <c r="DEA3" s="212"/>
      <c r="DEB3" s="214"/>
      <c r="DEC3" s="215"/>
      <c r="DED3" s="215"/>
      <c r="DEE3" s="216"/>
      <c r="DEF3" s="216"/>
      <c r="DEG3" s="216"/>
      <c r="DEI3" s="210"/>
      <c r="DEN3" s="215"/>
      <c r="DEO3" s="215"/>
      <c r="DEP3" s="215"/>
      <c r="DEQ3" s="215"/>
      <c r="DER3" s="215"/>
      <c r="DES3" s="215"/>
      <c r="DET3" s="215"/>
      <c r="DEU3" s="217"/>
      <c r="DEV3" s="217"/>
      <c r="DEY3" s="214"/>
      <c r="DEZ3" s="210"/>
      <c r="DFA3" s="210"/>
      <c r="DFB3" s="210"/>
      <c r="DFC3" s="210"/>
      <c r="DFI3" s="212"/>
      <c r="DFK3" s="210"/>
      <c r="DFL3" s="213"/>
      <c r="DFQ3" s="212"/>
      <c r="DFR3" s="212"/>
      <c r="DFS3" s="212"/>
      <c r="DFT3" s="213"/>
      <c r="DFV3" s="212"/>
      <c r="DFW3" s="212"/>
      <c r="DFY3" s="212"/>
      <c r="DFZ3" s="212"/>
      <c r="DGA3" s="212"/>
      <c r="DGB3" s="214"/>
      <c r="DGC3" s="215"/>
      <c r="DGD3" s="215"/>
      <c r="DGE3" s="216"/>
      <c r="DGF3" s="216"/>
      <c r="DGG3" s="216"/>
      <c r="DGI3" s="210"/>
      <c r="DGN3" s="215"/>
      <c r="DGO3" s="215"/>
      <c r="DGP3" s="215"/>
      <c r="DGQ3" s="215"/>
      <c r="DGR3" s="215"/>
      <c r="DGS3" s="215"/>
      <c r="DGT3" s="215"/>
      <c r="DGU3" s="217"/>
      <c r="DGV3" s="217"/>
      <c r="DGY3" s="214"/>
      <c r="DGZ3" s="210"/>
      <c r="DHA3" s="210"/>
      <c r="DHB3" s="210"/>
      <c r="DHC3" s="210"/>
      <c r="DHI3" s="212"/>
      <c r="DHK3" s="210"/>
      <c r="DHL3" s="213"/>
      <c r="DHQ3" s="212"/>
      <c r="DHR3" s="212"/>
      <c r="DHS3" s="212"/>
      <c r="DHT3" s="213"/>
      <c r="DHV3" s="212"/>
      <c r="DHW3" s="212"/>
      <c r="DHY3" s="212"/>
      <c r="DHZ3" s="212"/>
      <c r="DIA3" s="212"/>
      <c r="DIB3" s="214"/>
      <c r="DIC3" s="215"/>
      <c r="DID3" s="215"/>
      <c r="DIE3" s="216"/>
      <c r="DIF3" s="216"/>
      <c r="DIG3" s="216"/>
      <c r="DII3" s="210"/>
      <c r="DIN3" s="215"/>
      <c r="DIO3" s="215"/>
      <c r="DIP3" s="215"/>
      <c r="DIQ3" s="215"/>
      <c r="DIR3" s="215"/>
      <c r="DIS3" s="215"/>
      <c r="DIT3" s="215"/>
      <c r="DIU3" s="217"/>
      <c r="DIV3" s="217"/>
      <c r="DIY3" s="214"/>
      <c r="DIZ3" s="210"/>
      <c r="DJA3" s="210"/>
      <c r="DJB3" s="210"/>
      <c r="DJC3" s="210"/>
      <c r="DJI3" s="212"/>
      <c r="DJK3" s="210"/>
      <c r="DJL3" s="213"/>
      <c r="DJQ3" s="212"/>
      <c r="DJR3" s="212"/>
      <c r="DJS3" s="212"/>
      <c r="DJT3" s="213"/>
      <c r="DJV3" s="212"/>
      <c r="DJW3" s="212"/>
      <c r="DJY3" s="212"/>
      <c r="DJZ3" s="212"/>
      <c r="DKA3" s="212"/>
      <c r="DKB3" s="214"/>
      <c r="DKC3" s="215"/>
      <c r="DKD3" s="215"/>
      <c r="DKE3" s="216"/>
      <c r="DKF3" s="216"/>
      <c r="DKG3" s="216"/>
      <c r="DKI3" s="210"/>
      <c r="DKN3" s="215"/>
      <c r="DKO3" s="215"/>
      <c r="DKP3" s="215"/>
      <c r="DKQ3" s="215"/>
      <c r="DKR3" s="215"/>
      <c r="DKS3" s="215"/>
      <c r="DKT3" s="215"/>
      <c r="DKU3" s="217"/>
      <c r="DKV3" s="217"/>
      <c r="DKY3" s="214"/>
      <c r="DKZ3" s="210"/>
      <c r="DLA3" s="210"/>
      <c r="DLB3" s="210"/>
      <c r="DLC3" s="210"/>
      <c r="DLI3" s="212"/>
      <c r="DLK3" s="210"/>
      <c r="DLL3" s="213"/>
      <c r="DLQ3" s="212"/>
      <c r="DLR3" s="212"/>
      <c r="DLS3" s="212"/>
      <c r="DLT3" s="213"/>
      <c r="DLV3" s="212"/>
      <c r="DLW3" s="212"/>
      <c r="DLY3" s="212"/>
      <c r="DLZ3" s="212"/>
      <c r="DMA3" s="212"/>
      <c r="DMB3" s="214"/>
      <c r="DMC3" s="215"/>
      <c r="DMD3" s="215"/>
      <c r="DME3" s="216"/>
      <c r="DMF3" s="216"/>
      <c r="DMG3" s="216"/>
      <c r="DMI3" s="210"/>
      <c r="DMN3" s="215"/>
      <c r="DMO3" s="215"/>
      <c r="DMP3" s="215"/>
      <c r="DMQ3" s="215"/>
      <c r="DMR3" s="215"/>
      <c r="DMS3" s="215"/>
      <c r="DMT3" s="215"/>
      <c r="DMU3" s="217"/>
      <c r="DMV3" s="217"/>
      <c r="DMY3" s="214"/>
      <c r="DMZ3" s="210"/>
      <c r="DNA3" s="210"/>
      <c r="DNB3" s="210"/>
      <c r="DNC3" s="210"/>
      <c r="DNI3" s="212"/>
      <c r="DNK3" s="210"/>
      <c r="DNL3" s="213"/>
      <c r="DNQ3" s="212"/>
      <c r="DNR3" s="212"/>
      <c r="DNS3" s="212"/>
      <c r="DNT3" s="213"/>
      <c r="DNV3" s="212"/>
      <c r="DNW3" s="212"/>
      <c r="DNY3" s="212"/>
      <c r="DNZ3" s="212"/>
      <c r="DOA3" s="212"/>
      <c r="DOB3" s="214"/>
      <c r="DOC3" s="215"/>
      <c r="DOD3" s="215"/>
      <c r="DOE3" s="216"/>
      <c r="DOF3" s="216"/>
      <c r="DOG3" s="216"/>
      <c r="DOI3" s="210"/>
      <c r="DON3" s="215"/>
      <c r="DOO3" s="215"/>
      <c r="DOP3" s="215"/>
      <c r="DOQ3" s="215"/>
      <c r="DOR3" s="215"/>
      <c r="DOS3" s="215"/>
      <c r="DOT3" s="215"/>
      <c r="DOU3" s="217"/>
      <c r="DOV3" s="217"/>
      <c r="DOY3" s="214"/>
      <c r="DOZ3" s="210"/>
      <c r="DPA3" s="210"/>
      <c r="DPB3" s="210"/>
      <c r="DPC3" s="210"/>
      <c r="DPI3" s="212"/>
      <c r="DPK3" s="210"/>
      <c r="DPL3" s="213"/>
      <c r="DPQ3" s="212"/>
      <c r="DPR3" s="212"/>
      <c r="DPS3" s="212"/>
      <c r="DPT3" s="213"/>
      <c r="DPV3" s="212"/>
      <c r="DPW3" s="212"/>
      <c r="DPY3" s="212"/>
      <c r="DPZ3" s="212"/>
      <c r="DQA3" s="212"/>
      <c r="DQB3" s="214"/>
      <c r="DQC3" s="215"/>
      <c r="DQD3" s="215"/>
      <c r="DQE3" s="216"/>
      <c r="DQF3" s="216"/>
      <c r="DQG3" s="216"/>
      <c r="DQI3" s="210"/>
      <c r="DQN3" s="215"/>
      <c r="DQO3" s="215"/>
      <c r="DQP3" s="215"/>
      <c r="DQQ3" s="215"/>
      <c r="DQR3" s="215"/>
      <c r="DQS3" s="215"/>
      <c r="DQT3" s="215"/>
      <c r="DQU3" s="217"/>
      <c r="DQV3" s="217"/>
      <c r="DQY3" s="214"/>
      <c r="DQZ3" s="210"/>
      <c r="DRA3" s="210"/>
      <c r="DRB3" s="210"/>
      <c r="DRC3" s="210"/>
      <c r="DRI3" s="212"/>
      <c r="DRK3" s="210"/>
      <c r="DRL3" s="213"/>
      <c r="DRQ3" s="212"/>
      <c r="DRR3" s="212"/>
      <c r="DRS3" s="212"/>
      <c r="DRT3" s="213"/>
      <c r="DRV3" s="212"/>
      <c r="DRW3" s="212"/>
      <c r="DRY3" s="212"/>
      <c r="DRZ3" s="212"/>
      <c r="DSA3" s="212"/>
      <c r="DSB3" s="214"/>
      <c r="DSC3" s="215"/>
      <c r="DSD3" s="215"/>
      <c r="DSE3" s="216"/>
      <c r="DSF3" s="216"/>
      <c r="DSG3" s="216"/>
      <c r="DSI3" s="210"/>
      <c r="DSN3" s="215"/>
      <c r="DSO3" s="215"/>
      <c r="DSP3" s="215"/>
      <c r="DSQ3" s="215"/>
      <c r="DSR3" s="215"/>
      <c r="DSS3" s="215"/>
      <c r="DST3" s="215"/>
      <c r="DSU3" s="217"/>
      <c r="DSV3" s="217"/>
      <c r="DSY3" s="214"/>
      <c r="DSZ3" s="210"/>
      <c r="DTA3" s="210"/>
      <c r="DTB3" s="210"/>
      <c r="DTC3" s="210"/>
      <c r="DTI3" s="212"/>
      <c r="DTK3" s="210"/>
      <c r="DTL3" s="213"/>
      <c r="DTQ3" s="212"/>
      <c r="DTR3" s="212"/>
      <c r="DTS3" s="212"/>
      <c r="DTT3" s="213"/>
      <c r="DTV3" s="212"/>
      <c r="DTW3" s="212"/>
      <c r="DTY3" s="212"/>
      <c r="DTZ3" s="212"/>
      <c r="DUA3" s="212"/>
      <c r="DUB3" s="214"/>
      <c r="DUC3" s="215"/>
      <c r="DUD3" s="215"/>
      <c r="DUE3" s="216"/>
      <c r="DUF3" s="216"/>
      <c r="DUG3" s="216"/>
      <c r="DUI3" s="210"/>
      <c r="DUN3" s="215"/>
      <c r="DUO3" s="215"/>
      <c r="DUP3" s="215"/>
      <c r="DUQ3" s="215"/>
      <c r="DUR3" s="215"/>
      <c r="DUS3" s="215"/>
      <c r="DUT3" s="215"/>
      <c r="DUU3" s="217"/>
      <c r="DUV3" s="217"/>
      <c r="DUY3" s="214"/>
      <c r="DUZ3" s="210"/>
      <c r="DVA3" s="210"/>
      <c r="DVB3" s="210"/>
      <c r="DVC3" s="210"/>
      <c r="DVI3" s="212"/>
      <c r="DVK3" s="210"/>
      <c r="DVL3" s="213"/>
      <c r="DVQ3" s="212"/>
      <c r="DVR3" s="212"/>
      <c r="DVS3" s="212"/>
      <c r="DVT3" s="213"/>
      <c r="DVV3" s="212"/>
      <c r="DVW3" s="212"/>
      <c r="DVY3" s="212"/>
      <c r="DVZ3" s="212"/>
      <c r="DWA3" s="212"/>
      <c r="DWB3" s="214"/>
      <c r="DWC3" s="215"/>
      <c r="DWD3" s="215"/>
      <c r="DWE3" s="216"/>
      <c r="DWF3" s="216"/>
      <c r="DWG3" s="216"/>
      <c r="DWI3" s="210"/>
      <c r="DWN3" s="215"/>
      <c r="DWO3" s="215"/>
      <c r="DWP3" s="215"/>
      <c r="DWQ3" s="215"/>
      <c r="DWR3" s="215"/>
      <c r="DWS3" s="215"/>
      <c r="DWT3" s="215"/>
      <c r="DWU3" s="217"/>
      <c r="DWV3" s="217"/>
      <c r="DWY3" s="214"/>
      <c r="DWZ3" s="210"/>
      <c r="DXA3" s="210"/>
      <c r="DXB3" s="210"/>
      <c r="DXC3" s="210"/>
      <c r="DXI3" s="212"/>
      <c r="DXK3" s="210"/>
      <c r="DXL3" s="213"/>
      <c r="DXQ3" s="212"/>
      <c r="DXR3" s="212"/>
      <c r="DXS3" s="212"/>
      <c r="DXT3" s="213"/>
      <c r="DXV3" s="212"/>
      <c r="DXW3" s="212"/>
      <c r="DXY3" s="212"/>
      <c r="DXZ3" s="212"/>
      <c r="DYA3" s="212"/>
      <c r="DYB3" s="214"/>
      <c r="DYC3" s="215"/>
      <c r="DYD3" s="215"/>
      <c r="DYE3" s="216"/>
      <c r="DYF3" s="216"/>
      <c r="DYG3" s="216"/>
      <c r="DYI3" s="210"/>
      <c r="DYN3" s="215"/>
      <c r="DYO3" s="215"/>
      <c r="DYP3" s="215"/>
      <c r="DYQ3" s="215"/>
      <c r="DYR3" s="215"/>
      <c r="DYS3" s="215"/>
      <c r="DYT3" s="215"/>
      <c r="DYU3" s="217"/>
      <c r="DYV3" s="217"/>
      <c r="DYY3" s="214"/>
      <c r="DYZ3" s="210"/>
      <c r="DZA3" s="210"/>
      <c r="DZB3" s="210"/>
      <c r="DZC3" s="210"/>
      <c r="DZI3" s="212"/>
      <c r="DZK3" s="210"/>
      <c r="DZL3" s="213"/>
      <c r="DZQ3" s="212"/>
      <c r="DZR3" s="212"/>
      <c r="DZS3" s="212"/>
      <c r="DZT3" s="213"/>
      <c r="DZV3" s="212"/>
      <c r="DZW3" s="212"/>
      <c r="DZY3" s="212"/>
      <c r="DZZ3" s="212"/>
      <c r="EAA3" s="212"/>
      <c r="EAB3" s="214"/>
      <c r="EAC3" s="215"/>
      <c r="EAD3" s="215"/>
      <c r="EAE3" s="216"/>
      <c r="EAF3" s="216"/>
      <c r="EAG3" s="216"/>
      <c r="EAI3" s="210"/>
      <c r="EAN3" s="215"/>
      <c r="EAO3" s="215"/>
      <c r="EAP3" s="215"/>
      <c r="EAQ3" s="215"/>
      <c r="EAR3" s="215"/>
      <c r="EAS3" s="215"/>
      <c r="EAT3" s="215"/>
      <c r="EAU3" s="217"/>
      <c r="EAV3" s="217"/>
      <c r="EAY3" s="214"/>
      <c r="EAZ3" s="210"/>
      <c r="EBA3" s="210"/>
      <c r="EBB3" s="210"/>
      <c r="EBC3" s="210"/>
      <c r="EBI3" s="212"/>
      <c r="EBK3" s="210"/>
      <c r="EBL3" s="213"/>
      <c r="EBQ3" s="212"/>
      <c r="EBR3" s="212"/>
      <c r="EBS3" s="212"/>
      <c r="EBT3" s="213"/>
      <c r="EBV3" s="212"/>
      <c r="EBW3" s="212"/>
      <c r="EBY3" s="212"/>
      <c r="EBZ3" s="212"/>
      <c r="ECA3" s="212"/>
      <c r="ECB3" s="214"/>
      <c r="ECC3" s="215"/>
      <c r="ECD3" s="215"/>
      <c r="ECE3" s="216"/>
      <c r="ECF3" s="216"/>
      <c r="ECG3" s="216"/>
      <c r="ECI3" s="210"/>
      <c r="ECN3" s="215"/>
      <c r="ECO3" s="215"/>
      <c r="ECP3" s="215"/>
      <c r="ECQ3" s="215"/>
      <c r="ECR3" s="215"/>
      <c r="ECS3" s="215"/>
      <c r="ECT3" s="215"/>
      <c r="ECU3" s="217"/>
      <c r="ECV3" s="217"/>
      <c r="ECY3" s="214"/>
      <c r="ECZ3" s="210"/>
      <c r="EDA3" s="210"/>
      <c r="EDB3" s="210"/>
      <c r="EDC3" s="210"/>
      <c r="EDI3" s="212"/>
      <c r="EDK3" s="210"/>
      <c r="EDL3" s="213"/>
      <c r="EDQ3" s="212"/>
      <c r="EDR3" s="212"/>
      <c r="EDS3" s="212"/>
      <c r="EDT3" s="213"/>
      <c r="EDV3" s="212"/>
      <c r="EDW3" s="212"/>
      <c r="EDY3" s="212"/>
      <c r="EDZ3" s="212"/>
      <c r="EEA3" s="212"/>
      <c r="EEB3" s="214"/>
      <c r="EEC3" s="215"/>
      <c r="EED3" s="215"/>
      <c r="EEE3" s="216"/>
      <c r="EEF3" s="216"/>
      <c r="EEG3" s="216"/>
      <c r="EEI3" s="210"/>
      <c r="EEN3" s="215"/>
      <c r="EEO3" s="215"/>
      <c r="EEP3" s="215"/>
      <c r="EEQ3" s="215"/>
      <c r="EER3" s="215"/>
      <c r="EES3" s="215"/>
      <c r="EET3" s="215"/>
      <c r="EEU3" s="217"/>
      <c r="EEV3" s="217"/>
      <c r="EEY3" s="214"/>
      <c r="EEZ3" s="210"/>
      <c r="EFA3" s="210"/>
      <c r="EFB3" s="210"/>
      <c r="EFC3" s="210"/>
      <c r="EFI3" s="212"/>
      <c r="EFK3" s="210"/>
      <c r="EFL3" s="213"/>
      <c r="EFQ3" s="212"/>
      <c r="EFR3" s="212"/>
      <c r="EFS3" s="212"/>
      <c r="EFT3" s="213"/>
      <c r="EFV3" s="212"/>
      <c r="EFW3" s="212"/>
      <c r="EFY3" s="212"/>
      <c r="EFZ3" s="212"/>
      <c r="EGA3" s="212"/>
      <c r="EGB3" s="214"/>
      <c r="EGC3" s="215"/>
      <c r="EGD3" s="215"/>
      <c r="EGE3" s="216"/>
      <c r="EGF3" s="216"/>
      <c r="EGG3" s="216"/>
      <c r="EGI3" s="210"/>
      <c r="EGN3" s="215"/>
      <c r="EGO3" s="215"/>
      <c r="EGP3" s="215"/>
      <c r="EGQ3" s="215"/>
      <c r="EGR3" s="215"/>
      <c r="EGS3" s="215"/>
      <c r="EGT3" s="215"/>
      <c r="EGU3" s="217"/>
      <c r="EGV3" s="217"/>
      <c r="EGY3" s="214"/>
      <c r="EGZ3" s="210"/>
      <c r="EHA3" s="210"/>
      <c r="EHB3" s="210"/>
      <c r="EHC3" s="210"/>
      <c r="EHI3" s="212"/>
      <c r="EHK3" s="210"/>
      <c r="EHL3" s="213"/>
      <c r="EHQ3" s="212"/>
      <c r="EHR3" s="212"/>
      <c r="EHS3" s="212"/>
      <c r="EHT3" s="213"/>
      <c r="EHV3" s="212"/>
      <c r="EHW3" s="212"/>
      <c r="EHY3" s="212"/>
      <c r="EHZ3" s="212"/>
      <c r="EIA3" s="212"/>
      <c r="EIB3" s="214"/>
      <c r="EIC3" s="215"/>
      <c r="EID3" s="215"/>
      <c r="EIE3" s="216"/>
      <c r="EIF3" s="216"/>
      <c r="EIG3" s="216"/>
      <c r="EII3" s="210"/>
      <c r="EIN3" s="215"/>
      <c r="EIO3" s="215"/>
      <c r="EIP3" s="215"/>
      <c r="EIQ3" s="215"/>
      <c r="EIR3" s="215"/>
      <c r="EIS3" s="215"/>
      <c r="EIT3" s="215"/>
      <c r="EIU3" s="217"/>
      <c r="EIV3" s="217"/>
      <c r="EIY3" s="214"/>
      <c r="EIZ3" s="210"/>
      <c r="EJA3" s="210"/>
      <c r="EJB3" s="210"/>
      <c r="EJC3" s="210"/>
      <c r="EJI3" s="212"/>
      <c r="EJK3" s="210"/>
      <c r="EJL3" s="213"/>
      <c r="EJQ3" s="212"/>
      <c r="EJR3" s="212"/>
      <c r="EJS3" s="212"/>
      <c r="EJT3" s="213"/>
      <c r="EJV3" s="212"/>
      <c r="EJW3" s="212"/>
      <c r="EJY3" s="212"/>
      <c r="EJZ3" s="212"/>
      <c r="EKA3" s="212"/>
      <c r="EKB3" s="214"/>
      <c r="EKC3" s="215"/>
      <c r="EKD3" s="215"/>
      <c r="EKE3" s="216"/>
      <c r="EKF3" s="216"/>
      <c r="EKG3" s="216"/>
      <c r="EKI3" s="210"/>
      <c r="EKN3" s="215"/>
      <c r="EKO3" s="215"/>
      <c r="EKP3" s="215"/>
      <c r="EKQ3" s="215"/>
      <c r="EKR3" s="215"/>
      <c r="EKS3" s="215"/>
      <c r="EKT3" s="215"/>
      <c r="EKU3" s="217"/>
      <c r="EKV3" s="217"/>
      <c r="EKY3" s="214"/>
      <c r="EKZ3" s="210"/>
      <c r="ELA3" s="210"/>
      <c r="ELB3" s="210"/>
      <c r="ELC3" s="210"/>
      <c r="ELI3" s="212"/>
      <c r="ELK3" s="210"/>
      <c r="ELL3" s="213"/>
      <c r="ELQ3" s="212"/>
      <c r="ELR3" s="212"/>
      <c r="ELS3" s="212"/>
      <c r="ELT3" s="213"/>
      <c r="ELV3" s="212"/>
      <c r="ELW3" s="212"/>
      <c r="ELY3" s="212"/>
      <c r="ELZ3" s="212"/>
      <c r="EMA3" s="212"/>
      <c r="EMB3" s="214"/>
      <c r="EMC3" s="215"/>
      <c r="EMD3" s="215"/>
      <c r="EME3" s="216"/>
      <c r="EMF3" s="216"/>
      <c r="EMG3" s="216"/>
      <c r="EMI3" s="210"/>
      <c r="EMN3" s="215"/>
      <c r="EMO3" s="215"/>
      <c r="EMP3" s="215"/>
      <c r="EMQ3" s="215"/>
      <c r="EMR3" s="215"/>
      <c r="EMS3" s="215"/>
      <c r="EMT3" s="215"/>
      <c r="EMU3" s="217"/>
      <c r="EMV3" s="217"/>
      <c r="EMY3" s="214"/>
      <c r="EMZ3" s="210"/>
      <c r="ENA3" s="210"/>
      <c r="ENB3" s="210"/>
      <c r="ENC3" s="210"/>
      <c r="ENI3" s="212"/>
      <c r="ENK3" s="210"/>
      <c r="ENL3" s="213"/>
      <c r="ENQ3" s="212"/>
      <c r="ENR3" s="212"/>
      <c r="ENS3" s="212"/>
      <c r="ENT3" s="213"/>
      <c r="ENV3" s="212"/>
      <c r="ENW3" s="212"/>
      <c r="ENY3" s="212"/>
      <c r="ENZ3" s="212"/>
      <c r="EOA3" s="212"/>
      <c r="EOB3" s="214"/>
      <c r="EOC3" s="215"/>
      <c r="EOD3" s="215"/>
      <c r="EOE3" s="216"/>
      <c r="EOF3" s="216"/>
      <c r="EOG3" s="216"/>
      <c r="EOI3" s="210"/>
      <c r="EON3" s="215"/>
      <c r="EOO3" s="215"/>
      <c r="EOP3" s="215"/>
      <c r="EOQ3" s="215"/>
      <c r="EOR3" s="215"/>
      <c r="EOS3" s="215"/>
      <c r="EOT3" s="215"/>
      <c r="EOU3" s="217"/>
      <c r="EOV3" s="217"/>
      <c r="EOY3" s="214"/>
      <c r="EOZ3" s="210"/>
      <c r="EPA3" s="210"/>
      <c r="EPB3" s="210"/>
      <c r="EPC3" s="210"/>
      <c r="EPI3" s="212"/>
      <c r="EPK3" s="210"/>
      <c r="EPL3" s="213"/>
      <c r="EPQ3" s="212"/>
      <c r="EPR3" s="212"/>
      <c r="EPS3" s="212"/>
      <c r="EPT3" s="213"/>
      <c r="EPV3" s="212"/>
      <c r="EPW3" s="212"/>
      <c r="EPY3" s="212"/>
      <c r="EPZ3" s="212"/>
      <c r="EQA3" s="212"/>
      <c r="EQB3" s="214"/>
      <c r="EQC3" s="215"/>
      <c r="EQD3" s="215"/>
      <c r="EQE3" s="216"/>
      <c r="EQF3" s="216"/>
      <c r="EQG3" s="216"/>
      <c r="EQI3" s="210"/>
      <c r="EQN3" s="215"/>
      <c r="EQO3" s="215"/>
      <c r="EQP3" s="215"/>
      <c r="EQQ3" s="215"/>
      <c r="EQR3" s="215"/>
      <c r="EQS3" s="215"/>
      <c r="EQT3" s="215"/>
      <c r="EQU3" s="217"/>
      <c r="EQV3" s="217"/>
      <c r="EQY3" s="214"/>
      <c r="EQZ3" s="210"/>
      <c r="ERA3" s="210"/>
      <c r="ERB3" s="210"/>
      <c r="ERC3" s="210"/>
      <c r="ERI3" s="212"/>
      <c r="ERK3" s="210"/>
      <c r="ERL3" s="213"/>
      <c r="ERQ3" s="212"/>
      <c r="ERR3" s="212"/>
      <c r="ERS3" s="212"/>
      <c r="ERT3" s="213"/>
      <c r="ERV3" s="212"/>
      <c r="ERW3" s="212"/>
      <c r="ERY3" s="212"/>
      <c r="ERZ3" s="212"/>
      <c r="ESA3" s="212"/>
      <c r="ESB3" s="214"/>
      <c r="ESC3" s="215"/>
      <c r="ESD3" s="215"/>
      <c r="ESE3" s="216"/>
      <c r="ESF3" s="216"/>
      <c r="ESG3" s="216"/>
      <c r="ESI3" s="210"/>
      <c r="ESN3" s="215"/>
      <c r="ESO3" s="215"/>
      <c r="ESP3" s="215"/>
      <c r="ESQ3" s="215"/>
      <c r="ESR3" s="215"/>
      <c r="ESS3" s="215"/>
      <c r="EST3" s="215"/>
      <c r="ESU3" s="217"/>
      <c r="ESV3" s="217"/>
      <c r="ESY3" s="214"/>
      <c r="ESZ3" s="210"/>
      <c r="ETA3" s="210"/>
      <c r="ETB3" s="210"/>
      <c r="ETC3" s="210"/>
      <c r="ETI3" s="212"/>
      <c r="ETK3" s="210"/>
      <c r="ETL3" s="213"/>
      <c r="ETQ3" s="212"/>
      <c r="ETR3" s="212"/>
      <c r="ETS3" s="212"/>
      <c r="ETT3" s="213"/>
      <c r="ETV3" s="212"/>
      <c r="ETW3" s="212"/>
      <c r="ETY3" s="212"/>
      <c r="ETZ3" s="212"/>
      <c r="EUA3" s="212"/>
      <c r="EUB3" s="214"/>
      <c r="EUC3" s="215"/>
      <c r="EUD3" s="215"/>
      <c r="EUE3" s="216"/>
      <c r="EUF3" s="216"/>
      <c r="EUG3" s="216"/>
      <c r="EUI3" s="210"/>
      <c r="EUN3" s="215"/>
      <c r="EUO3" s="215"/>
      <c r="EUP3" s="215"/>
      <c r="EUQ3" s="215"/>
      <c r="EUR3" s="215"/>
      <c r="EUS3" s="215"/>
      <c r="EUT3" s="215"/>
      <c r="EUU3" s="217"/>
      <c r="EUV3" s="217"/>
      <c r="EUY3" s="214"/>
      <c r="EUZ3" s="210"/>
      <c r="EVA3" s="210"/>
      <c r="EVB3" s="210"/>
      <c r="EVC3" s="210"/>
      <c r="EVI3" s="212"/>
      <c r="EVK3" s="210"/>
      <c r="EVL3" s="213"/>
      <c r="EVQ3" s="212"/>
      <c r="EVR3" s="212"/>
      <c r="EVS3" s="212"/>
      <c r="EVT3" s="213"/>
      <c r="EVV3" s="212"/>
      <c r="EVW3" s="212"/>
      <c r="EVY3" s="212"/>
      <c r="EVZ3" s="212"/>
      <c r="EWA3" s="212"/>
      <c r="EWB3" s="214"/>
      <c r="EWC3" s="215"/>
      <c r="EWD3" s="215"/>
      <c r="EWE3" s="216"/>
      <c r="EWF3" s="216"/>
      <c r="EWG3" s="216"/>
      <c r="EWI3" s="210"/>
      <c r="EWN3" s="215"/>
      <c r="EWO3" s="215"/>
      <c r="EWP3" s="215"/>
      <c r="EWQ3" s="215"/>
      <c r="EWR3" s="215"/>
      <c r="EWS3" s="215"/>
      <c r="EWT3" s="215"/>
      <c r="EWU3" s="217"/>
      <c r="EWV3" s="217"/>
      <c r="EWY3" s="214"/>
      <c r="EWZ3" s="210"/>
      <c r="EXA3" s="210"/>
      <c r="EXB3" s="210"/>
      <c r="EXC3" s="210"/>
      <c r="EXI3" s="212"/>
      <c r="EXK3" s="210"/>
      <c r="EXL3" s="213"/>
      <c r="EXQ3" s="212"/>
      <c r="EXR3" s="212"/>
      <c r="EXS3" s="212"/>
      <c r="EXT3" s="213"/>
      <c r="EXV3" s="212"/>
      <c r="EXW3" s="212"/>
      <c r="EXY3" s="212"/>
      <c r="EXZ3" s="212"/>
      <c r="EYA3" s="212"/>
      <c r="EYB3" s="214"/>
      <c r="EYC3" s="215"/>
      <c r="EYD3" s="215"/>
      <c r="EYE3" s="216"/>
      <c r="EYF3" s="216"/>
      <c r="EYG3" s="216"/>
      <c r="EYI3" s="210"/>
      <c r="EYN3" s="215"/>
      <c r="EYO3" s="215"/>
      <c r="EYP3" s="215"/>
      <c r="EYQ3" s="215"/>
      <c r="EYR3" s="215"/>
      <c r="EYS3" s="215"/>
      <c r="EYT3" s="215"/>
      <c r="EYU3" s="217"/>
      <c r="EYV3" s="217"/>
      <c r="EYY3" s="214"/>
      <c r="EYZ3" s="210"/>
      <c r="EZA3" s="210"/>
      <c r="EZB3" s="210"/>
      <c r="EZC3" s="210"/>
      <c r="EZI3" s="212"/>
      <c r="EZK3" s="210"/>
      <c r="EZL3" s="213"/>
      <c r="EZQ3" s="212"/>
      <c r="EZR3" s="212"/>
      <c r="EZS3" s="212"/>
      <c r="EZT3" s="213"/>
      <c r="EZV3" s="212"/>
      <c r="EZW3" s="212"/>
      <c r="EZY3" s="212"/>
      <c r="EZZ3" s="212"/>
      <c r="FAA3" s="212"/>
      <c r="FAB3" s="214"/>
      <c r="FAC3" s="215"/>
      <c r="FAD3" s="215"/>
      <c r="FAE3" s="216"/>
      <c r="FAF3" s="216"/>
      <c r="FAG3" s="216"/>
      <c r="FAI3" s="210"/>
      <c r="FAN3" s="215"/>
      <c r="FAO3" s="215"/>
      <c r="FAP3" s="215"/>
      <c r="FAQ3" s="215"/>
      <c r="FAR3" s="215"/>
      <c r="FAS3" s="215"/>
      <c r="FAT3" s="215"/>
      <c r="FAU3" s="217"/>
      <c r="FAV3" s="217"/>
      <c r="FAY3" s="214"/>
      <c r="FAZ3" s="210"/>
      <c r="FBA3" s="210"/>
      <c r="FBB3" s="210"/>
      <c r="FBC3" s="210"/>
      <c r="FBI3" s="212"/>
      <c r="FBK3" s="210"/>
      <c r="FBL3" s="213"/>
      <c r="FBQ3" s="212"/>
      <c r="FBR3" s="212"/>
      <c r="FBS3" s="212"/>
      <c r="FBT3" s="213"/>
      <c r="FBV3" s="212"/>
      <c r="FBW3" s="212"/>
      <c r="FBY3" s="212"/>
      <c r="FBZ3" s="212"/>
      <c r="FCA3" s="212"/>
      <c r="FCB3" s="214"/>
      <c r="FCC3" s="215"/>
      <c r="FCD3" s="215"/>
      <c r="FCE3" s="216"/>
      <c r="FCF3" s="216"/>
      <c r="FCG3" s="216"/>
      <c r="FCI3" s="210"/>
      <c r="FCN3" s="215"/>
      <c r="FCO3" s="215"/>
      <c r="FCP3" s="215"/>
      <c r="FCQ3" s="215"/>
      <c r="FCR3" s="215"/>
      <c r="FCS3" s="215"/>
      <c r="FCT3" s="215"/>
      <c r="FCU3" s="217"/>
      <c r="FCV3" s="217"/>
      <c r="FCY3" s="214"/>
      <c r="FCZ3" s="210"/>
      <c r="FDA3" s="210"/>
      <c r="FDB3" s="210"/>
      <c r="FDC3" s="210"/>
      <c r="FDI3" s="212"/>
      <c r="FDK3" s="210"/>
      <c r="FDL3" s="213"/>
      <c r="FDQ3" s="212"/>
      <c r="FDR3" s="212"/>
      <c r="FDS3" s="212"/>
      <c r="FDT3" s="213"/>
      <c r="FDV3" s="212"/>
      <c r="FDW3" s="212"/>
      <c r="FDY3" s="212"/>
      <c r="FDZ3" s="212"/>
      <c r="FEA3" s="212"/>
      <c r="FEB3" s="214"/>
      <c r="FEC3" s="215"/>
      <c r="FED3" s="215"/>
      <c r="FEE3" s="216"/>
      <c r="FEF3" s="216"/>
      <c r="FEG3" s="216"/>
      <c r="FEI3" s="210"/>
      <c r="FEN3" s="215"/>
      <c r="FEO3" s="215"/>
      <c r="FEP3" s="215"/>
      <c r="FEQ3" s="215"/>
      <c r="FER3" s="215"/>
      <c r="FES3" s="215"/>
      <c r="FET3" s="215"/>
      <c r="FEU3" s="217"/>
      <c r="FEV3" s="217"/>
      <c r="FEY3" s="214"/>
      <c r="FEZ3" s="210"/>
      <c r="FFA3" s="210"/>
      <c r="FFB3" s="210"/>
      <c r="FFC3" s="210"/>
      <c r="FFI3" s="212"/>
      <c r="FFK3" s="210"/>
      <c r="FFL3" s="213"/>
      <c r="FFQ3" s="212"/>
      <c r="FFR3" s="212"/>
      <c r="FFS3" s="212"/>
      <c r="FFT3" s="213"/>
      <c r="FFV3" s="212"/>
      <c r="FFW3" s="212"/>
      <c r="FFY3" s="212"/>
      <c r="FFZ3" s="212"/>
      <c r="FGA3" s="212"/>
      <c r="FGB3" s="214"/>
      <c r="FGC3" s="215"/>
      <c r="FGD3" s="215"/>
      <c r="FGE3" s="216"/>
      <c r="FGF3" s="216"/>
      <c r="FGG3" s="216"/>
      <c r="FGI3" s="210"/>
      <c r="FGN3" s="215"/>
      <c r="FGO3" s="215"/>
      <c r="FGP3" s="215"/>
      <c r="FGQ3" s="215"/>
      <c r="FGR3" s="215"/>
      <c r="FGS3" s="215"/>
      <c r="FGT3" s="215"/>
      <c r="FGU3" s="217"/>
      <c r="FGV3" s="217"/>
      <c r="FGY3" s="214"/>
      <c r="FGZ3" s="210"/>
      <c r="FHA3" s="210"/>
      <c r="FHB3" s="210"/>
      <c r="FHC3" s="210"/>
      <c r="FHI3" s="212"/>
      <c r="FHK3" s="210"/>
      <c r="FHL3" s="213"/>
      <c r="FHQ3" s="212"/>
      <c r="FHR3" s="212"/>
      <c r="FHS3" s="212"/>
      <c r="FHT3" s="213"/>
      <c r="FHV3" s="212"/>
      <c r="FHW3" s="212"/>
      <c r="FHY3" s="212"/>
      <c r="FHZ3" s="212"/>
      <c r="FIA3" s="212"/>
      <c r="FIB3" s="214"/>
      <c r="FIC3" s="215"/>
      <c r="FID3" s="215"/>
      <c r="FIE3" s="216"/>
      <c r="FIF3" s="216"/>
      <c r="FIG3" s="216"/>
      <c r="FII3" s="210"/>
      <c r="FIN3" s="215"/>
      <c r="FIO3" s="215"/>
      <c r="FIP3" s="215"/>
      <c r="FIQ3" s="215"/>
      <c r="FIR3" s="215"/>
      <c r="FIS3" s="215"/>
      <c r="FIT3" s="215"/>
      <c r="FIU3" s="217"/>
      <c r="FIV3" s="217"/>
      <c r="FIY3" s="214"/>
      <c r="FIZ3" s="210"/>
      <c r="FJA3" s="210"/>
      <c r="FJB3" s="210"/>
      <c r="FJC3" s="210"/>
      <c r="FJI3" s="212"/>
      <c r="FJK3" s="210"/>
      <c r="FJL3" s="213"/>
      <c r="FJQ3" s="212"/>
      <c r="FJR3" s="212"/>
      <c r="FJS3" s="212"/>
      <c r="FJT3" s="213"/>
      <c r="FJV3" s="212"/>
      <c r="FJW3" s="212"/>
      <c r="FJY3" s="212"/>
      <c r="FJZ3" s="212"/>
      <c r="FKA3" s="212"/>
      <c r="FKB3" s="214"/>
      <c r="FKC3" s="215"/>
      <c r="FKD3" s="215"/>
      <c r="FKE3" s="216"/>
      <c r="FKF3" s="216"/>
      <c r="FKG3" s="216"/>
      <c r="FKI3" s="210"/>
      <c r="FKN3" s="215"/>
      <c r="FKO3" s="215"/>
      <c r="FKP3" s="215"/>
      <c r="FKQ3" s="215"/>
      <c r="FKR3" s="215"/>
      <c r="FKS3" s="215"/>
      <c r="FKT3" s="215"/>
      <c r="FKU3" s="217"/>
      <c r="FKV3" s="217"/>
      <c r="FKY3" s="214"/>
      <c r="FKZ3" s="210"/>
      <c r="FLA3" s="210"/>
      <c r="FLB3" s="210"/>
      <c r="FLC3" s="210"/>
      <c r="FLI3" s="212"/>
      <c r="FLK3" s="210"/>
      <c r="FLL3" s="213"/>
      <c r="FLQ3" s="212"/>
      <c r="FLR3" s="212"/>
      <c r="FLS3" s="212"/>
      <c r="FLT3" s="213"/>
      <c r="FLV3" s="212"/>
      <c r="FLW3" s="212"/>
      <c r="FLY3" s="212"/>
      <c r="FLZ3" s="212"/>
      <c r="FMA3" s="212"/>
      <c r="FMB3" s="214"/>
      <c r="FMC3" s="215"/>
      <c r="FMD3" s="215"/>
      <c r="FME3" s="216"/>
      <c r="FMF3" s="216"/>
      <c r="FMG3" s="216"/>
      <c r="FMI3" s="210"/>
      <c r="FMN3" s="215"/>
      <c r="FMO3" s="215"/>
      <c r="FMP3" s="215"/>
      <c r="FMQ3" s="215"/>
      <c r="FMR3" s="215"/>
      <c r="FMS3" s="215"/>
      <c r="FMT3" s="215"/>
      <c r="FMU3" s="217"/>
      <c r="FMV3" s="217"/>
      <c r="FMY3" s="214"/>
      <c r="FMZ3" s="210"/>
      <c r="FNA3" s="210"/>
      <c r="FNB3" s="210"/>
      <c r="FNC3" s="210"/>
      <c r="FNI3" s="212"/>
      <c r="FNK3" s="210"/>
      <c r="FNL3" s="213"/>
      <c r="FNQ3" s="212"/>
      <c r="FNR3" s="212"/>
      <c r="FNS3" s="212"/>
      <c r="FNT3" s="213"/>
      <c r="FNV3" s="212"/>
      <c r="FNW3" s="212"/>
      <c r="FNY3" s="212"/>
      <c r="FNZ3" s="212"/>
      <c r="FOA3" s="212"/>
      <c r="FOB3" s="214"/>
      <c r="FOC3" s="215"/>
      <c r="FOD3" s="215"/>
      <c r="FOE3" s="216"/>
      <c r="FOF3" s="216"/>
      <c r="FOG3" s="216"/>
      <c r="FOI3" s="210"/>
      <c r="FON3" s="215"/>
      <c r="FOO3" s="215"/>
      <c r="FOP3" s="215"/>
      <c r="FOQ3" s="215"/>
      <c r="FOR3" s="215"/>
      <c r="FOS3" s="215"/>
      <c r="FOT3" s="215"/>
      <c r="FOU3" s="217"/>
      <c r="FOV3" s="217"/>
      <c r="FOY3" s="214"/>
      <c r="FOZ3" s="210"/>
      <c r="FPA3" s="210"/>
      <c r="FPB3" s="210"/>
      <c r="FPC3" s="210"/>
      <c r="FPI3" s="212"/>
      <c r="FPK3" s="210"/>
      <c r="FPL3" s="213"/>
      <c r="FPQ3" s="212"/>
      <c r="FPR3" s="212"/>
      <c r="FPS3" s="212"/>
      <c r="FPT3" s="213"/>
      <c r="FPV3" s="212"/>
      <c r="FPW3" s="212"/>
      <c r="FPY3" s="212"/>
      <c r="FPZ3" s="212"/>
      <c r="FQA3" s="212"/>
      <c r="FQB3" s="214"/>
      <c r="FQC3" s="215"/>
      <c r="FQD3" s="215"/>
      <c r="FQE3" s="216"/>
      <c r="FQF3" s="216"/>
      <c r="FQG3" s="216"/>
      <c r="FQI3" s="210"/>
      <c r="FQN3" s="215"/>
      <c r="FQO3" s="215"/>
      <c r="FQP3" s="215"/>
      <c r="FQQ3" s="215"/>
      <c r="FQR3" s="215"/>
      <c r="FQS3" s="215"/>
      <c r="FQT3" s="215"/>
      <c r="FQU3" s="217"/>
      <c r="FQV3" s="217"/>
      <c r="FQY3" s="214"/>
      <c r="FQZ3" s="210"/>
      <c r="FRA3" s="210"/>
      <c r="FRB3" s="210"/>
      <c r="FRC3" s="210"/>
      <c r="FRI3" s="212"/>
      <c r="FRK3" s="210"/>
      <c r="FRL3" s="213"/>
      <c r="FRQ3" s="212"/>
      <c r="FRR3" s="212"/>
      <c r="FRS3" s="212"/>
      <c r="FRT3" s="213"/>
      <c r="FRV3" s="212"/>
      <c r="FRW3" s="212"/>
      <c r="FRY3" s="212"/>
      <c r="FRZ3" s="212"/>
      <c r="FSA3" s="212"/>
      <c r="FSB3" s="214"/>
      <c r="FSC3" s="215"/>
      <c r="FSD3" s="215"/>
      <c r="FSE3" s="216"/>
      <c r="FSF3" s="216"/>
      <c r="FSG3" s="216"/>
      <c r="FSI3" s="210"/>
      <c r="FSN3" s="215"/>
      <c r="FSO3" s="215"/>
      <c r="FSP3" s="215"/>
      <c r="FSQ3" s="215"/>
      <c r="FSR3" s="215"/>
      <c r="FSS3" s="215"/>
      <c r="FST3" s="215"/>
      <c r="FSU3" s="217"/>
      <c r="FSV3" s="217"/>
      <c r="FSY3" s="214"/>
      <c r="FSZ3" s="210"/>
      <c r="FTA3" s="210"/>
      <c r="FTB3" s="210"/>
      <c r="FTC3" s="210"/>
      <c r="FTI3" s="212"/>
      <c r="FTK3" s="210"/>
      <c r="FTL3" s="213"/>
      <c r="FTQ3" s="212"/>
      <c r="FTR3" s="212"/>
      <c r="FTS3" s="212"/>
      <c r="FTT3" s="213"/>
      <c r="FTV3" s="212"/>
      <c r="FTW3" s="212"/>
      <c r="FTY3" s="212"/>
      <c r="FTZ3" s="212"/>
      <c r="FUA3" s="212"/>
      <c r="FUB3" s="214"/>
      <c r="FUC3" s="215"/>
      <c r="FUD3" s="215"/>
      <c r="FUE3" s="216"/>
      <c r="FUF3" s="216"/>
      <c r="FUG3" s="216"/>
      <c r="FUI3" s="210"/>
      <c r="FUN3" s="215"/>
      <c r="FUO3" s="215"/>
      <c r="FUP3" s="215"/>
      <c r="FUQ3" s="215"/>
      <c r="FUR3" s="215"/>
      <c r="FUS3" s="215"/>
      <c r="FUT3" s="215"/>
      <c r="FUU3" s="217"/>
      <c r="FUV3" s="217"/>
      <c r="FUY3" s="214"/>
      <c r="FUZ3" s="210"/>
      <c r="FVA3" s="210"/>
      <c r="FVB3" s="210"/>
      <c r="FVC3" s="210"/>
      <c r="FVI3" s="212"/>
      <c r="FVK3" s="210"/>
      <c r="FVL3" s="213"/>
      <c r="FVQ3" s="212"/>
      <c r="FVR3" s="212"/>
      <c r="FVS3" s="212"/>
      <c r="FVT3" s="213"/>
      <c r="FVV3" s="212"/>
      <c r="FVW3" s="212"/>
      <c r="FVY3" s="212"/>
      <c r="FVZ3" s="212"/>
      <c r="FWA3" s="212"/>
      <c r="FWB3" s="214"/>
      <c r="FWC3" s="215"/>
      <c r="FWD3" s="215"/>
      <c r="FWE3" s="216"/>
      <c r="FWF3" s="216"/>
      <c r="FWG3" s="216"/>
      <c r="FWI3" s="210"/>
      <c r="FWN3" s="215"/>
      <c r="FWO3" s="215"/>
      <c r="FWP3" s="215"/>
      <c r="FWQ3" s="215"/>
      <c r="FWR3" s="215"/>
      <c r="FWS3" s="215"/>
      <c r="FWT3" s="215"/>
      <c r="FWU3" s="217"/>
      <c r="FWV3" s="217"/>
      <c r="FWY3" s="214"/>
      <c r="FWZ3" s="210"/>
      <c r="FXA3" s="210"/>
      <c r="FXB3" s="210"/>
      <c r="FXC3" s="210"/>
      <c r="FXI3" s="212"/>
      <c r="FXK3" s="210"/>
      <c r="FXL3" s="213"/>
      <c r="FXQ3" s="212"/>
      <c r="FXR3" s="212"/>
      <c r="FXS3" s="212"/>
      <c r="FXT3" s="213"/>
      <c r="FXV3" s="212"/>
      <c r="FXW3" s="212"/>
      <c r="FXY3" s="212"/>
      <c r="FXZ3" s="212"/>
      <c r="FYA3" s="212"/>
      <c r="FYB3" s="214"/>
      <c r="FYC3" s="215"/>
      <c r="FYD3" s="215"/>
      <c r="FYE3" s="216"/>
      <c r="FYF3" s="216"/>
      <c r="FYG3" s="216"/>
      <c r="FYI3" s="210"/>
      <c r="FYN3" s="215"/>
      <c r="FYO3" s="215"/>
      <c r="FYP3" s="215"/>
      <c r="FYQ3" s="215"/>
      <c r="FYR3" s="215"/>
      <c r="FYS3" s="215"/>
      <c r="FYT3" s="215"/>
      <c r="FYU3" s="217"/>
      <c r="FYV3" s="217"/>
      <c r="FYY3" s="214"/>
      <c r="FYZ3" s="210"/>
      <c r="FZA3" s="210"/>
      <c r="FZB3" s="210"/>
      <c r="FZC3" s="210"/>
      <c r="FZI3" s="212"/>
      <c r="FZK3" s="210"/>
      <c r="FZL3" s="213"/>
      <c r="FZQ3" s="212"/>
      <c r="FZR3" s="212"/>
      <c r="FZS3" s="212"/>
      <c r="FZT3" s="213"/>
      <c r="FZV3" s="212"/>
      <c r="FZW3" s="212"/>
      <c r="FZY3" s="212"/>
      <c r="FZZ3" s="212"/>
      <c r="GAA3" s="212"/>
      <c r="GAB3" s="214"/>
      <c r="GAC3" s="215"/>
      <c r="GAD3" s="215"/>
      <c r="GAE3" s="216"/>
      <c r="GAF3" s="216"/>
      <c r="GAG3" s="216"/>
      <c r="GAI3" s="210"/>
      <c r="GAN3" s="215"/>
      <c r="GAO3" s="215"/>
      <c r="GAP3" s="215"/>
      <c r="GAQ3" s="215"/>
      <c r="GAR3" s="215"/>
      <c r="GAS3" s="215"/>
      <c r="GAT3" s="215"/>
      <c r="GAU3" s="217"/>
      <c r="GAV3" s="217"/>
      <c r="GAY3" s="214"/>
      <c r="GAZ3" s="210"/>
      <c r="GBA3" s="210"/>
      <c r="GBB3" s="210"/>
      <c r="GBC3" s="210"/>
      <c r="GBI3" s="212"/>
      <c r="GBK3" s="210"/>
      <c r="GBL3" s="213"/>
      <c r="GBQ3" s="212"/>
      <c r="GBR3" s="212"/>
      <c r="GBS3" s="212"/>
      <c r="GBT3" s="213"/>
      <c r="GBV3" s="212"/>
      <c r="GBW3" s="212"/>
      <c r="GBY3" s="212"/>
      <c r="GBZ3" s="212"/>
      <c r="GCA3" s="212"/>
      <c r="GCB3" s="214"/>
      <c r="GCC3" s="215"/>
      <c r="GCD3" s="215"/>
      <c r="GCE3" s="216"/>
      <c r="GCF3" s="216"/>
      <c r="GCG3" s="216"/>
      <c r="GCI3" s="210"/>
      <c r="GCN3" s="215"/>
      <c r="GCO3" s="215"/>
      <c r="GCP3" s="215"/>
      <c r="GCQ3" s="215"/>
      <c r="GCR3" s="215"/>
      <c r="GCS3" s="215"/>
      <c r="GCT3" s="215"/>
      <c r="GCU3" s="217"/>
      <c r="GCV3" s="217"/>
      <c r="GCY3" s="214"/>
      <c r="GCZ3" s="210"/>
      <c r="GDA3" s="210"/>
      <c r="GDB3" s="210"/>
      <c r="GDC3" s="210"/>
      <c r="GDI3" s="212"/>
      <c r="GDK3" s="210"/>
      <c r="GDL3" s="213"/>
      <c r="GDQ3" s="212"/>
      <c r="GDR3" s="212"/>
      <c r="GDS3" s="212"/>
      <c r="GDT3" s="213"/>
      <c r="GDV3" s="212"/>
      <c r="GDW3" s="212"/>
      <c r="GDY3" s="212"/>
      <c r="GDZ3" s="212"/>
      <c r="GEA3" s="212"/>
      <c r="GEB3" s="214"/>
      <c r="GEC3" s="215"/>
      <c r="GED3" s="215"/>
      <c r="GEE3" s="216"/>
      <c r="GEF3" s="216"/>
      <c r="GEG3" s="216"/>
      <c r="GEI3" s="210"/>
      <c r="GEN3" s="215"/>
      <c r="GEO3" s="215"/>
      <c r="GEP3" s="215"/>
      <c r="GEQ3" s="215"/>
      <c r="GER3" s="215"/>
      <c r="GES3" s="215"/>
      <c r="GET3" s="215"/>
      <c r="GEU3" s="217"/>
      <c r="GEV3" s="217"/>
      <c r="GEY3" s="214"/>
      <c r="GEZ3" s="210"/>
      <c r="GFA3" s="210"/>
      <c r="GFB3" s="210"/>
      <c r="GFC3" s="210"/>
      <c r="GFI3" s="212"/>
      <c r="GFK3" s="210"/>
      <c r="GFL3" s="213"/>
      <c r="GFQ3" s="212"/>
      <c r="GFR3" s="212"/>
      <c r="GFS3" s="212"/>
      <c r="GFT3" s="213"/>
      <c r="GFV3" s="212"/>
      <c r="GFW3" s="212"/>
      <c r="GFY3" s="212"/>
      <c r="GFZ3" s="212"/>
      <c r="GGA3" s="212"/>
      <c r="GGB3" s="214"/>
      <c r="GGC3" s="215"/>
      <c r="GGD3" s="215"/>
      <c r="GGE3" s="216"/>
      <c r="GGF3" s="216"/>
      <c r="GGG3" s="216"/>
      <c r="GGI3" s="210"/>
      <c r="GGN3" s="215"/>
      <c r="GGO3" s="215"/>
      <c r="GGP3" s="215"/>
      <c r="GGQ3" s="215"/>
      <c r="GGR3" s="215"/>
      <c r="GGS3" s="215"/>
      <c r="GGT3" s="215"/>
      <c r="GGU3" s="217"/>
      <c r="GGV3" s="217"/>
      <c r="GGY3" s="214"/>
      <c r="GGZ3" s="210"/>
      <c r="GHA3" s="210"/>
      <c r="GHB3" s="210"/>
      <c r="GHC3" s="210"/>
      <c r="GHI3" s="212"/>
      <c r="GHK3" s="210"/>
      <c r="GHL3" s="213"/>
      <c r="GHQ3" s="212"/>
      <c r="GHR3" s="212"/>
      <c r="GHS3" s="212"/>
      <c r="GHT3" s="213"/>
      <c r="GHV3" s="212"/>
      <c r="GHW3" s="212"/>
      <c r="GHY3" s="212"/>
      <c r="GHZ3" s="212"/>
      <c r="GIA3" s="212"/>
      <c r="GIB3" s="214"/>
      <c r="GIC3" s="215"/>
      <c r="GID3" s="215"/>
      <c r="GIE3" s="216"/>
      <c r="GIF3" s="216"/>
      <c r="GIG3" s="216"/>
      <c r="GII3" s="210"/>
      <c r="GIN3" s="215"/>
      <c r="GIO3" s="215"/>
      <c r="GIP3" s="215"/>
      <c r="GIQ3" s="215"/>
      <c r="GIR3" s="215"/>
      <c r="GIS3" s="215"/>
      <c r="GIT3" s="215"/>
      <c r="GIU3" s="217"/>
      <c r="GIV3" s="217"/>
      <c r="GIY3" s="214"/>
      <c r="GIZ3" s="210"/>
      <c r="GJA3" s="210"/>
      <c r="GJB3" s="210"/>
      <c r="GJC3" s="210"/>
      <c r="GJI3" s="212"/>
      <c r="GJK3" s="210"/>
      <c r="GJL3" s="213"/>
      <c r="GJQ3" s="212"/>
      <c r="GJR3" s="212"/>
      <c r="GJS3" s="212"/>
      <c r="GJT3" s="213"/>
      <c r="GJV3" s="212"/>
      <c r="GJW3" s="212"/>
      <c r="GJY3" s="212"/>
      <c r="GJZ3" s="212"/>
      <c r="GKA3" s="212"/>
      <c r="GKB3" s="214"/>
      <c r="GKC3" s="215"/>
      <c r="GKD3" s="215"/>
      <c r="GKE3" s="216"/>
      <c r="GKF3" s="216"/>
      <c r="GKG3" s="216"/>
      <c r="GKI3" s="210"/>
      <c r="GKN3" s="215"/>
      <c r="GKO3" s="215"/>
      <c r="GKP3" s="215"/>
      <c r="GKQ3" s="215"/>
      <c r="GKR3" s="215"/>
      <c r="GKS3" s="215"/>
      <c r="GKT3" s="215"/>
      <c r="GKU3" s="217"/>
      <c r="GKV3" s="217"/>
      <c r="GKY3" s="214"/>
      <c r="GKZ3" s="210"/>
      <c r="GLA3" s="210"/>
      <c r="GLB3" s="210"/>
      <c r="GLC3" s="210"/>
      <c r="GLI3" s="212"/>
      <c r="GLK3" s="210"/>
      <c r="GLL3" s="213"/>
      <c r="GLQ3" s="212"/>
      <c r="GLR3" s="212"/>
      <c r="GLS3" s="212"/>
      <c r="GLT3" s="213"/>
      <c r="GLV3" s="212"/>
      <c r="GLW3" s="212"/>
      <c r="GLY3" s="212"/>
      <c r="GLZ3" s="212"/>
      <c r="GMA3" s="212"/>
      <c r="GMB3" s="214"/>
      <c r="GMC3" s="215"/>
      <c r="GMD3" s="215"/>
      <c r="GME3" s="216"/>
      <c r="GMF3" s="216"/>
      <c r="GMG3" s="216"/>
      <c r="GMI3" s="210"/>
      <c r="GMN3" s="215"/>
      <c r="GMO3" s="215"/>
      <c r="GMP3" s="215"/>
      <c r="GMQ3" s="215"/>
      <c r="GMR3" s="215"/>
      <c r="GMS3" s="215"/>
      <c r="GMT3" s="215"/>
      <c r="GMU3" s="217"/>
      <c r="GMV3" s="217"/>
      <c r="GMY3" s="214"/>
      <c r="GMZ3" s="210"/>
      <c r="GNA3" s="210"/>
      <c r="GNB3" s="210"/>
      <c r="GNC3" s="210"/>
      <c r="GNI3" s="212"/>
      <c r="GNK3" s="210"/>
      <c r="GNL3" s="213"/>
      <c r="GNQ3" s="212"/>
      <c r="GNR3" s="212"/>
      <c r="GNS3" s="212"/>
      <c r="GNT3" s="213"/>
      <c r="GNV3" s="212"/>
      <c r="GNW3" s="212"/>
      <c r="GNY3" s="212"/>
      <c r="GNZ3" s="212"/>
      <c r="GOA3" s="212"/>
      <c r="GOB3" s="214"/>
      <c r="GOC3" s="215"/>
      <c r="GOD3" s="215"/>
      <c r="GOE3" s="216"/>
      <c r="GOF3" s="216"/>
      <c r="GOG3" s="216"/>
      <c r="GOI3" s="210"/>
      <c r="GON3" s="215"/>
      <c r="GOO3" s="215"/>
      <c r="GOP3" s="215"/>
      <c r="GOQ3" s="215"/>
      <c r="GOR3" s="215"/>
      <c r="GOS3" s="215"/>
      <c r="GOT3" s="215"/>
      <c r="GOU3" s="217"/>
      <c r="GOV3" s="217"/>
      <c r="GOY3" s="214"/>
      <c r="GOZ3" s="210"/>
      <c r="GPA3" s="210"/>
      <c r="GPB3" s="210"/>
      <c r="GPC3" s="210"/>
      <c r="GPI3" s="212"/>
      <c r="GPK3" s="210"/>
      <c r="GPL3" s="213"/>
      <c r="GPQ3" s="212"/>
      <c r="GPR3" s="212"/>
      <c r="GPS3" s="212"/>
      <c r="GPT3" s="213"/>
      <c r="GPV3" s="212"/>
      <c r="GPW3" s="212"/>
      <c r="GPY3" s="212"/>
      <c r="GPZ3" s="212"/>
      <c r="GQA3" s="212"/>
      <c r="GQB3" s="214"/>
      <c r="GQC3" s="215"/>
      <c r="GQD3" s="215"/>
      <c r="GQE3" s="216"/>
      <c r="GQF3" s="216"/>
      <c r="GQG3" s="216"/>
      <c r="GQI3" s="210"/>
      <c r="GQN3" s="215"/>
      <c r="GQO3" s="215"/>
      <c r="GQP3" s="215"/>
      <c r="GQQ3" s="215"/>
      <c r="GQR3" s="215"/>
      <c r="GQS3" s="215"/>
      <c r="GQT3" s="215"/>
      <c r="GQU3" s="217"/>
      <c r="GQV3" s="217"/>
      <c r="GQY3" s="214"/>
      <c r="GQZ3" s="210"/>
      <c r="GRA3" s="210"/>
      <c r="GRB3" s="210"/>
      <c r="GRC3" s="210"/>
      <c r="GRI3" s="212"/>
      <c r="GRK3" s="210"/>
      <c r="GRL3" s="213"/>
      <c r="GRQ3" s="212"/>
      <c r="GRR3" s="212"/>
      <c r="GRS3" s="212"/>
      <c r="GRT3" s="213"/>
      <c r="GRV3" s="212"/>
      <c r="GRW3" s="212"/>
      <c r="GRY3" s="212"/>
      <c r="GRZ3" s="212"/>
      <c r="GSA3" s="212"/>
      <c r="GSB3" s="214"/>
      <c r="GSC3" s="215"/>
      <c r="GSD3" s="215"/>
      <c r="GSE3" s="216"/>
      <c r="GSF3" s="216"/>
      <c r="GSG3" s="216"/>
      <c r="GSI3" s="210"/>
      <c r="GSN3" s="215"/>
      <c r="GSO3" s="215"/>
      <c r="GSP3" s="215"/>
      <c r="GSQ3" s="215"/>
      <c r="GSR3" s="215"/>
      <c r="GSS3" s="215"/>
      <c r="GST3" s="215"/>
      <c r="GSU3" s="217"/>
      <c r="GSV3" s="217"/>
      <c r="GSY3" s="214"/>
      <c r="GSZ3" s="210"/>
      <c r="GTA3" s="210"/>
      <c r="GTB3" s="210"/>
      <c r="GTC3" s="210"/>
      <c r="GTI3" s="212"/>
      <c r="GTK3" s="210"/>
      <c r="GTL3" s="213"/>
      <c r="GTQ3" s="212"/>
      <c r="GTR3" s="212"/>
      <c r="GTS3" s="212"/>
      <c r="GTT3" s="213"/>
      <c r="GTV3" s="212"/>
      <c r="GTW3" s="212"/>
      <c r="GTY3" s="212"/>
      <c r="GTZ3" s="212"/>
      <c r="GUA3" s="212"/>
      <c r="GUB3" s="214"/>
      <c r="GUC3" s="215"/>
      <c r="GUD3" s="215"/>
      <c r="GUE3" s="216"/>
      <c r="GUF3" s="216"/>
      <c r="GUG3" s="216"/>
      <c r="GUI3" s="210"/>
      <c r="GUN3" s="215"/>
      <c r="GUO3" s="215"/>
      <c r="GUP3" s="215"/>
      <c r="GUQ3" s="215"/>
      <c r="GUR3" s="215"/>
      <c r="GUS3" s="215"/>
      <c r="GUT3" s="215"/>
      <c r="GUU3" s="217"/>
      <c r="GUV3" s="217"/>
      <c r="GUY3" s="214"/>
      <c r="GUZ3" s="210"/>
      <c r="GVA3" s="210"/>
      <c r="GVB3" s="210"/>
      <c r="GVC3" s="210"/>
      <c r="GVI3" s="212"/>
      <c r="GVK3" s="210"/>
      <c r="GVL3" s="213"/>
      <c r="GVQ3" s="212"/>
      <c r="GVR3" s="212"/>
      <c r="GVS3" s="212"/>
      <c r="GVT3" s="213"/>
      <c r="GVV3" s="212"/>
      <c r="GVW3" s="212"/>
      <c r="GVY3" s="212"/>
      <c r="GVZ3" s="212"/>
      <c r="GWA3" s="212"/>
      <c r="GWB3" s="214"/>
      <c r="GWC3" s="215"/>
      <c r="GWD3" s="215"/>
      <c r="GWE3" s="216"/>
      <c r="GWF3" s="216"/>
      <c r="GWG3" s="216"/>
      <c r="GWI3" s="210"/>
      <c r="GWN3" s="215"/>
      <c r="GWO3" s="215"/>
      <c r="GWP3" s="215"/>
      <c r="GWQ3" s="215"/>
      <c r="GWR3" s="215"/>
      <c r="GWS3" s="215"/>
      <c r="GWT3" s="215"/>
      <c r="GWU3" s="217"/>
      <c r="GWV3" s="217"/>
      <c r="GWY3" s="214"/>
      <c r="GWZ3" s="210"/>
      <c r="GXA3" s="210"/>
      <c r="GXB3" s="210"/>
      <c r="GXC3" s="210"/>
      <c r="GXI3" s="212"/>
      <c r="GXK3" s="210"/>
      <c r="GXL3" s="213"/>
      <c r="GXQ3" s="212"/>
      <c r="GXR3" s="212"/>
      <c r="GXS3" s="212"/>
      <c r="GXT3" s="213"/>
      <c r="GXV3" s="212"/>
      <c r="GXW3" s="212"/>
      <c r="GXY3" s="212"/>
      <c r="GXZ3" s="212"/>
      <c r="GYA3" s="212"/>
      <c r="GYB3" s="214"/>
      <c r="GYC3" s="215"/>
      <c r="GYD3" s="215"/>
      <c r="GYE3" s="216"/>
      <c r="GYF3" s="216"/>
      <c r="GYG3" s="216"/>
      <c r="GYI3" s="210"/>
      <c r="GYN3" s="215"/>
      <c r="GYO3" s="215"/>
      <c r="GYP3" s="215"/>
      <c r="GYQ3" s="215"/>
      <c r="GYR3" s="215"/>
      <c r="GYS3" s="215"/>
      <c r="GYT3" s="215"/>
      <c r="GYU3" s="217"/>
      <c r="GYV3" s="217"/>
      <c r="GYY3" s="214"/>
      <c r="GYZ3" s="210"/>
      <c r="GZA3" s="210"/>
      <c r="GZB3" s="210"/>
      <c r="GZC3" s="210"/>
      <c r="GZI3" s="212"/>
      <c r="GZK3" s="210"/>
      <c r="GZL3" s="213"/>
      <c r="GZQ3" s="212"/>
      <c r="GZR3" s="212"/>
      <c r="GZS3" s="212"/>
      <c r="GZT3" s="213"/>
      <c r="GZV3" s="212"/>
      <c r="GZW3" s="212"/>
      <c r="GZY3" s="212"/>
      <c r="GZZ3" s="212"/>
      <c r="HAA3" s="212"/>
      <c r="HAB3" s="214"/>
      <c r="HAC3" s="215"/>
      <c r="HAD3" s="215"/>
      <c r="HAE3" s="216"/>
      <c r="HAF3" s="216"/>
      <c r="HAG3" s="216"/>
      <c r="HAI3" s="210"/>
      <c r="HAN3" s="215"/>
      <c r="HAO3" s="215"/>
      <c r="HAP3" s="215"/>
      <c r="HAQ3" s="215"/>
      <c r="HAR3" s="215"/>
      <c r="HAS3" s="215"/>
      <c r="HAT3" s="215"/>
      <c r="HAU3" s="217"/>
      <c r="HAV3" s="217"/>
      <c r="HAY3" s="214"/>
      <c r="HAZ3" s="210"/>
      <c r="HBA3" s="210"/>
      <c r="HBB3" s="210"/>
      <c r="HBC3" s="210"/>
      <c r="HBI3" s="212"/>
      <c r="HBK3" s="210"/>
      <c r="HBL3" s="213"/>
      <c r="HBQ3" s="212"/>
      <c r="HBR3" s="212"/>
      <c r="HBS3" s="212"/>
      <c r="HBT3" s="213"/>
      <c r="HBV3" s="212"/>
      <c r="HBW3" s="212"/>
      <c r="HBY3" s="212"/>
      <c r="HBZ3" s="212"/>
      <c r="HCA3" s="212"/>
      <c r="HCB3" s="214"/>
      <c r="HCC3" s="215"/>
      <c r="HCD3" s="215"/>
      <c r="HCE3" s="216"/>
      <c r="HCF3" s="216"/>
      <c r="HCG3" s="216"/>
      <c r="HCI3" s="210"/>
      <c r="HCN3" s="215"/>
      <c r="HCO3" s="215"/>
      <c r="HCP3" s="215"/>
      <c r="HCQ3" s="215"/>
      <c r="HCR3" s="215"/>
      <c r="HCS3" s="215"/>
      <c r="HCT3" s="215"/>
      <c r="HCU3" s="217"/>
      <c r="HCV3" s="217"/>
      <c r="HCY3" s="214"/>
      <c r="HCZ3" s="210"/>
      <c r="HDA3" s="210"/>
      <c r="HDB3" s="210"/>
      <c r="HDC3" s="210"/>
      <c r="HDI3" s="212"/>
      <c r="HDK3" s="210"/>
      <c r="HDL3" s="213"/>
      <c r="HDQ3" s="212"/>
      <c r="HDR3" s="212"/>
      <c r="HDS3" s="212"/>
      <c r="HDT3" s="213"/>
      <c r="HDV3" s="212"/>
      <c r="HDW3" s="212"/>
      <c r="HDY3" s="212"/>
      <c r="HDZ3" s="212"/>
      <c r="HEA3" s="212"/>
      <c r="HEB3" s="214"/>
      <c r="HEC3" s="215"/>
      <c r="HED3" s="215"/>
      <c r="HEE3" s="216"/>
      <c r="HEF3" s="216"/>
      <c r="HEG3" s="216"/>
      <c r="HEI3" s="210"/>
      <c r="HEN3" s="215"/>
      <c r="HEO3" s="215"/>
      <c r="HEP3" s="215"/>
      <c r="HEQ3" s="215"/>
      <c r="HER3" s="215"/>
      <c r="HES3" s="215"/>
      <c r="HET3" s="215"/>
      <c r="HEU3" s="217"/>
      <c r="HEV3" s="217"/>
      <c r="HEY3" s="214"/>
      <c r="HEZ3" s="210"/>
      <c r="HFA3" s="210"/>
      <c r="HFB3" s="210"/>
      <c r="HFC3" s="210"/>
      <c r="HFI3" s="212"/>
      <c r="HFK3" s="210"/>
      <c r="HFL3" s="213"/>
      <c r="HFQ3" s="212"/>
      <c r="HFR3" s="212"/>
      <c r="HFS3" s="212"/>
      <c r="HFT3" s="213"/>
      <c r="HFV3" s="212"/>
      <c r="HFW3" s="212"/>
      <c r="HFY3" s="212"/>
      <c r="HFZ3" s="212"/>
      <c r="HGA3" s="212"/>
      <c r="HGB3" s="214"/>
      <c r="HGC3" s="215"/>
      <c r="HGD3" s="215"/>
      <c r="HGE3" s="216"/>
      <c r="HGF3" s="216"/>
      <c r="HGG3" s="216"/>
      <c r="HGI3" s="210"/>
      <c r="HGN3" s="215"/>
      <c r="HGO3" s="215"/>
      <c r="HGP3" s="215"/>
      <c r="HGQ3" s="215"/>
      <c r="HGR3" s="215"/>
      <c r="HGS3" s="215"/>
      <c r="HGT3" s="215"/>
      <c r="HGU3" s="217"/>
      <c r="HGV3" s="217"/>
      <c r="HGY3" s="214"/>
      <c r="HGZ3" s="210"/>
      <c r="HHA3" s="210"/>
      <c r="HHB3" s="210"/>
      <c r="HHC3" s="210"/>
      <c r="HHI3" s="212"/>
      <c r="HHK3" s="210"/>
      <c r="HHL3" s="213"/>
      <c r="HHQ3" s="212"/>
      <c r="HHR3" s="212"/>
      <c r="HHS3" s="212"/>
      <c r="HHT3" s="213"/>
      <c r="HHV3" s="212"/>
      <c r="HHW3" s="212"/>
      <c r="HHY3" s="212"/>
      <c r="HHZ3" s="212"/>
      <c r="HIA3" s="212"/>
      <c r="HIB3" s="214"/>
      <c r="HIC3" s="215"/>
      <c r="HID3" s="215"/>
      <c r="HIE3" s="216"/>
      <c r="HIF3" s="216"/>
      <c r="HIG3" s="216"/>
      <c r="HII3" s="210"/>
      <c r="HIN3" s="215"/>
      <c r="HIO3" s="215"/>
      <c r="HIP3" s="215"/>
      <c r="HIQ3" s="215"/>
      <c r="HIR3" s="215"/>
      <c r="HIS3" s="215"/>
      <c r="HIT3" s="215"/>
      <c r="HIU3" s="217"/>
      <c r="HIV3" s="217"/>
      <c r="HIY3" s="214"/>
      <c r="HIZ3" s="210"/>
      <c r="HJA3" s="210"/>
      <c r="HJB3" s="210"/>
      <c r="HJC3" s="210"/>
      <c r="HJI3" s="212"/>
      <c r="HJK3" s="210"/>
      <c r="HJL3" s="213"/>
      <c r="HJQ3" s="212"/>
      <c r="HJR3" s="212"/>
      <c r="HJS3" s="212"/>
      <c r="HJT3" s="213"/>
      <c r="HJV3" s="212"/>
      <c r="HJW3" s="212"/>
      <c r="HJY3" s="212"/>
      <c r="HJZ3" s="212"/>
      <c r="HKA3" s="212"/>
      <c r="HKB3" s="214"/>
      <c r="HKC3" s="215"/>
      <c r="HKD3" s="215"/>
      <c r="HKE3" s="216"/>
      <c r="HKF3" s="216"/>
      <c r="HKG3" s="216"/>
      <c r="HKI3" s="210"/>
      <c r="HKN3" s="215"/>
      <c r="HKO3" s="215"/>
      <c r="HKP3" s="215"/>
      <c r="HKQ3" s="215"/>
      <c r="HKR3" s="215"/>
      <c r="HKS3" s="215"/>
      <c r="HKT3" s="215"/>
      <c r="HKU3" s="217"/>
      <c r="HKV3" s="217"/>
      <c r="HKY3" s="214"/>
      <c r="HKZ3" s="210"/>
      <c r="HLA3" s="210"/>
      <c r="HLB3" s="210"/>
      <c r="HLC3" s="210"/>
      <c r="HLI3" s="212"/>
      <c r="HLK3" s="210"/>
      <c r="HLL3" s="213"/>
      <c r="HLQ3" s="212"/>
      <c r="HLR3" s="212"/>
      <c r="HLS3" s="212"/>
      <c r="HLT3" s="213"/>
      <c r="HLV3" s="212"/>
      <c r="HLW3" s="212"/>
      <c r="HLY3" s="212"/>
      <c r="HLZ3" s="212"/>
      <c r="HMA3" s="212"/>
      <c r="HMB3" s="214"/>
      <c r="HMC3" s="215"/>
      <c r="HMD3" s="215"/>
      <c r="HME3" s="216"/>
      <c r="HMF3" s="216"/>
      <c r="HMG3" s="216"/>
      <c r="HMI3" s="210"/>
      <c r="HMN3" s="215"/>
      <c r="HMO3" s="215"/>
      <c r="HMP3" s="215"/>
      <c r="HMQ3" s="215"/>
      <c r="HMR3" s="215"/>
      <c r="HMS3" s="215"/>
      <c r="HMT3" s="215"/>
      <c r="HMU3" s="217"/>
      <c r="HMV3" s="217"/>
      <c r="HMY3" s="214"/>
      <c r="HMZ3" s="210"/>
      <c r="HNA3" s="210"/>
      <c r="HNB3" s="210"/>
      <c r="HNC3" s="210"/>
      <c r="HNI3" s="212"/>
      <c r="HNK3" s="210"/>
      <c r="HNL3" s="213"/>
      <c r="HNQ3" s="212"/>
      <c r="HNR3" s="212"/>
      <c r="HNS3" s="212"/>
      <c r="HNT3" s="213"/>
      <c r="HNV3" s="212"/>
      <c r="HNW3" s="212"/>
      <c r="HNY3" s="212"/>
      <c r="HNZ3" s="212"/>
      <c r="HOA3" s="212"/>
      <c r="HOB3" s="214"/>
      <c r="HOC3" s="215"/>
      <c r="HOD3" s="215"/>
      <c r="HOE3" s="216"/>
      <c r="HOF3" s="216"/>
      <c r="HOG3" s="216"/>
      <c r="HOI3" s="210"/>
      <c r="HON3" s="215"/>
      <c r="HOO3" s="215"/>
      <c r="HOP3" s="215"/>
      <c r="HOQ3" s="215"/>
      <c r="HOR3" s="215"/>
      <c r="HOS3" s="215"/>
      <c r="HOT3" s="215"/>
      <c r="HOU3" s="217"/>
      <c r="HOV3" s="217"/>
      <c r="HOY3" s="214"/>
      <c r="HOZ3" s="210"/>
      <c r="HPA3" s="210"/>
      <c r="HPB3" s="210"/>
      <c r="HPC3" s="210"/>
      <c r="HPI3" s="212"/>
      <c r="HPK3" s="210"/>
      <c r="HPL3" s="213"/>
      <c r="HPQ3" s="212"/>
      <c r="HPR3" s="212"/>
      <c r="HPS3" s="212"/>
      <c r="HPT3" s="213"/>
      <c r="HPV3" s="212"/>
      <c r="HPW3" s="212"/>
      <c r="HPY3" s="212"/>
      <c r="HPZ3" s="212"/>
      <c r="HQA3" s="212"/>
      <c r="HQB3" s="214"/>
      <c r="HQC3" s="215"/>
      <c r="HQD3" s="215"/>
      <c r="HQE3" s="216"/>
      <c r="HQF3" s="216"/>
      <c r="HQG3" s="216"/>
      <c r="HQI3" s="210"/>
      <c r="HQN3" s="215"/>
      <c r="HQO3" s="215"/>
      <c r="HQP3" s="215"/>
      <c r="HQQ3" s="215"/>
      <c r="HQR3" s="215"/>
      <c r="HQS3" s="215"/>
      <c r="HQT3" s="215"/>
      <c r="HQU3" s="217"/>
      <c r="HQV3" s="217"/>
      <c r="HQY3" s="214"/>
      <c r="HQZ3" s="210"/>
      <c r="HRA3" s="210"/>
      <c r="HRB3" s="210"/>
      <c r="HRC3" s="210"/>
      <c r="HRI3" s="212"/>
      <c r="HRK3" s="210"/>
      <c r="HRL3" s="213"/>
      <c r="HRQ3" s="212"/>
      <c r="HRR3" s="212"/>
      <c r="HRS3" s="212"/>
      <c r="HRT3" s="213"/>
      <c r="HRV3" s="212"/>
      <c r="HRW3" s="212"/>
      <c r="HRY3" s="212"/>
      <c r="HRZ3" s="212"/>
      <c r="HSA3" s="212"/>
      <c r="HSB3" s="214"/>
      <c r="HSC3" s="215"/>
      <c r="HSD3" s="215"/>
      <c r="HSE3" s="216"/>
      <c r="HSF3" s="216"/>
      <c r="HSG3" s="216"/>
      <c r="HSI3" s="210"/>
      <c r="HSN3" s="215"/>
      <c r="HSO3" s="215"/>
      <c r="HSP3" s="215"/>
      <c r="HSQ3" s="215"/>
      <c r="HSR3" s="215"/>
      <c r="HSS3" s="215"/>
      <c r="HST3" s="215"/>
      <c r="HSU3" s="217"/>
      <c r="HSV3" s="217"/>
      <c r="HSY3" s="214"/>
      <c r="HSZ3" s="210"/>
      <c r="HTA3" s="210"/>
      <c r="HTB3" s="210"/>
      <c r="HTC3" s="210"/>
      <c r="HTI3" s="212"/>
      <c r="HTK3" s="210"/>
      <c r="HTL3" s="213"/>
      <c r="HTQ3" s="212"/>
      <c r="HTR3" s="212"/>
      <c r="HTS3" s="212"/>
      <c r="HTT3" s="213"/>
      <c r="HTV3" s="212"/>
      <c r="HTW3" s="212"/>
      <c r="HTY3" s="212"/>
      <c r="HTZ3" s="212"/>
      <c r="HUA3" s="212"/>
      <c r="HUB3" s="214"/>
      <c r="HUC3" s="215"/>
      <c r="HUD3" s="215"/>
      <c r="HUE3" s="216"/>
      <c r="HUF3" s="216"/>
      <c r="HUG3" s="216"/>
      <c r="HUI3" s="210"/>
      <c r="HUN3" s="215"/>
      <c r="HUO3" s="215"/>
      <c r="HUP3" s="215"/>
      <c r="HUQ3" s="215"/>
      <c r="HUR3" s="215"/>
      <c r="HUS3" s="215"/>
      <c r="HUT3" s="215"/>
      <c r="HUU3" s="217"/>
      <c r="HUV3" s="217"/>
      <c r="HUY3" s="214"/>
      <c r="HUZ3" s="210"/>
      <c r="HVA3" s="210"/>
      <c r="HVB3" s="210"/>
      <c r="HVC3" s="210"/>
      <c r="HVI3" s="212"/>
      <c r="HVK3" s="210"/>
      <c r="HVL3" s="213"/>
      <c r="HVQ3" s="212"/>
      <c r="HVR3" s="212"/>
      <c r="HVS3" s="212"/>
      <c r="HVT3" s="213"/>
      <c r="HVV3" s="212"/>
      <c r="HVW3" s="212"/>
      <c r="HVY3" s="212"/>
      <c r="HVZ3" s="212"/>
      <c r="HWA3" s="212"/>
      <c r="HWB3" s="214"/>
      <c r="HWC3" s="215"/>
      <c r="HWD3" s="215"/>
      <c r="HWE3" s="216"/>
      <c r="HWF3" s="216"/>
      <c r="HWG3" s="216"/>
      <c r="HWI3" s="210"/>
      <c r="HWN3" s="215"/>
      <c r="HWO3" s="215"/>
      <c r="HWP3" s="215"/>
      <c r="HWQ3" s="215"/>
      <c r="HWR3" s="215"/>
      <c r="HWS3" s="215"/>
      <c r="HWT3" s="215"/>
      <c r="HWU3" s="217"/>
      <c r="HWV3" s="217"/>
      <c r="HWY3" s="214"/>
      <c r="HWZ3" s="210"/>
      <c r="HXA3" s="210"/>
      <c r="HXB3" s="210"/>
      <c r="HXC3" s="210"/>
      <c r="HXI3" s="212"/>
      <c r="HXK3" s="210"/>
      <c r="HXL3" s="213"/>
      <c r="HXQ3" s="212"/>
      <c r="HXR3" s="212"/>
      <c r="HXS3" s="212"/>
      <c r="HXT3" s="213"/>
      <c r="HXV3" s="212"/>
      <c r="HXW3" s="212"/>
      <c r="HXY3" s="212"/>
      <c r="HXZ3" s="212"/>
      <c r="HYA3" s="212"/>
      <c r="HYB3" s="214"/>
      <c r="HYC3" s="215"/>
      <c r="HYD3" s="215"/>
      <c r="HYE3" s="216"/>
      <c r="HYF3" s="216"/>
      <c r="HYG3" s="216"/>
      <c r="HYI3" s="210"/>
      <c r="HYN3" s="215"/>
      <c r="HYO3" s="215"/>
      <c r="HYP3" s="215"/>
      <c r="HYQ3" s="215"/>
      <c r="HYR3" s="215"/>
      <c r="HYS3" s="215"/>
      <c r="HYT3" s="215"/>
      <c r="HYU3" s="217"/>
      <c r="HYV3" s="217"/>
      <c r="HYY3" s="214"/>
      <c r="HYZ3" s="210"/>
      <c r="HZA3" s="210"/>
      <c r="HZB3" s="210"/>
      <c r="HZC3" s="210"/>
      <c r="HZI3" s="212"/>
      <c r="HZK3" s="210"/>
      <c r="HZL3" s="213"/>
      <c r="HZQ3" s="212"/>
      <c r="HZR3" s="212"/>
      <c r="HZS3" s="212"/>
      <c r="HZT3" s="213"/>
      <c r="HZV3" s="212"/>
      <c r="HZW3" s="212"/>
      <c r="HZY3" s="212"/>
      <c r="HZZ3" s="212"/>
      <c r="IAA3" s="212"/>
      <c r="IAB3" s="214"/>
      <c r="IAC3" s="215"/>
      <c r="IAD3" s="215"/>
      <c r="IAE3" s="216"/>
      <c r="IAF3" s="216"/>
      <c r="IAG3" s="216"/>
      <c r="IAI3" s="210"/>
      <c r="IAN3" s="215"/>
      <c r="IAO3" s="215"/>
      <c r="IAP3" s="215"/>
      <c r="IAQ3" s="215"/>
      <c r="IAR3" s="215"/>
      <c r="IAS3" s="215"/>
      <c r="IAT3" s="215"/>
      <c r="IAU3" s="217"/>
      <c r="IAV3" s="217"/>
      <c r="IAY3" s="214"/>
      <c r="IAZ3" s="210"/>
      <c r="IBA3" s="210"/>
      <c r="IBB3" s="210"/>
      <c r="IBC3" s="210"/>
      <c r="IBI3" s="212"/>
      <c r="IBK3" s="210"/>
      <c r="IBL3" s="213"/>
      <c r="IBQ3" s="212"/>
      <c r="IBR3" s="212"/>
      <c r="IBS3" s="212"/>
      <c r="IBT3" s="213"/>
      <c r="IBV3" s="212"/>
      <c r="IBW3" s="212"/>
      <c r="IBY3" s="212"/>
      <c r="IBZ3" s="212"/>
      <c r="ICA3" s="212"/>
      <c r="ICB3" s="214"/>
      <c r="ICC3" s="215"/>
      <c r="ICD3" s="215"/>
      <c r="ICE3" s="216"/>
      <c r="ICF3" s="216"/>
      <c r="ICG3" s="216"/>
      <c r="ICI3" s="210"/>
      <c r="ICN3" s="215"/>
      <c r="ICO3" s="215"/>
      <c r="ICP3" s="215"/>
      <c r="ICQ3" s="215"/>
      <c r="ICR3" s="215"/>
      <c r="ICS3" s="215"/>
      <c r="ICT3" s="215"/>
      <c r="ICU3" s="217"/>
      <c r="ICV3" s="217"/>
      <c r="ICY3" s="214"/>
      <c r="ICZ3" s="210"/>
      <c r="IDA3" s="210"/>
      <c r="IDB3" s="210"/>
      <c r="IDC3" s="210"/>
      <c r="IDI3" s="212"/>
      <c r="IDK3" s="210"/>
      <c r="IDL3" s="213"/>
      <c r="IDQ3" s="212"/>
      <c r="IDR3" s="212"/>
      <c r="IDS3" s="212"/>
      <c r="IDT3" s="213"/>
      <c r="IDV3" s="212"/>
      <c r="IDW3" s="212"/>
      <c r="IDY3" s="212"/>
      <c r="IDZ3" s="212"/>
      <c r="IEA3" s="212"/>
      <c r="IEB3" s="214"/>
      <c r="IEC3" s="215"/>
      <c r="IED3" s="215"/>
      <c r="IEE3" s="216"/>
      <c r="IEF3" s="216"/>
      <c r="IEG3" s="216"/>
      <c r="IEI3" s="210"/>
      <c r="IEN3" s="215"/>
      <c r="IEO3" s="215"/>
      <c r="IEP3" s="215"/>
      <c r="IEQ3" s="215"/>
      <c r="IER3" s="215"/>
      <c r="IES3" s="215"/>
      <c r="IET3" s="215"/>
      <c r="IEU3" s="217"/>
      <c r="IEV3" s="217"/>
      <c r="IEY3" s="214"/>
      <c r="IEZ3" s="210"/>
      <c r="IFA3" s="210"/>
      <c r="IFB3" s="210"/>
      <c r="IFC3" s="210"/>
      <c r="IFI3" s="212"/>
      <c r="IFK3" s="210"/>
      <c r="IFL3" s="213"/>
      <c r="IFQ3" s="212"/>
      <c r="IFR3" s="212"/>
      <c r="IFS3" s="212"/>
      <c r="IFT3" s="213"/>
      <c r="IFV3" s="212"/>
      <c r="IFW3" s="212"/>
      <c r="IFY3" s="212"/>
      <c r="IFZ3" s="212"/>
      <c r="IGA3" s="212"/>
      <c r="IGB3" s="214"/>
      <c r="IGC3" s="215"/>
      <c r="IGD3" s="215"/>
      <c r="IGE3" s="216"/>
      <c r="IGF3" s="216"/>
      <c r="IGG3" s="216"/>
      <c r="IGI3" s="210"/>
      <c r="IGN3" s="215"/>
      <c r="IGO3" s="215"/>
      <c r="IGP3" s="215"/>
      <c r="IGQ3" s="215"/>
      <c r="IGR3" s="215"/>
      <c r="IGS3" s="215"/>
      <c r="IGT3" s="215"/>
      <c r="IGU3" s="217"/>
      <c r="IGV3" s="217"/>
      <c r="IGY3" s="214"/>
      <c r="IGZ3" s="210"/>
      <c r="IHA3" s="210"/>
      <c r="IHB3" s="210"/>
      <c r="IHC3" s="210"/>
      <c r="IHI3" s="212"/>
      <c r="IHK3" s="210"/>
      <c r="IHL3" s="213"/>
      <c r="IHQ3" s="212"/>
      <c r="IHR3" s="212"/>
      <c r="IHS3" s="212"/>
      <c r="IHT3" s="213"/>
      <c r="IHV3" s="212"/>
      <c r="IHW3" s="212"/>
      <c r="IHY3" s="212"/>
      <c r="IHZ3" s="212"/>
      <c r="IIA3" s="212"/>
      <c r="IIB3" s="214"/>
      <c r="IIC3" s="215"/>
      <c r="IID3" s="215"/>
      <c r="IIE3" s="216"/>
      <c r="IIF3" s="216"/>
      <c r="IIG3" s="216"/>
      <c r="III3" s="210"/>
      <c r="IIN3" s="215"/>
      <c r="IIO3" s="215"/>
      <c r="IIP3" s="215"/>
      <c r="IIQ3" s="215"/>
      <c r="IIR3" s="215"/>
      <c r="IIS3" s="215"/>
      <c r="IIT3" s="215"/>
      <c r="IIU3" s="217"/>
      <c r="IIV3" s="217"/>
      <c r="IIY3" s="214"/>
      <c r="IIZ3" s="210"/>
      <c r="IJA3" s="210"/>
      <c r="IJB3" s="210"/>
      <c r="IJC3" s="210"/>
      <c r="IJI3" s="212"/>
      <c r="IJK3" s="210"/>
      <c r="IJL3" s="213"/>
      <c r="IJQ3" s="212"/>
      <c r="IJR3" s="212"/>
      <c r="IJS3" s="212"/>
      <c r="IJT3" s="213"/>
      <c r="IJV3" s="212"/>
      <c r="IJW3" s="212"/>
      <c r="IJY3" s="212"/>
      <c r="IJZ3" s="212"/>
      <c r="IKA3" s="212"/>
      <c r="IKB3" s="214"/>
      <c r="IKC3" s="215"/>
      <c r="IKD3" s="215"/>
      <c r="IKE3" s="216"/>
      <c r="IKF3" s="216"/>
      <c r="IKG3" s="216"/>
      <c r="IKI3" s="210"/>
      <c r="IKN3" s="215"/>
      <c r="IKO3" s="215"/>
      <c r="IKP3" s="215"/>
      <c r="IKQ3" s="215"/>
      <c r="IKR3" s="215"/>
      <c r="IKS3" s="215"/>
      <c r="IKT3" s="215"/>
      <c r="IKU3" s="217"/>
      <c r="IKV3" s="217"/>
      <c r="IKY3" s="214"/>
      <c r="IKZ3" s="210"/>
      <c r="ILA3" s="210"/>
      <c r="ILB3" s="210"/>
      <c r="ILC3" s="210"/>
      <c r="ILI3" s="212"/>
      <c r="ILK3" s="210"/>
      <c r="ILL3" s="213"/>
      <c r="ILQ3" s="212"/>
      <c r="ILR3" s="212"/>
      <c r="ILS3" s="212"/>
      <c r="ILT3" s="213"/>
      <c r="ILV3" s="212"/>
      <c r="ILW3" s="212"/>
      <c r="ILY3" s="212"/>
      <c r="ILZ3" s="212"/>
      <c r="IMA3" s="212"/>
      <c r="IMB3" s="214"/>
      <c r="IMC3" s="215"/>
      <c r="IMD3" s="215"/>
      <c r="IME3" s="216"/>
      <c r="IMF3" s="216"/>
      <c r="IMG3" s="216"/>
      <c r="IMI3" s="210"/>
      <c r="IMN3" s="215"/>
      <c r="IMO3" s="215"/>
      <c r="IMP3" s="215"/>
      <c r="IMQ3" s="215"/>
      <c r="IMR3" s="215"/>
      <c r="IMS3" s="215"/>
      <c r="IMT3" s="215"/>
      <c r="IMU3" s="217"/>
      <c r="IMV3" s="217"/>
      <c r="IMY3" s="214"/>
      <c r="IMZ3" s="210"/>
      <c r="INA3" s="210"/>
      <c r="INB3" s="210"/>
      <c r="INC3" s="210"/>
      <c r="INI3" s="212"/>
      <c r="INK3" s="210"/>
      <c r="INL3" s="213"/>
      <c r="INQ3" s="212"/>
      <c r="INR3" s="212"/>
      <c r="INS3" s="212"/>
      <c r="INT3" s="213"/>
      <c r="INV3" s="212"/>
      <c r="INW3" s="212"/>
      <c r="INY3" s="212"/>
      <c r="INZ3" s="212"/>
      <c r="IOA3" s="212"/>
      <c r="IOB3" s="214"/>
      <c r="IOC3" s="215"/>
      <c r="IOD3" s="215"/>
      <c r="IOE3" s="216"/>
      <c r="IOF3" s="216"/>
      <c r="IOG3" s="216"/>
      <c r="IOI3" s="210"/>
      <c r="ION3" s="215"/>
      <c r="IOO3" s="215"/>
      <c r="IOP3" s="215"/>
      <c r="IOQ3" s="215"/>
      <c r="IOR3" s="215"/>
      <c r="IOS3" s="215"/>
      <c r="IOT3" s="215"/>
      <c r="IOU3" s="217"/>
      <c r="IOV3" s="217"/>
      <c r="IOY3" s="214"/>
      <c r="IOZ3" s="210"/>
      <c r="IPA3" s="210"/>
      <c r="IPB3" s="210"/>
      <c r="IPC3" s="210"/>
      <c r="IPI3" s="212"/>
      <c r="IPK3" s="210"/>
      <c r="IPL3" s="213"/>
      <c r="IPQ3" s="212"/>
      <c r="IPR3" s="212"/>
      <c r="IPS3" s="212"/>
      <c r="IPT3" s="213"/>
      <c r="IPV3" s="212"/>
      <c r="IPW3" s="212"/>
      <c r="IPY3" s="212"/>
      <c r="IPZ3" s="212"/>
      <c r="IQA3" s="212"/>
      <c r="IQB3" s="214"/>
      <c r="IQC3" s="215"/>
      <c r="IQD3" s="215"/>
      <c r="IQE3" s="216"/>
      <c r="IQF3" s="216"/>
      <c r="IQG3" s="216"/>
      <c r="IQI3" s="210"/>
      <c r="IQN3" s="215"/>
      <c r="IQO3" s="215"/>
      <c r="IQP3" s="215"/>
      <c r="IQQ3" s="215"/>
      <c r="IQR3" s="215"/>
      <c r="IQS3" s="215"/>
      <c r="IQT3" s="215"/>
      <c r="IQU3" s="217"/>
      <c r="IQV3" s="217"/>
      <c r="IQY3" s="214"/>
      <c r="IQZ3" s="210"/>
      <c r="IRA3" s="210"/>
      <c r="IRB3" s="210"/>
      <c r="IRC3" s="210"/>
      <c r="IRI3" s="212"/>
      <c r="IRK3" s="210"/>
      <c r="IRL3" s="213"/>
      <c r="IRQ3" s="212"/>
      <c r="IRR3" s="212"/>
      <c r="IRS3" s="212"/>
      <c r="IRT3" s="213"/>
      <c r="IRV3" s="212"/>
      <c r="IRW3" s="212"/>
      <c r="IRY3" s="212"/>
      <c r="IRZ3" s="212"/>
      <c r="ISA3" s="212"/>
      <c r="ISB3" s="214"/>
      <c r="ISC3" s="215"/>
      <c r="ISD3" s="215"/>
      <c r="ISE3" s="216"/>
      <c r="ISF3" s="216"/>
      <c r="ISG3" s="216"/>
      <c r="ISI3" s="210"/>
      <c r="ISN3" s="215"/>
      <c r="ISO3" s="215"/>
      <c r="ISP3" s="215"/>
      <c r="ISQ3" s="215"/>
      <c r="ISR3" s="215"/>
      <c r="ISS3" s="215"/>
      <c r="IST3" s="215"/>
      <c r="ISU3" s="217"/>
      <c r="ISV3" s="217"/>
      <c r="ISY3" s="214"/>
      <c r="ISZ3" s="210"/>
      <c r="ITA3" s="210"/>
      <c r="ITB3" s="210"/>
      <c r="ITC3" s="210"/>
      <c r="ITI3" s="212"/>
      <c r="ITK3" s="210"/>
      <c r="ITL3" s="213"/>
      <c r="ITQ3" s="212"/>
      <c r="ITR3" s="212"/>
      <c r="ITS3" s="212"/>
      <c r="ITT3" s="213"/>
      <c r="ITV3" s="212"/>
      <c r="ITW3" s="212"/>
      <c r="ITY3" s="212"/>
      <c r="ITZ3" s="212"/>
      <c r="IUA3" s="212"/>
      <c r="IUB3" s="214"/>
      <c r="IUC3" s="215"/>
      <c r="IUD3" s="215"/>
      <c r="IUE3" s="216"/>
      <c r="IUF3" s="216"/>
      <c r="IUG3" s="216"/>
      <c r="IUI3" s="210"/>
      <c r="IUN3" s="215"/>
      <c r="IUO3" s="215"/>
      <c r="IUP3" s="215"/>
      <c r="IUQ3" s="215"/>
      <c r="IUR3" s="215"/>
      <c r="IUS3" s="215"/>
      <c r="IUT3" s="215"/>
      <c r="IUU3" s="217"/>
      <c r="IUV3" s="217"/>
      <c r="IUY3" s="214"/>
      <c r="IUZ3" s="210"/>
      <c r="IVA3" s="210"/>
      <c r="IVB3" s="210"/>
      <c r="IVC3" s="210"/>
      <c r="IVI3" s="212"/>
      <c r="IVK3" s="210"/>
      <c r="IVL3" s="213"/>
      <c r="IVQ3" s="212"/>
      <c r="IVR3" s="212"/>
      <c r="IVS3" s="212"/>
      <c r="IVT3" s="213"/>
      <c r="IVV3" s="212"/>
      <c r="IVW3" s="212"/>
      <c r="IVY3" s="212"/>
      <c r="IVZ3" s="212"/>
      <c r="IWA3" s="212"/>
      <c r="IWB3" s="214"/>
      <c r="IWC3" s="215"/>
      <c r="IWD3" s="215"/>
      <c r="IWE3" s="216"/>
      <c r="IWF3" s="216"/>
      <c r="IWG3" s="216"/>
      <c r="IWI3" s="210"/>
      <c r="IWN3" s="215"/>
      <c r="IWO3" s="215"/>
      <c r="IWP3" s="215"/>
      <c r="IWQ3" s="215"/>
      <c r="IWR3" s="215"/>
      <c r="IWS3" s="215"/>
      <c r="IWT3" s="215"/>
      <c r="IWU3" s="217"/>
      <c r="IWV3" s="217"/>
      <c r="IWY3" s="214"/>
      <c r="IWZ3" s="210"/>
      <c r="IXA3" s="210"/>
      <c r="IXB3" s="210"/>
      <c r="IXC3" s="210"/>
      <c r="IXI3" s="212"/>
      <c r="IXK3" s="210"/>
      <c r="IXL3" s="213"/>
      <c r="IXQ3" s="212"/>
      <c r="IXR3" s="212"/>
      <c r="IXS3" s="212"/>
      <c r="IXT3" s="213"/>
      <c r="IXV3" s="212"/>
      <c r="IXW3" s="212"/>
      <c r="IXY3" s="212"/>
      <c r="IXZ3" s="212"/>
      <c r="IYA3" s="212"/>
      <c r="IYB3" s="214"/>
      <c r="IYC3" s="215"/>
      <c r="IYD3" s="215"/>
      <c r="IYE3" s="216"/>
      <c r="IYF3" s="216"/>
      <c r="IYG3" s="216"/>
      <c r="IYI3" s="210"/>
      <c r="IYN3" s="215"/>
      <c r="IYO3" s="215"/>
      <c r="IYP3" s="215"/>
      <c r="IYQ3" s="215"/>
      <c r="IYR3" s="215"/>
      <c r="IYS3" s="215"/>
      <c r="IYT3" s="215"/>
      <c r="IYU3" s="217"/>
      <c r="IYV3" s="217"/>
      <c r="IYY3" s="214"/>
      <c r="IYZ3" s="210"/>
      <c r="IZA3" s="210"/>
      <c r="IZB3" s="210"/>
      <c r="IZC3" s="210"/>
      <c r="IZI3" s="212"/>
      <c r="IZK3" s="210"/>
      <c r="IZL3" s="213"/>
      <c r="IZQ3" s="212"/>
      <c r="IZR3" s="212"/>
      <c r="IZS3" s="212"/>
      <c r="IZT3" s="213"/>
      <c r="IZV3" s="212"/>
      <c r="IZW3" s="212"/>
      <c r="IZY3" s="212"/>
      <c r="IZZ3" s="212"/>
      <c r="JAA3" s="212"/>
      <c r="JAB3" s="214"/>
      <c r="JAC3" s="215"/>
      <c r="JAD3" s="215"/>
      <c r="JAE3" s="216"/>
      <c r="JAF3" s="216"/>
      <c r="JAG3" s="216"/>
      <c r="JAI3" s="210"/>
      <c r="JAN3" s="215"/>
      <c r="JAO3" s="215"/>
      <c r="JAP3" s="215"/>
      <c r="JAQ3" s="215"/>
      <c r="JAR3" s="215"/>
      <c r="JAS3" s="215"/>
      <c r="JAT3" s="215"/>
      <c r="JAU3" s="217"/>
      <c r="JAV3" s="217"/>
      <c r="JAY3" s="214"/>
      <c r="JAZ3" s="210"/>
      <c r="JBA3" s="210"/>
      <c r="JBB3" s="210"/>
      <c r="JBC3" s="210"/>
      <c r="JBI3" s="212"/>
      <c r="JBK3" s="210"/>
      <c r="JBL3" s="213"/>
      <c r="JBQ3" s="212"/>
      <c r="JBR3" s="212"/>
      <c r="JBS3" s="212"/>
      <c r="JBT3" s="213"/>
      <c r="JBV3" s="212"/>
      <c r="JBW3" s="212"/>
      <c r="JBY3" s="212"/>
      <c r="JBZ3" s="212"/>
      <c r="JCA3" s="212"/>
      <c r="JCB3" s="214"/>
      <c r="JCC3" s="215"/>
      <c r="JCD3" s="215"/>
      <c r="JCE3" s="216"/>
      <c r="JCF3" s="216"/>
      <c r="JCG3" s="216"/>
      <c r="JCI3" s="210"/>
      <c r="JCN3" s="215"/>
      <c r="JCO3" s="215"/>
      <c r="JCP3" s="215"/>
      <c r="JCQ3" s="215"/>
      <c r="JCR3" s="215"/>
      <c r="JCS3" s="215"/>
      <c r="JCT3" s="215"/>
      <c r="JCU3" s="217"/>
      <c r="JCV3" s="217"/>
      <c r="JCY3" s="214"/>
      <c r="JCZ3" s="210"/>
      <c r="JDA3" s="210"/>
      <c r="JDB3" s="210"/>
      <c r="JDC3" s="210"/>
      <c r="JDI3" s="212"/>
      <c r="JDK3" s="210"/>
      <c r="JDL3" s="213"/>
      <c r="JDQ3" s="212"/>
      <c r="JDR3" s="212"/>
      <c r="JDS3" s="212"/>
      <c r="JDT3" s="213"/>
      <c r="JDV3" s="212"/>
      <c r="JDW3" s="212"/>
      <c r="JDY3" s="212"/>
      <c r="JDZ3" s="212"/>
      <c r="JEA3" s="212"/>
      <c r="JEB3" s="214"/>
      <c r="JEC3" s="215"/>
      <c r="JED3" s="215"/>
      <c r="JEE3" s="216"/>
      <c r="JEF3" s="216"/>
      <c r="JEG3" s="216"/>
      <c r="JEI3" s="210"/>
      <c r="JEN3" s="215"/>
      <c r="JEO3" s="215"/>
      <c r="JEP3" s="215"/>
      <c r="JEQ3" s="215"/>
      <c r="JER3" s="215"/>
      <c r="JES3" s="215"/>
      <c r="JET3" s="215"/>
      <c r="JEU3" s="217"/>
      <c r="JEV3" s="217"/>
      <c r="JEY3" s="214"/>
      <c r="JEZ3" s="210"/>
      <c r="JFA3" s="210"/>
      <c r="JFB3" s="210"/>
      <c r="JFC3" s="210"/>
      <c r="JFI3" s="212"/>
      <c r="JFK3" s="210"/>
      <c r="JFL3" s="213"/>
      <c r="JFQ3" s="212"/>
      <c r="JFR3" s="212"/>
      <c r="JFS3" s="212"/>
      <c r="JFT3" s="213"/>
      <c r="JFV3" s="212"/>
      <c r="JFW3" s="212"/>
      <c r="JFY3" s="212"/>
      <c r="JFZ3" s="212"/>
      <c r="JGA3" s="212"/>
      <c r="JGB3" s="214"/>
      <c r="JGC3" s="215"/>
      <c r="JGD3" s="215"/>
      <c r="JGE3" s="216"/>
      <c r="JGF3" s="216"/>
      <c r="JGG3" s="216"/>
      <c r="JGI3" s="210"/>
      <c r="JGN3" s="215"/>
      <c r="JGO3" s="215"/>
      <c r="JGP3" s="215"/>
      <c r="JGQ3" s="215"/>
      <c r="JGR3" s="215"/>
      <c r="JGS3" s="215"/>
      <c r="JGT3" s="215"/>
      <c r="JGU3" s="217"/>
      <c r="JGV3" s="217"/>
      <c r="JGY3" s="214"/>
      <c r="JGZ3" s="210"/>
      <c r="JHA3" s="210"/>
      <c r="JHB3" s="210"/>
      <c r="JHC3" s="210"/>
      <c r="JHI3" s="212"/>
      <c r="JHK3" s="210"/>
      <c r="JHL3" s="213"/>
      <c r="JHQ3" s="212"/>
      <c r="JHR3" s="212"/>
      <c r="JHS3" s="212"/>
      <c r="JHT3" s="213"/>
      <c r="JHV3" s="212"/>
      <c r="JHW3" s="212"/>
      <c r="JHY3" s="212"/>
      <c r="JHZ3" s="212"/>
      <c r="JIA3" s="212"/>
      <c r="JIB3" s="214"/>
      <c r="JIC3" s="215"/>
      <c r="JID3" s="215"/>
      <c r="JIE3" s="216"/>
      <c r="JIF3" s="216"/>
      <c r="JIG3" s="216"/>
      <c r="JII3" s="210"/>
      <c r="JIN3" s="215"/>
      <c r="JIO3" s="215"/>
      <c r="JIP3" s="215"/>
      <c r="JIQ3" s="215"/>
      <c r="JIR3" s="215"/>
      <c r="JIS3" s="215"/>
      <c r="JIT3" s="215"/>
      <c r="JIU3" s="217"/>
      <c r="JIV3" s="217"/>
      <c r="JIY3" s="214"/>
      <c r="JIZ3" s="210"/>
      <c r="JJA3" s="210"/>
      <c r="JJB3" s="210"/>
      <c r="JJC3" s="210"/>
      <c r="JJI3" s="212"/>
      <c r="JJK3" s="210"/>
      <c r="JJL3" s="213"/>
      <c r="JJQ3" s="212"/>
      <c r="JJR3" s="212"/>
      <c r="JJS3" s="212"/>
      <c r="JJT3" s="213"/>
      <c r="JJV3" s="212"/>
      <c r="JJW3" s="212"/>
      <c r="JJY3" s="212"/>
      <c r="JJZ3" s="212"/>
      <c r="JKA3" s="212"/>
      <c r="JKB3" s="214"/>
      <c r="JKC3" s="215"/>
      <c r="JKD3" s="215"/>
      <c r="JKE3" s="216"/>
      <c r="JKF3" s="216"/>
      <c r="JKG3" s="216"/>
      <c r="JKI3" s="210"/>
      <c r="JKN3" s="215"/>
      <c r="JKO3" s="215"/>
      <c r="JKP3" s="215"/>
      <c r="JKQ3" s="215"/>
      <c r="JKR3" s="215"/>
      <c r="JKS3" s="215"/>
      <c r="JKT3" s="215"/>
      <c r="JKU3" s="217"/>
      <c r="JKV3" s="217"/>
      <c r="JKY3" s="214"/>
      <c r="JKZ3" s="210"/>
      <c r="JLA3" s="210"/>
      <c r="JLB3" s="210"/>
      <c r="JLC3" s="210"/>
      <c r="JLI3" s="212"/>
      <c r="JLK3" s="210"/>
      <c r="JLL3" s="213"/>
      <c r="JLQ3" s="212"/>
      <c r="JLR3" s="212"/>
      <c r="JLS3" s="212"/>
      <c r="JLT3" s="213"/>
      <c r="JLV3" s="212"/>
      <c r="JLW3" s="212"/>
      <c r="JLY3" s="212"/>
      <c r="JLZ3" s="212"/>
      <c r="JMA3" s="212"/>
      <c r="JMB3" s="214"/>
      <c r="JMC3" s="215"/>
      <c r="JMD3" s="215"/>
      <c r="JME3" s="216"/>
      <c r="JMF3" s="216"/>
      <c r="JMG3" s="216"/>
      <c r="JMI3" s="210"/>
      <c r="JMN3" s="215"/>
      <c r="JMO3" s="215"/>
      <c r="JMP3" s="215"/>
      <c r="JMQ3" s="215"/>
      <c r="JMR3" s="215"/>
      <c r="JMS3" s="215"/>
      <c r="JMT3" s="215"/>
      <c r="JMU3" s="217"/>
      <c r="JMV3" s="217"/>
      <c r="JMY3" s="214"/>
      <c r="JMZ3" s="210"/>
      <c r="JNA3" s="210"/>
      <c r="JNB3" s="210"/>
      <c r="JNC3" s="210"/>
      <c r="JNI3" s="212"/>
      <c r="JNK3" s="210"/>
      <c r="JNL3" s="213"/>
      <c r="JNQ3" s="212"/>
      <c r="JNR3" s="212"/>
      <c r="JNS3" s="212"/>
      <c r="JNT3" s="213"/>
      <c r="JNV3" s="212"/>
      <c r="JNW3" s="212"/>
      <c r="JNY3" s="212"/>
      <c r="JNZ3" s="212"/>
      <c r="JOA3" s="212"/>
      <c r="JOB3" s="214"/>
      <c r="JOC3" s="215"/>
      <c r="JOD3" s="215"/>
      <c r="JOE3" s="216"/>
      <c r="JOF3" s="216"/>
      <c r="JOG3" s="216"/>
      <c r="JOI3" s="210"/>
      <c r="JON3" s="215"/>
      <c r="JOO3" s="215"/>
      <c r="JOP3" s="215"/>
      <c r="JOQ3" s="215"/>
      <c r="JOR3" s="215"/>
      <c r="JOS3" s="215"/>
      <c r="JOT3" s="215"/>
      <c r="JOU3" s="217"/>
      <c r="JOV3" s="217"/>
      <c r="JOY3" s="214"/>
      <c r="JOZ3" s="210"/>
      <c r="JPA3" s="210"/>
      <c r="JPB3" s="210"/>
      <c r="JPC3" s="210"/>
      <c r="JPI3" s="212"/>
      <c r="JPK3" s="210"/>
      <c r="JPL3" s="213"/>
      <c r="JPQ3" s="212"/>
      <c r="JPR3" s="212"/>
      <c r="JPS3" s="212"/>
      <c r="JPT3" s="213"/>
      <c r="JPV3" s="212"/>
      <c r="JPW3" s="212"/>
      <c r="JPY3" s="212"/>
      <c r="JPZ3" s="212"/>
      <c r="JQA3" s="212"/>
      <c r="JQB3" s="214"/>
      <c r="JQC3" s="215"/>
      <c r="JQD3" s="215"/>
      <c r="JQE3" s="216"/>
      <c r="JQF3" s="216"/>
      <c r="JQG3" s="216"/>
      <c r="JQI3" s="210"/>
      <c r="JQN3" s="215"/>
      <c r="JQO3" s="215"/>
      <c r="JQP3" s="215"/>
      <c r="JQQ3" s="215"/>
      <c r="JQR3" s="215"/>
      <c r="JQS3" s="215"/>
      <c r="JQT3" s="215"/>
      <c r="JQU3" s="217"/>
      <c r="JQV3" s="217"/>
      <c r="JQY3" s="214"/>
      <c r="JQZ3" s="210"/>
      <c r="JRA3" s="210"/>
      <c r="JRB3" s="210"/>
      <c r="JRC3" s="210"/>
      <c r="JRI3" s="212"/>
      <c r="JRK3" s="210"/>
      <c r="JRL3" s="213"/>
      <c r="JRQ3" s="212"/>
      <c r="JRR3" s="212"/>
      <c r="JRS3" s="212"/>
      <c r="JRT3" s="213"/>
      <c r="JRV3" s="212"/>
      <c r="JRW3" s="212"/>
      <c r="JRY3" s="212"/>
      <c r="JRZ3" s="212"/>
      <c r="JSA3" s="212"/>
      <c r="JSB3" s="214"/>
      <c r="JSC3" s="215"/>
      <c r="JSD3" s="215"/>
      <c r="JSE3" s="216"/>
      <c r="JSF3" s="216"/>
      <c r="JSG3" s="216"/>
      <c r="JSI3" s="210"/>
      <c r="JSN3" s="215"/>
      <c r="JSO3" s="215"/>
      <c r="JSP3" s="215"/>
      <c r="JSQ3" s="215"/>
      <c r="JSR3" s="215"/>
      <c r="JSS3" s="215"/>
      <c r="JST3" s="215"/>
      <c r="JSU3" s="217"/>
      <c r="JSV3" s="217"/>
      <c r="JSY3" s="214"/>
      <c r="JSZ3" s="210"/>
      <c r="JTA3" s="210"/>
      <c r="JTB3" s="210"/>
      <c r="JTC3" s="210"/>
      <c r="JTI3" s="212"/>
      <c r="JTK3" s="210"/>
      <c r="JTL3" s="213"/>
      <c r="JTQ3" s="212"/>
      <c r="JTR3" s="212"/>
      <c r="JTS3" s="212"/>
      <c r="JTT3" s="213"/>
      <c r="JTV3" s="212"/>
      <c r="JTW3" s="212"/>
      <c r="JTY3" s="212"/>
      <c r="JTZ3" s="212"/>
      <c r="JUA3" s="212"/>
      <c r="JUB3" s="214"/>
      <c r="JUC3" s="215"/>
      <c r="JUD3" s="215"/>
      <c r="JUE3" s="216"/>
      <c r="JUF3" s="216"/>
      <c r="JUG3" s="216"/>
      <c r="JUI3" s="210"/>
      <c r="JUN3" s="215"/>
      <c r="JUO3" s="215"/>
      <c r="JUP3" s="215"/>
      <c r="JUQ3" s="215"/>
      <c r="JUR3" s="215"/>
      <c r="JUS3" s="215"/>
      <c r="JUT3" s="215"/>
      <c r="JUU3" s="217"/>
      <c r="JUV3" s="217"/>
      <c r="JUY3" s="214"/>
      <c r="JUZ3" s="210"/>
      <c r="JVA3" s="210"/>
      <c r="JVB3" s="210"/>
      <c r="JVC3" s="210"/>
      <c r="JVI3" s="212"/>
      <c r="JVK3" s="210"/>
      <c r="JVL3" s="213"/>
      <c r="JVQ3" s="212"/>
      <c r="JVR3" s="212"/>
      <c r="JVS3" s="212"/>
      <c r="JVT3" s="213"/>
      <c r="JVV3" s="212"/>
      <c r="JVW3" s="212"/>
      <c r="JVY3" s="212"/>
      <c r="JVZ3" s="212"/>
      <c r="JWA3" s="212"/>
      <c r="JWB3" s="214"/>
      <c r="JWC3" s="215"/>
      <c r="JWD3" s="215"/>
      <c r="JWE3" s="216"/>
      <c r="JWF3" s="216"/>
      <c r="JWG3" s="216"/>
      <c r="JWI3" s="210"/>
      <c r="JWN3" s="215"/>
      <c r="JWO3" s="215"/>
      <c r="JWP3" s="215"/>
      <c r="JWQ3" s="215"/>
      <c r="JWR3" s="215"/>
      <c r="JWS3" s="215"/>
      <c r="JWT3" s="215"/>
      <c r="JWU3" s="217"/>
      <c r="JWV3" s="217"/>
      <c r="JWY3" s="214"/>
      <c r="JWZ3" s="210"/>
      <c r="JXA3" s="210"/>
      <c r="JXB3" s="210"/>
      <c r="JXC3" s="210"/>
      <c r="JXI3" s="212"/>
      <c r="JXK3" s="210"/>
      <c r="JXL3" s="213"/>
      <c r="JXQ3" s="212"/>
      <c r="JXR3" s="212"/>
      <c r="JXS3" s="212"/>
      <c r="JXT3" s="213"/>
      <c r="JXV3" s="212"/>
      <c r="JXW3" s="212"/>
      <c r="JXY3" s="212"/>
      <c r="JXZ3" s="212"/>
      <c r="JYA3" s="212"/>
      <c r="JYB3" s="214"/>
      <c r="JYC3" s="215"/>
      <c r="JYD3" s="215"/>
      <c r="JYE3" s="216"/>
      <c r="JYF3" s="216"/>
      <c r="JYG3" s="216"/>
      <c r="JYI3" s="210"/>
      <c r="JYN3" s="215"/>
      <c r="JYO3" s="215"/>
      <c r="JYP3" s="215"/>
      <c r="JYQ3" s="215"/>
      <c r="JYR3" s="215"/>
      <c r="JYS3" s="215"/>
      <c r="JYT3" s="215"/>
      <c r="JYU3" s="217"/>
      <c r="JYV3" s="217"/>
      <c r="JYY3" s="214"/>
      <c r="JYZ3" s="210"/>
      <c r="JZA3" s="210"/>
      <c r="JZB3" s="210"/>
      <c r="JZC3" s="210"/>
      <c r="JZI3" s="212"/>
      <c r="JZK3" s="210"/>
      <c r="JZL3" s="213"/>
      <c r="JZQ3" s="212"/>
      <c r="JZR3" s="212"/>
      <c r="JZS3" s="212"/>
      <c r="JZT3" s="213"/>
      <c r="JZV3" s="212"/>
      <c r="JZW3" s="212"/>
      <c r="JZY3" s="212"/>
      <c r="JZZ3" s="212"/>
      <c r="KAA3" s="212"/>
      <c r="KAB3" s="214"/>
      <c r="KAC3" s="215"/>
      <c r="KAD3" s="215"/>
      <c r="KAE3" s="216"/>
      <c r="KAF3" s="216"/>
      <c r="KAG3" s="216"/>
      <c r="KAI3" s="210"/>
      <c r="KAN3" s="215"/>
      <c r="KAO3" s="215"/>
      <c r="KAP3" s="215"/>
      <c r="KAQ3" s="215"/>
      <c r="KAR3" s="215"/>
      <c r="KAS3" s="215"/>
      <c r="KAT3" s="215"/>
      <c r="KAU3" s="217"/>
      <c r="KAV3" s="217"/>
      <c r="KAY3" s="214"/>
      <c r="KAZ3" s="210"/>
      <c r="KBA3" s="210"/>
      <c r="KBB3" s="210"/>
      <c r="KBC3" s="210"/>
      <c r="KBI3" s="212"/>
      <c r="KBK3" s="210"/>
      <c r="KBL3" s="213"/>
      <c r="KBQ3" s="212"/>
      <c r="KBR3" s="212"/>
      <c r="KBS3" s="212"/>
      <c r="KBT3" s="213"/>
      <c r="KBV3" s="212"/>
      <c r="KBW3" s="212"/>
      <c r="KBY3" s="212"/>
      <c r="KBZ3" s="212"/>
      <c r="KCA3" s="212"/>
      <c r="KCB3" s="214"/>
      <c r="KCC3" s="215"/>
      <c r="KCD3" s="215"/>
      <c r="KCE3" s="216"/>
      <c r="KCF3" s="216"/>
      <c r="KCG3" s="216"/>
      <c r="KCI3" s="210"/>
      <c r="KCN3" s="215"/>
      <c r="KCO3" s="215"/>
      <c r="KCP3" s="215"/>
      <c r="KCQ3" s="215"/>
      <c r="KCR3" s="215"/>
      <c r="KCS3" s="215"/>
      <c r="KCT3" s="215"/>
      <c r="KCU3" s="217"/>
      <c r="KCV3" s="217"/>
      <c r="KCY3" s="214"/>
      <c r="KCZ3" s="210"/>
      <c r="KDA3" s="210"/>
      <c r="KDB3" s="210"/>
      <c r="KDC3" s="210"/>
      <c r="KDI3" s="212"/>
      <c r="KDK3" s="210"/>
      <c r="KDL3" s="213"/>
      <c r="KDQ3" s="212"/>
      <c r="KDR3" s="212"/>
      <c r="KDS3" s="212"/>
      <c r="KDT3" s="213"/>
      <c r="KDV3" s="212"/>
      <c r="KDW3" s="212"/>
      <c r="KDY3" s="212"/>
      <c r="KDZ3" s="212"/>
      <c r="KEA3" s="212"/>
      <c r="KEB3" s="214"/>
      <c r="KEC3" s="215"/>
      <c r="KED3" s="215"/>
      <c r="KEE3" s="216"/>
      <c r="KEF3" s="216"/>
      <c r="KEG3" s="216"/>
      <c r="KEI3" s="210"/>
      <c r="KEN3" s="215"/>
      <c r="KEO3" s="215"/>
      <c r="KEP3" s="215"/>
      <c r="KEQ3" s="215"/>
      <c r="KER3" s="215"/>
      <c r="KES3" s="215"/>
      <c r="KET3" s="215"/>
      <c r="KEU3" s="217"/>
      <c r="KEV3" s="217"/>
      <c r="KEY3" s="214"/>
      <c r="KEZ3" s="210"/>
      <c r="KFA3" s="210"/>
      <c r="KFB3" s="210"/>
      <c r="KFC3" s="210"/>
      <c r="KFI3" s="212"/>
      <c r="KFK3" s="210"/>
      <c r="KFL3" s="213"/>
      <c r="KFQ3" s="212"/>
      <c r="KFR3" s="212"/>
      <c r="KFS3" s="212"/>
      <c r="KFT3" s="213"/>
      <c r="KFV3" s="212"/>
      <c r="KFW3" s="212"/>
      <c r="KFY3" s="212"/>
      <c r="KFZ3" s="212"/>
      <c r="KGA3" s="212"/>
      <c r="KGB3" s="214"/>
      <c r="KGC3" s="215"/>
      <c r="KGD3" s="215"/>
      <c r="KGE3" s="216"/>
      <c r="KGF3" s="216"/>
      <c r="KGG3" s="216"/>
      <c r="KGI3" s="210"/>
      <c r="KGN3" s="215"/>
      <c r="KGO3" s="215"/>
      <c r="KGP3" s="215"/>
      <c r="KGQ3" s="215"/>
      <c r="KGR3" s="215"/>
      <c r="KGS3" s="215"/>
      <c r="KGT3" s="215"/>
      <c r="KGU3" s="217"/>
      <c r="KGV3" s="217"/>
      <c r="KGY3" s="214"/>
      <c r="KGZ3" s="210"/>
      <c r="KHA3" s="210"/>
      <c r="KHB3" s="210"/>
      <c r="KHC3" s="210"/>
      <c r="KHI3" s="212"/>
      <c r="KHK3" s="210"/>
      <c r="KHL3" s="213"/>
      <c r="KHQ3" s="212"/>
      <c r="KHR3" s="212"/>
      <c r="KHS3" s="212"/>
      <c r="KHT3" s="213"/>
      <c r="KHV3" s="212"/>
      <c r="KHW3" s="212"/>
      <c r="KHY3" s="212"/>
      <c r="KHZ3" s="212"/>
      <c r="KIA3" s="212"/>
      <c r="KIB3" s="214"/>
      <c r="KIC3" s="215"/>
      <c r="KID3" s="215"/>
      <c r="KIE3" s="216"/>
      <c r="KIF3" s="216"/>
      <c r="KIG3" s="216"/>
      <c r="KII3" s="210"/>
      <c r="KIN3" s="215"/>
      <c r="KIO3" s="215"/>
      <c r="KIP3" s="215"/>
      <c r="KIQ3" s="215"/>
      <c r="KIR3" s="215"/>
      <c r="KIS3" s="215"/>
      <c r="KIT3" s="215"/>
      <c r="KIU3" s="217"/>
      <c r="KIV3" s="217"/>
      <c r="KIY3" s="214"/>
      <c r="KIZ3" s="210"/>
      <c r="KJA3" s="210"/>
      <c r="KJB3" s="210"/>
      <c r="KJC3" s="210"/>
      <c r="KJI3" s="212"/>
      <c r="KJK3" s="210"/>
      <c r="KJL3" s="213"/>
      <c r="KJQ3" s="212"/>
      <c r="KJR3" s="212"/>
      <c r="KJS3" s="212"/>
      <c r="KJT3" s="213"/>
      <c r="KJV3" s="212"/>
      <c r="KJW3" s="212"/>
      <c r="KJY3" s="212"/>
      <c r="KJZ3" s="212"/>
      <c r="KKA3" s="212"/>
      <c r="KKB3" s="214"/>
      <c r="KKC3" s="215"/>
      <c r="KKD3" s="215"/>
      <c r="KKE3" s="216"/>
      <c r="KKF3" s="216"/>
      <c r="KKG3" s="216"/>
      <c r="KKI3" s="210"/>
      <c r="KKN3" s="215"/>
      <c r="KKO3" s="215"/>
      <c r="KKP3" s="215"/>
      <c r="KKQ3" s="215"/>
      <c r="KKR3" s="215"/>
      <c r="KKS3" s="215"/>
      <c r="KKT3" s="215"/>
      <c r="KKU3" s="217"/>
      <c r="KKV3" s="217"/>
      <c r="KKY3" s="214"/>
      <c r="KKZ3" s="210"/>
      <c r="KLA3" s="210"/>
      <c r="KLB3" s="210"/>
      <c r="KLC3" s="210"/>
      <c r="KLI3" s="212"/>
      <c r="KLK3" s="210"/>
      <c r="KLL3" s="213"/>
      <c r="KLQ3" s="212"/>
      <c r="KLR3" s="212"/>
      <c r="KLS3" s="212"/>
      <c r="KLT3" s="213"/>
      <c r="KLV3" s="212"/>
      <c r="KLW3" s="212"/>
      <c r="KLY3" s="212"/>
      <c r="KLZ3" s="212"/>
      <c r="KMA3" s="212"/>
      <c r="KMB3" s="214"/>
      <c r="KMC3" s="215"/>
      <c r="KMD3" s="215"/>
      <c r="KME3" s="216"/>
      <c r="KMF3" s="216"/>
      <c r="KMG3" s="216"/>
      <c r="KMI3" s="210"/>
      <c r="KMN3" s="215"/>
      <c r="KMO3" s="215"/>
      <c r="KMP3" s="215"/>
      <c r="KMQ3" s="215"/>
      <c r="KMR3" s="215"/>
      <c r="KMS3" s="215"/>
      <c r="KMT3" s="215"/>
      <c r="KMU3" s="217"/>
      <c r="KMV3" s="217"/>
      <c r="KMY3" s="214"/>
      <c r="KMZ3" s="210"/>
      <c r="KNA3" s="210"/>
      <c r="KNB3" s="210"/>
      <c r="KNC3" s="210"/>
      <c r="KNI3" s="212"/>
      <c r="KNK3" s="210"/>
      <c r="KNL3" s="213"/>
      <c r="KNQ3" s="212"/>
      <c r="KNR3" s="212"/>
      <c r="KNS3" s="212"/>
      <c r="KNT3" s="213"/>
      <c r="KNV3" s="212"/>
      <c r="KNW3" s="212"/>
      <c r="KNY3" s="212"/>
      <c r="KNZ3" s="212"/>
      <c r="KOA3" s="212"/>
      <c r="KOB3" s="214"/>
      <c r="KOC3" s="215"/>
      <c r="KOD3" s="215"/>
      <c r="KOE3" s="216"/>
      <c r="KOF3" s="216"/>
      <c r="KOG3" s="216"/>
      <c r="KOI3" s="210"/>
      <c r="KON3" s="215"/>
      <c r="KOO3" s="215"/>
      <c r="KOP3" s="215"/>
      <c r="KOQ3" s="215"/>
      <c r="KOR3" s="215"/>
      <c r="KOS3" s="215"/>
      <c r="KOT3" s="215"/>
      <c r="KOU3" s="217"/>
      <c r="KOV3" s="217"/>
      <c r="KOY3" s="214"/>
      <c r="KOZ3" s="210"/>
      <c r="KPA3" s="210"/>
      <c r="KPB3" s="210"/>
      <c r="KPC3" s="210"/>
      <c r="KPI3" s="212"/>
      <c r="KPK3" s="210"/>
      <c r="KPL3" s="213"/>
      <c r="KPQ3" s="212"/>
      <c r="KPR3" s="212"/>
      <c r="KPS3" s="212"/>
      <c r="KPT3" s="213"/>
      <c r="KPV3" s="212"/>
      <c r="KPW3" s="212"/>
      <c r="KPY3" s="212"/>
      <c r="KPZ3" s="212"/>
      <c r="KQA3" s="212"/>
      <c r="KQB3" s="214"/>
      <c r="KQC3" s="215"/>
      <c r="KQD3" s="215"/>
      <c r="KQE3" s="216"/>
      <c r="KQF3" s="216"/>
      <c r="KQG3" s="216"/>
      <c r="KQI3" s="210"/>
      <c r="KQN3" s="215"/>
      <c r="KQO3" s="215"/>
      <c r="KQP3" s="215"/>
      <c r="KQQ3" s="215"/>
      <c r="KQR3" s="215"/>
      <c r="KQS3" s="215"/>
      <c r="KQT3" s="215"/>
      <c r="KQU3" s="217"/>
      <c r="KQV3" s="217"/>
      <c r="KQY3" s="214"/>
      <c r="KQZ3" s="210"/>
      <c r="KRA3" s="210"/>
      <c r="KRB3" s="210"/>
      <c r="KRC3" s="210"/>
      <c r="KRI3" s="212"/>
      <c r="KRK3" s="210"/>
      <c r="KRL3" s="213"/>
      <c r="KRQ3" s="212"/>
      <c r="KRR3" s="212"/>
      <c r="KRS3" s="212"/>
      <c r="KRT3" s="213"/>
      <c r="KRV3" s="212"/>
      <c r="KRW3" s="212"/>
      <c r="KRY3" s="212"/>
      <c r="KRZ3" s="212"/>
      <c r="KSA3" s="212"/>
      <c r="KSB3" s="214"/>
      <c r="KSC3" s="215"/>
      <c r="KSD3" s="215"/>
      <c r="KSE3" s="216"/>
      <c r="KSF3" s="216"/>
      <c r="KSG3" s="216"/>
      <c r="KSI3" s="210"/>
      <c r="KSN3" s="215"/>
      <c r="KSO3" s="215"/>
      <c r="KSP3" s="215"/>
      <c r="KSQ3" s="215"/>
      <c r="KSR3" s="215"/>
      <c r="KSS3" s="215"/>
      <c r="KST3" s="215"/>
      <c r="KSU3" s="217"/>
      <c r="KSV3" s="217"/>
      <c r="KSY3" s="214"/>
      <c r="KSZ3" s="210"/>
      <c r="KTA3" s="210"/>
      <c r="KTB3" s="210"/>
      <c r="KTC3" s="210"/>
      <c r="KTI3" s="212"/>
      <c r="KTK3" s="210"/>
      <c r="KTL3" s="213"/>
      <c r="KTQ3" s="212"/>
      <c r="KTR3" s="212"/>
      <c r="KTS3" s="212"/>
      <c r="KTT3" s="213"/>
      <c r="KTV3" s="212"/>
      <c r="KTW3" s="212"/>
      <c r="KTY3" s="212"/>
      <c r="KTZ3" s="212"/>
      <c r="KUA3" s="212"/>
      <c r="KUB3" s="214"/>
      <c r="KUC3" s="215"/>
      <c r="KUD3" s="215"/>
      <c r="KUE3" s="216"/>
      <c r="KUF3" s="216"/>
      <c r="KUG3" s="216"/>
      <c r="KUI3" s="210"/>
      <c r="KUN3" s="215"/>
      <c r="KUO3" s="215"/>
      <c r="KUP3" s="215"/>
      <c r="KUQ3" s="215"/>
      <c r="KUR3" s="215"/>
      <c r="KUS3" s="215"/>
      <c r="KUT3" s="215"/>
      <c r="KUU3" s="217"/>
      <c r="KUV3" s="217"/>
      <c r="KUY3" s="214"/>
      <c r="KUZ3" s="210"/>
      <c r="KVA3" s="210"/>
      <c r="KVB3" s="210"/>
      <c r="KVC3" s="210"/>
      <c r="KVI3" s="212"/>
      <c r="KVK3" s="210"/>
      <c r="KVL3" s="213"/>
      <c r="KVQ3" s="212"/>
      <c r="KVR3" s="212"/>
      <c r="KVS3" s="212"/>
      <c r="KVT3" s="213"/>
      <c r="KVV3" s="212"/>
      <c r="KVW3" s="212"/>
      <c r="KVY3" s="212"/>
      <c r="KVZ3" s="212"/>
      <c r="KWA3" s="212"/>
      <c r="KWB3" s="214"/>
      <c r="KWC3" s="215"/>
      <c r="KWD3" s="215"/>
      <c r="KWE3" s="216"/>
      <c r="KWF3" s="216"/>
      <c r="KWG3" s="216"/>
      <c r="KWI3" s="210"/>
      <c r="KWN3" s="215"/>
      <c r="KWO3" s="215"/>
      <c r="KWP3" s="215"/>
      <c r="KWQ3" s="215"/>
      <c r="KWR3" s="215"/>
      <c r="KWS3" s="215"/>
      <c r="KWT3" s="215"/>
      <c r="KWU3" s="217"/>
      <c r="KWV3" s="217"/>
      <c r="KWY3" s="214"/>
      <c r="KWZ3" s="210"/>
      <c r="KXA3" s="210"/>
      <c r="KXB3" s="210"/>
      <c r="KXC3" s="210"/>
      <c r="KXI3" s="212"/>
      <c r="KXK3" s="210"/>
      <c r="KXL3" s="213"/>
      <c r="KXQ3" s="212"/>
      <c r="KXR3" s="212"/>
      <c r="KXS3" s="212"/>
      <c r="KXT3" s="213"/>
      <c r="KXV3" s="212"/>
      <c r="KXW3" s="212"/>
      <c r="KXY3" s="212"/>
      <c r="KXZ3" s="212"/>
      <c r="KYA3" s="212"/>
      <c r="KYB3" s="214"/>
      <c r="KYC3" s="215"/>
      <c r="KYD3" s="215"/>
      <c r="KYE3" s="216"/>
      <c r="KYF3" s="216"/>
      <c r="KYG3" s="216"/>
      <c r="KYI3" s="210"/>
      <c r="KYN3" s="215"/>
      <c r="KYO3" s="215"/>
      <c r="KYP3" s="215"/>
      <c r="KYQ3" s="215"/>
      <c r="KYR3" s="215"/>
      <c r="KYS3" s="215"/>
      <c r="KYT3" s="215"/>
      <c r="KYU3" s="217"/>
      <c r="KYV3" s="217"/>
      <c r="KYY3" s="214"/>
      <c r="KYZ3" s="210"/>
      <c r="KZA3" s="210"/>
      <c r="KZB3" s="210"/>
      <c r="KZC3" s="210"/>
      <c r="KZI3" s="212"/>
      <c r="KZK3" s="210"/>
      <c r="KZL3" s="213"/>
      <c r="KZQ3" s="212"/>
      <c r="KZR3" s="212"/>
      <c r="KZS3" s="212"/>
      <c r="KZT3" s="213"/>
      <c r="KZV3" s="212"/>
      <c r="KZW3" s="212"/>
      <c r="KZY3" s="212"/>
      <c r="KZZ3" s="212"/>
      <c r="LAA3" s="212"/>
      <c r="LAB3" s="214"/>
      <c r="LAC3" s="215"/>
      <c r="LAD3" s="215"/>
      <c r="LAE3" s="216"/>
      <c r="LAF3" s="216"/>
      <c r="LAG3" s="216"/>
      <c r="LAI3" s="210"/>
      <c r="LAN3" s="215"/>
      <c r="LAO3" s="215"/>
      <c r="LAP3" s="215"/>
      <c r="LAQ3" s="215"/>
      <c r="LAR3" s="215"/>
      <c r="LAS3" s="215"/>
      <c r="LAT3" s="215"/>
      <c r="LAU3" s="217"/>
      <c r="LAV3" s="217"/>
      <c r="LAY3" s="214"/>
      <c r="LAZ3" s="210"/>
      <c r="LBA3" s="210"/>
      <c r="LBB3" s="210"/>
      <c r="LBC3" s="210"/>
      <c r="LBI3" s="212"/>
      <c r="LBK3" s="210"/>
      <c r="LBL3" s="213"/>
      <c r="LBQ3" s="212"/>
      <c r="LBR3" s="212"/>
      <c r="LBS3" s="212"/>
      <c r="LBT3" s="213"/>
      <c r="LBV3" s="212"/>
      <c r="LBW3" s="212"/>
      <c r="LBY3" s="212"/>
      <c r="LBZ3" s="212"/>
      <c r="LCA3" s="212"/>
      <c r="LCB3" s="214"/>
      <c r="LCC3" s="215"/>
      <c r="LCD3" s="215"/>
      <c r="LCE3" s="216"/>
      <c r="LCF3" s="216"/>
      <c r="LCG3" s="216"/>
      <c r="LCI3" s="210"/>
      <c r="LCN3" s="215"/>
      <c r="LCO3" s="215"/>
      <c r="LCP3" s="215"/>
      <c r="LCQ3" s="215"/>
      <c r="LCR3" s="215"/>
      <c r="LCS3" s="215"/>
      <c r="LCT3" s="215"/>
      <c r="LCU3" s="217"/>
      <c r="LCV3" s="217"/>
      <c r="LCY3" s="214"/>
      <c r="LCZ3" s="210"/>
      <c r="LDA3" s="210"/>
      <c r="LDB3" s="210"/>
      <c r="LDC3" s="210"/>
      <c r="LDI3" s="212"/>
      <c r="LDK3" s="210"/>
      <c r="LDL3" s="213"/>
      <c r="LDQ3" s="212"/>
      <c r="LDR3" s="212"/>
      <c r="LDS3" s="212"/>
      <c r="LDT3" s="213"/>
      <c r="LDV3" s="212"/>
      <c r="LDW3" s="212"/>
      <c r="LDY3" s="212"/>
      <c r="LDZ3" s="212"/>
      <c r="LEA3" s="212"/>
      <c r="LEB3" s="214"/>
      <c r="LEC3" s="215"/>
      <c r="LED3" s="215"/>
      <c r="LEE3" s="216"/>
      <c r="LEF3" s="216"/>
      <c r="LEG3" s="216"/>
      <c r="LEI3" s="210"/>
      <c r="LEN3" s="215"/>
      <c r="LEO3" s="215"/>
      <c r="LEP3" s="215"/>
      <c r="LEQ3" s="215"/>
      <c r="LER3" s="215"/>
      <c r="LES3" s="215"/>
      <c r="LET3" s="215"/>
      <c r="LEU3" s="217"/>
      <c r="LEV3" s="217"/>
      <c r="LEY3" s="214"/>
      <c r="LEZ3" s="210"/>
      <c r="LFA3" s="210"/>
      <c r="LFB3" s="210"/>
      <c r="LFC3" s="210"/>
      <c r="LFI3" s="212"/>
      <c r="LFK3" s="210"/>
      <c r="LFL3" s="213"/>
      <c r="LFQ3" s="212"/>
      <c r="LFR3" s="212"/>
      <c r="LFS3" s="212"/>
      <c r="LFT3" s="213"/>
      <c r="LFV3" s="212"/>
      <c r="LFW3" s="212"/>
      <c r="LFY3" s="212"/>
      <c r="LFZ3" s="212"/>
      <c r="LGA3" s="212"/>
      <c r="LGB3" s="214"/>
      <c r="LGC3" s="215"/>
      <c r="LGD3" s="215"/>
      <c r="LGE3" s="216"/>
      <c r="LGF3" s="216"/>
      <c r="LGG3" s="216"/>
      <c r="LGI3" s="210"/>
      <c r="LGN3" s="215"/>
      <c r="LGO3" s="215"/>
      <c r="LGP3" s="215"/>
      <c r="LGQ3" s="215"/>
      <c r="LGR3" s="215"/>
      <c r="LGS3" s="215"/>
      <c r="LGT3" s="215"/>
      <c r="LGU3" s="217"/>
      <c r="LGV3" s="217"/>
      <c r="LGY3" s="214"/>
      <c r="LGZ3" s="210"/>
      <c r="LHA3" s="210"/>
      <c r="LHB3" s="210"/>
      <c r="LHC3" s="210"/>
      <c r="LHI3" s="212"/>
      <c r="LHK3" s="210"/>
      <c r="LHL3" s="213"/>
      <c r="LHQ3" s="212"/>
      <c r="LHR3" s="212"/>
      <c r="LHS3" s="212"/>
      <c r="LHT3" s="213"/>
      <c r="LHV3" s="212"/>
      <c r="LHW3" s="212"/>
      <c r="LHY3" s="212"/>
      <c r="LHZ3" s="212"/>
      <c r="LIA3" s="212"/>
      <c r="LIB3" s="214"/>
      <c r="LIC3" s="215"/>
      <c r="LID3" s="215"/>
      <c r="LIE3" s="216"/>
      <c r="LIF3" s="216"/>
      <c r="LIG3" s="216"/>
      <c r="LII3" s="210"/>
      <c r="LIN3" s="215"/>
      <c r="LIO3" s="215"/>
      <c r="LIP3" s="215"/>
      <c r="LIQ3" s="215"/>
      <c r="LIR3" s="215"/>
      <c r="LIS3" s="215"/>
      <c r="LIT3" s="215"/>
      <c r="LIU3" s="217"/>
      <c r="LIV3" s="217"/>
      <c r="LIY3" s="214"/>
      <c r="LIZ3" s="210"/>
      <c r="LJA3" s="210"/>
      <c r="LJB3" s="210"/>
      <c r="LJC3" s="210"/>
      <c r="LJI3" s="212"/>
      <c r="LJK3" s="210"/>
      <c r="LJL3" s="213"/>
      <c r="LJQ3" s="212"/>
      <c r="LJR3" s="212"/>
      <c r="LJS3" s="212"/>
      <c r="LJT3" s="213"/>
      <c r="LJV3" s="212"/>
      <c r="LJW3" s="212"/>
      <c r="LJY3" s="212"/>
      <c r="LJZ3" s="212"/>
      <c r="LKA3" s="212"/>
      <c r="LKB3" s="214"/>
      <c r="LKC3" s="215"/>
      <c r="LKD3" s="215"/>
      <c r="LKE3" s="216"/>
      <c r="LKF3" s="216"/>
      <c r="LKG3" s="216"/>
      <c r="LKI3" s="210"/>
      <c r="LKN3" s="215"/>
      <c r="LKO3" s="215"/>
      <c r="LKP3" s="215"/>
      <c r="LKQ3" s="215"/>
      <c r="LKR3" s="215"/>
      <c r="LKS3" s="215"/>
      <c r="LKT3" s="215"/>
      <c r="LKU3" s="217"/>
      <c r="LKV3" s="217"/>
      <c r="LKY3" s="214"/>
      <c r="LKZ3" s="210"/>
      <c r="LLA3" s="210"/>
      <c r="LLB3" s="210"/>
      <c r="LLC3" s="210"/>
      <c r="LLI3" s="212"/>
      <c r="LLK3" s="210"/>
      <c r="LLL3" s="213"/>
      <c r="LLQ3" s="212"/>
      <c r="LLR3" s="212"/>
      <c r="LLS3" s="212"/>
      <c r="LLT3" s="213"/>
      <c r="LLV3" s="212"/>
      <c r="LLW3" s="212"/>
      <c r="LLY3" s="212"/>
      <c r="LLZ3" s="212"/>
      <c r="LMA3" s="212"/>
      <c r="LMB3" s="214"/>
      <c r="LMC3" s="215"/>
      <c r="LMD3" s="215"/>
      <c r="LME3" s="216"/>
      <c r="LMF3" s="216"/>
      <c r="LMG3" s="216"/>
      <c r="LMI3" s="210"/>
      <c r="LMN3" s="215"/>
      <c r="LMO3" s="215"/>
      <c r="LMP3" s="215"/>
      <c r="LMQ3" s="215"/>
      <c r="LMR3" s="215"/>
      <c r="LMS3" s="215"/>
      <c r="LMT3" s="215"/>
      <c r="LMU3" s="217"/>
      <c r="LMV3" s="217"/>
      <c r="LMY3" s="214"/>
      <c r="LMZ3" s="210"/>
      <c r="LNA3" s="210"/>
      <c r="LNB3" s="210"/>
      <c r="LNC3" s="210"/>
      <c r="LNI3" s="212"/>
      <c r="LNK3" s="210"/>
      <c r="LNL3" s="213"/>
      <c r="LNQ3" s="212"/>
      <c r="LNR3" s="212"/>
      <c r="LNS3" s="212"/>
      <c r="LNT3" s="213"/>
      <c r="LNV3" s="212"/>
      <c r="LNW3" s="212"/>
      <c r="LNY3" s="212"/>
      <c r="LNZ3" s="212"/>
      <c r="LOA3" s="212"/>
      <c r="LOB3" s="214"/>
      <c r="LOC3" s="215"/>
      <c r="LOD3" s="215"/>
      <c r="LOE3" s="216"/>
      <c r="LOF3" s="216"/>
      <c r="LOG3" s="216"/>
      <c r="LOI3" s="210"/>
      <c r="LON3" s="215"/>
      <c r="LOO3" s="215"/>
      <c r="LOP3" s="215"/>
      <c r="LOQ3" s="215"/>
      <c r="LOR3" s="215"/>
      <c r="LOS3" s="215"/>
      <c r="LOT3" s="215"/>
      <c r="LOU3" s="217"/>
      <c r="LOV3" s="217"/>
      <c r="LOY3" s="214"/>
      <c r="LOZ3" s="210"/>
      <c r="LPA3" s="210"/>
      <c r="LPB3" s="210"/>
      <c r="LPC3" s="210"/>
      <c r="LPI3" s="212"/>
      <c r="LPK3" s="210"/>
      <c r="LPL3" s="213"/>
      <c r="LPQ3" s="212"/>
      <c r="LPR3" s="212"/>
      <c r="LPS3" s="212"/>
      <c r="LPT3" s="213"/>
      <c r="LPV3" s="212"/>
      <c r="LPW3" s="212"/>
      <c r="LPY3" s="212"/>
      <c r="LPZ3" s="212"/>
      <c r="LQA3" s="212"/>
      <c r="LQB3" s="214"/>
      <c r="LQC3" s="215"/>
      <c r="LQD3" s="215"/>
      <c r="LQE3" s="216"/>
      <c r="LQF3" s="216"/>
      <c r="LQG3" s="216"/>
      <c r="LQI3" s="210"/>
      <c r="LQN3" s="215"/>
      <c r="LQO3" s="215"/>
      <c r="LQP3" s="215"/>
      <c r="LQQ3" s="215"/>
      <c r="LQR3" s="215"/>
      <c r="LQS3" s="215"/>
      <c r="LQT3" s="215"/>
      <c r="LQU3" s="217"/>
      <c r="LQV3" s="217"/>
      <c r="LQY3" s="214"/>
      <c r="LQZ3" s="210"/>
      <c r="LRA3" s="210"/>
      <c r="LRB3" s="210"/>
      <c r="LRC3" s="210"/>
      <c r="LRI3" s="212"/>
      <c r="LRK3" s="210"/>
      <c r="LRL3" s="213"/>
      <c r="LRQ3" s="212"/>
      <c r="LRR3" s="212"/>
      <c r="LRS3" s="212"/>
      <c r="LRT3" s="213"/>
      <c r="LRV3" s="212"/>
      <c r="LRW3" s="212"/>
      <c r="LRY3" s="212"/>
      <c r="LRZ3" s="212"/>
      <c r="LSA3" s="212"/>
      <c r="LSB3" s="214"/>
      <c r="LSC3" s="215"/>
      <c r="LSD3" s="215"/>
      <c r="LSE3" s="216"/>
      <c r="LSF3" s="216"/>
      <c r="LSG3" s="216"/>
      <c r="LSI3" s="210"/>
      <c r="LSN3" s="215"/>
      <c r="LSO3" s="215"/>
      <c r="LSP3" s="215"/>
      <c r="LSQ3" s="215"/>
      <c r="LSR3" s="215"/>
      <c r="LSS3" s="215"/>
      <c r="LST3" s="215"/>
      <c r="LSU3" s="217"/>
      <c r="LSV3" s="217"/>
      <c r="LSY3" s="214"/>
      <c r="LSZ3" s="210"/>
      <c r="LTA3" s="210"/>
      <c r="LTB3" s="210"/>
      <c r="LTC3" s="210"/>
      <c r="LTI3" s="212"/>
      <c r="LTK3" s="210"/>
      <c r="LTL3" s="213"/>
      <c r="LTQ3" s="212"/>
      <c r="LTR3" s="212"/>
      <c r="LTS3" s="212"/>
      <c r="LTT3" s="213"/>
      <c r="LTV3" s="212"/>
      <c r="LTW3" s="212"/>
      <c r="LTY3" s="212"/>
      <c r="LTZ3" s="212"/>
      <c r="LUA3" s="212"/>
      <c r="LUB3" s="214"/>
      <c r="LUC3" s="215"/>
      <c r="LUD3" s="215"/>
      <c r="LUE3" s="216"/>
      <c r="LUF3" s="216"/>
      <c r="LUG3" s="216"/>
      <c r="LUI3" s="210"/>
      <c r="LUN3" s="215"/>
      <c r="LUO3" s="215"/>
      <c r="LUP3" s="215"/>
      <c r="LUQ3" s="215"/>
      <c r="LUR3" s="215"/>
      <c r="LUS3" s="215"/>
      <c r="LUT3" s="215"/>
      <c r="LUU3" s="217"/>
      <c r="LUV3" s="217"/>
      <c r="LUY3" s="214"/>
      <c r="LUZ3" s="210"/>
      <c r="LVA3" s="210"/>
      <c r="LVB3" s="210"/>
      <c r="LVC3" s="210"/>
      <c r="LVI3" s="212"/>
      <c r="LVK3" s="210"/>
      <c r="LVL3" s="213"/>
      <c r="LVQ3" s="212"/>
      <c r="LVR3" s="212"/>
      <c r="LVS3" s="212"/>
      <c r="LVT3" s="213"/>
      <c r="LVV3" s="212"/>
      <c r="LVW3" s="212"/>
      <c r="LVY3" s="212"/>
      <c r="LVZ3" s="212"/>
      <c r="LWA3" s="212"/>
      <c r="LWB3" s="214"/>
      <c r="LWC3" s="215"/>
      <c r="LWD3" s="215"/>
      <c r="LWE3" s="216"/>
      <c r="LWF3" s="216"/>
      <c r="LWG3" s="216"/>
      <c r="LWI3" s="210"/>
      <c r="LWN3" s="215"/>
      <c r="LWO3" s="215"/>
      <c r="LWP3" s="215"/>
      <c r="LWQ3" s="215"/>
      <c r="LWR3" s="215"/>
      <c r="LWS3" s="215"/>
      <c r="LWT3" s="215"/>
      <c r="LWU3" s="217"/>
      <c r="LWV3" s="217"/>
      <c r="LWY3" s="214"/>
      <c r="LWZ3" s="210"/>
      <c r="LXA3" s="210"/>
      <c r="LXB3" s="210"/>
      <c r="LXC3" s="210"/>
      <c r="LXI3" s="212"/>
      <c r="LXK3" s="210"/>
      <c r="LXL3" s="213"/>
      <c r="LXQ3" s="212"/>
      <c r="LXR3" s="212"/>
      <c r="LXS3" s="212"/>
      <c r="LXT3" s="213"/>
      <c r="LXV3" s="212"/>
      <c r="LXW3" s="212"/>
      <c r="LXY3" s="212"/>
      <c r="LXZ3" s="212"/>
      <c r="LYA3" s="212"/>
      <c r="LYB3" s="214"/>
      <c r="LYC3" s="215"/>
      <c r="LYD3" s="215"/>
      <c r="LYE3" s="216"/>
      <c r="LYF3" s="216"/>
      <c r="LYG3" s="216"/>
      <c r="LYI3" s="210"/>
      <c r="LYN3" s="215"/>
      <c r="LYO3" s="215"/>
      <c r="LYP3" s="215"/>
      <c r="LYQ3" s="215"/>
      <c r="LYR3" s="215"/>
      <c r="LYS3" s="215"/>
      <c r="LYT3" s="215"/>
      <c r="LYU3" s="217"/>
      <c r="LYV3" s="217"/>
      <c r="LYY3" s="214"/>
      <c r="LYZ3" s="210"/>
      <c r="LZA3" s="210"/>
      <c r="LZB3" s="210"/>
      <c r="LZC3" s="210"/>
      <c r="LZI3" s="212"/>
      <c r="LZK3" s="210"/>
      <c r="LZL3" s="213"/>
      <c r="LZQ3" s="212"/>
      <c r="LZR3" s="212"/>
      <c r="LZS3" s="212"/>
      <c r="LZT3" s="213"/>
      <c r="LZV3" s="212"/>
      <c r="LZW3" s="212"/>
      <c r="LZY3" s="212"/>
      <c r="LZZ3" s="212"/>
      <c r="MAA3" s="212"/>
      <c r="MAB3" s="214"/>
      <c r="MAC3" s="215"/>
      <c r="MAD3" s="215"/>
      <c r="MAE3" s="216"/>
      <c r="MAF3" s="216"/>
      <c r="MAG3" s="216"/>
      <c r="MAI3" s="210"/>
      <c r="MAN3" s="215"/>
      <c r="MAO3" s="215"/>
      <c r="MAP3" s="215"/>
      <c r="MAQ3" s="215"/>
      <c r="MAR3" s="215"/>
      <c r="MAS3" s="215"/>
      <c r="MAT3" s="215"/>
      <c r="MAU3" s="217"/>
      <c r="MAV3" s="217"/>
      <c r="MAY3" s="214"/>
      <c r="MAZ3" s="210"/>
      <c r="MBA3" s="210"/>
      <c r="MBB3" s="210"/>
      <c r="MBC3" s="210"/>
      <c r="MBI3" s="212"/>
      <c r="MBK3" s="210"/>
      <c r="MBL3" s="213"/>
      <c r="MBQ3" s="212"/>
      <c r="MBR3" s="212"/>
      <c r="MBS3" s="212"/>
      <c r="MBT3" s="213"/>
      <c r="MBV3" s="212"/>
      <c r="MBW3" s="212"/>
      <c r="MBY3" s="212"/>
      <c r="MBZ3" s="212"/>
      <c r="MCA3" s="212"/>
      <c r="MCB3" s="214"/>
      <c r="MCC3" s="215"/>
      <c r="MCD3" s="215"/>
      <c r="MCE3" s="216"/>
      <c r="MCF3" s="216"/>
      <c r="MCG3" s="216"/>
      <c r="MCI3" s="210"/>
      <c r="MCN3" s="215"/>
      <c r="MCO3" s="215"/>
      <c r="MCP3" s="215"/>
      <c r="MCQ3" s="215"/>
      <c r="MCR3" s="215"/>
      <c r="MCS3" s="215"/>
      <c r="MCT3" s="215"/>
      <c r="MCU3" s="217"/>
      <c r="MCV3" s="217"/>
      <c r="MCY3" s="214"/>
      <c r="MCZ3" s="210"/>
      <c r="MDA3" s="210"/>
      <c r="MDB3" s="210"/>
      <c r="MDC3" s="210"/>
      <c r="MDI3" s="212"/>
      <c r="MDK3" s="210"/>
      <c r="MDL3" s="213"/>
      <c r="MDQ3" s="212"/>
      <c r="MDR3" s="212"/>
      <c r="MDS3" s="212"/>
      <c r="MDT3" s="213"/>
      <c r="MDV3" s="212"/>
      <c r="MDW3" s="212"/>
      <c r="MDY3" s="212"/>
      <c r="MDZ3" s="212"/>
      <c r="MEA3" s="212"/>
      <c r="MEB3" s="214"/>
      <c r="MEC3" s="215"/>
      <c r="MED3" s="215"/>
      <c r="MEE3" s="216"/>
      <c r="MEF3" s="216"/>
      <c r="MEG3" s="216"/>
      <c r="MEI3" s="210"/>
      <c r="MEN3" s="215"/>
      <c r="MEO3" s="215"/>
      <c r="MEP3" s="215"/>
      <c r="MEQ3" s="215"/>
      <c r="MER3" s="215"/>
      <c r="MES3" s="215"/>
      <c r="MET3" s="215"/>
      <c r="MEU3" s="217"/>
      <c r="MEV3" s="217"/>
      <c r="MEY3" s="214"/>
      <c r="MEZ3" s="210"/>
      <c r="MFA3" s="210"/>
      <c r="MFB3" s="210"/>
      <c r="MFC3" s="210"/>
      <c r="MFI3" s="212"/>
      <c r="MFK3" s="210"/>
      <c r="MFL3" s="213"/>
      <c r="MFQ3" s="212"/>
      <c r="MFR3" s="212"/>
      <c r="MFS3" s="212"/>
      <c r="MFT3" s="213"/>
      <c r="MFV3" s="212"/>
      <c r="MFW3" s="212"/>
      <c r="MFY3" s="212"/>
      <c r="MFZ3" s="212"/>
      <c r="MGA3" s="212"/>
      <c r="MGB3" s="214"/>
      <c r="MGC3" s="215"/>
      <c r="MGD3" s="215"/>
      <c r="MGE3" s="216"/>
      <c r="MGF3" s="216"/>
      <c r="MGG3" s="216"/>
      <c r="MGI3" s="210"/>
      <c r="MGN3" s="215"/>
      <c r="MGO3" s="215"/>
      <c r="MGP3" s="215"/>
      <c r="MGQ3" s="215"/>
      <c r="MGR3" s="215"/>
      <c r="MGS3" s="215"/>
      <c r="MGT3" s="215"/>
      <c r="MGU3" s="217"/>
      <c r="MGV3" s="217"/>
      <c r="MGY3" s="214"/>
      <c r="MGZ3" s="210"/>
      <c r="MHA3" s="210"/>
      <c r="MHB3" s="210"/>
      <c r="MHC3" s="210"/>
      <c r="MHI3" s="212"/>
      <c r="MHK3" s="210"/>
      <c r="MHL3" s="213"/>
      <c r="MHQ3" s="212"/>
      <c r="MHR3" s="212"/>
      <c r="MHS3" s="212"/>
      <c r="MHT3" s="213"/>
      <c r="MHV3" s="212"/>
      <c r="MHW3" s="212"/>
      <c r="MHY3" s="212"/>
      <c r="MHZ3" s="212"/>
      <c r="MIA3" s="212"/>
      <c r="MIB3" s="214"/>
      <c r="MIC3" s="215"/>
      <c r="MID3" s="215"/>
      <c r="MIE3" s="216"/>
      <c r="MIF3" s="216"/>
      <c r="MIG3" s="216"/>
      <c r="MII3" s="210"/>
      <c r="MIN3" s="215"/>
      <c r="MIO3" s="215"/>
      <c r="MIP3" s="215"/>
      <c r="MIQ3" s="215"/>
      <c r="MIR3" s="215"/>
      <c r="MIS3" s="215"/>
      <c r="MIT3" s="215"/>
      <c r="MIU3" s="217"/>
      <c r="MIV3" s="217"/>
      <c r="MIY3" s="214"/>
      <c r="MIZ3" s="210"/>
      <c r="MJA3" s="210"/>
      <c r="MJB3" s="210"/>
      <c r="MJC3" s="210"/>
      <c r="MJI3" s="212"/>
      <c r="MJK3" s="210"/>
      <c r="MJL3" s="213"/>
      <c r="MJQ3" s="212"/>
      <c r="MJR3" s="212"/>
      <c r="MJS3" s="212"/>
      <c r="MJT3" s="213"/>
      <c r="MJV3" s="212"/>
      <c r="MJW3" s="212"/>
      <c r="MJY3" s="212"/>
      <c r="MJZ3" s="212"/>
      <c r="MKA3" s="212"/>
      <c r="MKB3" s="214"/>
      <c r="MKC3" s="215"/>
      <c r="MKD3" s="215"/>
      <c r="MKE3" s="216"/>
      <c r="MKF3" s="216"/>
      <c r="MKG3" s="216"/>
      <c r="MKI3" s="210"/>
      <c r="MKN3" s="215"/>
      <c r="MKO3" s="215"/>
      <c r="MKP3" s="215"/>
      <c r="MKQ3" s="215"/>
      <c r="MKR3" s="215"/>
      <c r="MKS3" s="215"/>
      <c r="MKT3" s="215"/>
      <c r="MKU3" s="217"/>
      <c r="MKV3" s="217"/>
      <c r="MKY3" s="214"/>
      <c r="MKZ3" s="210"/>
      <c r="MLA3" s="210"/>
      <c r="MLB3" s="210"/>
      <c r="MLC3" s="210"/>
      <c r="MLI3" s="212"/>
      <c r="MLK3" s="210"/>
      <c r="MLL3" s="213"/>
      <c r="MLQ3" s="212"/>
      <c r="MLR3" s="212"/>
      <c r="MLS3" s="212"/>
      <c r="MLT3" s="213"/>
      <c r="MLV3" s="212"/>
      <c r="MLW3" s="212"/>
      <c r="MLY3" s="212"/>
      <c r="MLZ3" s="212"/>
      <c r="MMA3" s="212"/>
      <c r="MMB3" s="214"/>
      <c r="MMC3" s="215"/>
      <c r="MMD3" s="215"/>
      <c r="MME3" s="216"/>
      <c r="MMF3" s="216"/>
      <c r="MMG3" s="216"/>
      <c r="MMI3" s="210"/>
      <c r="MMN3" s="215"/>
      <c r="MMO3" s="215"/>
      <c r="MMP3" s="215"/>
      <c r="MMQ3" s="215"/>
      <c r="MMR3" s="215"/>
      <c r="MMS3" s="215"/>
      <c r="MMT3" s="215"/>
      <c r="MMU3" s="217"/>
      <c r="MMV3" s="217"/>
      <c r="MMY3" s="214"/>
      <c r="MMZ3" s="210"/>
      <c r="MNA3" s="210"/>
      <c r="MNB3" s="210"/>
      <c r="MNC3" s="210"/>
      <c r="MNI3" s="212"/>
      <c r="MNK3" s="210"/>
      <c r="MNL3" s="213"/>
      <c r="MNQ3" s="212"/>
      <c r="MNR3" s="212"/>
      <c r="MNS3" s="212"/>
      <c r="MNT3" s="213"/>
      <c r="MNV3" s="212"/>
      <c r="MNW3" s="212"/>
      <c r="MNY3" s="212"/>
      <c r="MNZ3" s="212"/>
      <c r="MOA3" s="212"/>
      <c r="MOB3" s="214"/>
      <c r="MOC3" s="215"/>
      <c r="MOD3" s="215"/>
      <c r="MOE3" s="216"/>
      <c r="MOF3" s="216"/>
      <c r="MOG3" s="216"/>
      <c r="MOI3" s="210"/>
      <c r="MON3" s="215"/>
      <c r="MOO3" s="215"/>
      <c r="MOP3" s="215"/>
      <c r="MOQ3" s="215"/>
      <c r="MOR3" s="215"/>
      <c r="MOS3" s="215"/>
      <c r="MOT3" s="215"/>
      <c r="MOU3" s="217"/>
      <c r="MOV3" s="217"/>
      <c r="MOY3" s="214"/>
      <c r="MOZ3" s="210"/>
      <c r="MPA3" s="210"/>
      <c r="MPB3" s="210"/>
      <c r="MPC3" s="210"/>
      <c r="MPI3" s="212"/>
      <c r="MPK3" s="210"/>
      <c r="MPL3" s="213"/>
      <c r="MPQ3" s="212"/>
      <c r="MPR3" s="212"/>
      <c r="MPS3" s="212"/>
      <c r="MPT3" s="213"/>
      <c r="MPV3" s="212"/>
      <c r="MPW3" s="212"/>
      <c r="MPY3" s="212"/>
      <c r="MPZ3" s="212"/>
      <c r="MQA3" s="212"/>
      <c r="MQB3" s="214"/>
      <c r="MQC3" s="215"/>
      <c r="MQD3" s="215"/>
      <c r="MQE3" s="216"/>
      <c r="MQF3" s="216"/>
      <c r="MQG3" s="216"/>
      <c r="MQI3" s="210"/>
      <c r="MQN3" s="215"/>
      <c r="MQO3" s="215"/>
      <c r="MQP3" s="215"/>
      <c r="MQQ3" s="215"/>
      <c r="MQR3" s="215"/>
      <c r="MQS3" s="215"/>
      <c r="MQT3" s="215"/>
      <c r="MQU3" s="217"/>
      <c r="MQV3" s="217"/>
      <c r="MQY3" s="214"/>
      <c r="MQZ3" s="210"/>
      <c r="MRA3" s="210"/>
      <c r="MRB3" s="210"/>
      <c r="MRC3" s="210"/>
      <c r="MRI3" s="212"/>
      <c r="MRK3" s="210"/>
      <c r="MRL3" s="213"/>
      <c r="MRQ3" s="212"/>
      <c r="MRR3" s="212"/>
      <c r="MRS3" s="212"/>
      <c r="MRT3" s="213"/>
      <c r="MRV3" s="212"/>
      <c r="MRW3" s="212"/>
      <c r="MRY3" s="212"/>
      <c r="MRZ3" s="212"/>
      <c r="MSA3" s="212"/>
      <c r="MSB3" s="214"/>
      <c r="MSC3" s="215"/>
      <c r="MSD3" s="215"/>
      <c r="MSE3" s="216"/>
      <c r="MSF3" s="216"/>
      <c r="MSG3" s="216"/>
      <c r="MSI3" s="210"/>
      <c r="MSN3" s="215"/>
      <c r="MSO3" s="215"/>
      <c r="MSP3" s="215"/>
      <c r="MSQ3" s="215"/>
      <c r="MSR3" s="215"/>
      <c r="MSS3" s="215"/>
      <c r="MST3" s="215"/>
      <c r="MSU3" s="217"/>
      <c r="MSV3" s="217"/>
      <c r="MSY3" s="214"/>
      <c r="MSZ3" s="210"/>
      <c r="MTA3" s="210"/>
      <c r="MTB3" s="210"/>
      <c r="MTC3" s="210"/>
      <c r="MTI3" s="212"/>
      <c r="MTK3" s="210"/>
      <c r="MTL3" s="213"/>
      <c r="MTQ3" s="212"/>
      <c r="MTR3" s="212"/>
      <c r="MTS3" s="212"/>
      <c r="MTT3" s="213"/>
      <c r="MTV3" s="212"/>
      <c r="MTW3" s="212"/>
      <c r="MTY3" s="212"/>
      <c r="MTZ3" s="212"/>
      <c r="MUA3" s="212"/>
      <c r="MUB3" s="214"/>
      <c r="MUC3" s="215"/>
      <c r="MUD3" s="215"/>
      <c r="MUE3" s="216"/>
      <c r="MUF3" s="216"/>
      <c r="MUG3" s="216"/>
      <c r="MUI3" s="210"/>
      <c r="MUN3" s="215"/>
      <c r="MUO3" s="215"/>
      <c r="MUP3" s="215"/>
      <c r="MUQ3" s="215"/>
      <c r="MUR3" s="215"/>
      <c r="MUS3" s="215"/>
      <c r="MUT3" s="215"/>
      <c r="MUU3" s="217"/>
      <c r="MUV3" s="217"/>
      <c r="MUY3" s="214"/>
      <c r="MUZ3" s="210"/>
      <c r="MVA3" s="210"/>
      <c r="MVB3" s="210"/>
      <c r="MVC3" s="210"/>
      <c r="MVI3" s="212"/>
      <c r="MVK3" s="210"/>
      <c r="MVL3" s="213"/>
      <c r="MVQ3" s="212"/>
      <c r="MVR3" s="212"/>
      <c r="MVS3" s="212"/>
      <c r="MVT3" s="213"/>
      <c r="MVV3" s="212"/>
      <c r="MVW3" s="212"/>
      <c r="MVY3" s="212"/>
      <c r="MVZ3" s="212"/>
      <c r="MWA3" s="212"/>
      <c r="MWB3" s="214"/>
      <c r="MWC3" s="215"/>
      <c r="MWD3" s="215"/>
      <c r="MWE3" s="216"/>
      <c r="MWF3" s="216"/>
      <c r="MWG3" s="216"/>
      <c r="MWI3" s="210"/>
      <c r="MWN3" s="215"/>
      <c r="MWO3" s="215"/>
      <c r="MWP3" s="215"/>
      <c r="MWQ3" s="215"/>
      <c r="MWR3" s="215"/>
      <c r="MWS3" s="215"/>
      <c r="MWT3" s="215"/>
      <c r="MWU3" s="217"/>
      <c r="MWV3" s="217"/>
      <c r="MWY3" s="214"/>
      <c r="MWZ3" s="210"/>
      <c r="MXA3" s="210"/>
      <c r="MXB3" s="210"/>
      <c r="MXC3" s="210"/>
      <c r="MXI3" s="212"/>
      <c r="MXK3" s="210"/>
      <c r="MXL3" s="213"/>
      <c r="MXQ3" s="212"/>
      <c r="MXR3" s="212"/>
      <c r="MXS3" s="212"/>
      <c r="MXT3" s="213"/>
      <c r="MXV3" s="212"/>
      <c r="MXW3" s="212"/>
      <c r="MXY3" s="212"/>
      <c r="MXZ3" s="212"/>
      <c r="MYA3" s="212"/>
      <c r="MYB3" s="214"/>
      <c r="MYC3" s="215"/>
      <c r="MYD3" s="215"/>
      <c r="MYE3" s="216"/>
      <c r="MYF3" s="216"/>
      <c r="MYG3" s="216"/>
      <c r="MYI3" s="210"/>
      <c r="MYN3" s="215"/>
      <c r="MYO3" s="215"/>
      <c r="MYP3" s="215"/>
      <c r="MYQ3" s="215"/>
      <c r="MYR3" s="215"/>
      <c r="MYS3" s="215"/>
      <c r="MYT3" s="215"/>
      <c r="MYU3" s="217"/>
      <c r="MYV3" s="217"/>
      <c r="MYY3" s="214"/>
      <c r="MYZ3" s="210"/>
      <c r="MZA3" s="210"/>
      <c r="MZB3" s="210"/>
      <c r="MZC3" s="210"/>
      <c r="MZI3" s="212"/>
      <c r="MZK3" s="210"/>
      <c r="MZL3" s="213"/>
      <c r="MZQ3" s="212"/>
      <c r="MZR3" s="212"/>
      <c r="MZS3" s="212"/>
      <c r="MZT3" s="213"/>
      <c r="MZV3" s="212"/>
      <c r="MZW3" s="212"/>
      <c r="MZY3" s="212"/>
      <c r="MZZ3" s="212"/>
      <c r="NAA3" s="212"/>
      <c r="NAB3" s="214"/>
      <c r="NAC3" s="215"/>
      <c r="NAD3" s="215"/>
      <c r="NAE3" s="216"/>
      <c r="NAF3" s="216"/>
      <c r="NAG3" s="216"/>
      <c r="NAI3" s="210"/>
      <c r="NAN3" s="215"/>
      <c r="NAO3" s="215"/>
      <c r="NAP3" s="215"/>
      <c r="NAQ3" s="215"/>
      <c r="NAR3" s="215"/>
      <c r="NAS3" s="215"/>
      <c r="NAT3" s="215"/>
      <c r="NAU3" s="217"/>
      <c r="NAV3" s="217"/>
      <c r="NAY3" s="214"/>
      <c r="NAZ3" s="210"/>
      <c r="NBA3" s="210"/>
      <c r="NBB3" s="210"/>
      <c r="NBC3" s="210"/>
      <c r="NBI3" s="212"/>
      <c r="NBK3" s="210"/>
      <c r="NBL3" s="213"/>
      <c r="NBQ3" s="212"/>
      <c r="NBR3" s="212"/>
      <c r="NBS3" s="212"/>
      <c r="NBT3" s="213"/>
      <c r="NBV3" s="212"/>
      <c r="NBW3" s="212"/>
      <c r="NBY3" s="212"/>
      <c r="NBZ3" s="212"/>
      <c r="NCA3" s="212"/>
      <c r="NCB3" s="214"/>
      <c r="NCC3" s="215"/>
      <c r="NCD3" s="215"/>
      <c r="NCE3" s="216"/>
      <c r="NCF3" s="216"/>
      <c r="NCG3" s="216"/>
      <c r="NCI3" s="210"/>
      <c r="NCN3" s="215"/>
      <c r="NCO3" s="215"/>
      <c r="NCP3" s="215"/>
      <c r="NCQ3" s="215"/>
      <c r="NCR3" s="215"/>
      <c r="NCS3" s="215"/>
      <c r="NCT3" s="215"/>
      <c r="NCU3" s="217"/>
      <c r="NCV3" s="217"/>
      <c r="NCY3" s="214"/>
      <c r="NCZ3" s="210"/>
      <c r="NDA3" s="210"/>
      <c r="NDB3" s="210"/>
      <c r="NDC3" s="210"/>
      <c r="NDI3" s="212"/>
      <c r="NDK3" s="210"/>
      <c r="NDL3" s="213"/>
      <c r="NDQ3" s="212"/>
      <c r="NDR3" s="212"/>
      <c r="NDS3" s="212"/>
      <c r="NDT3" s="213"/>
      <c r="NDV3" s="212"/>
      <c r="NDW3" s="212"/>
      <c r="NDY3" s="212"/>
      <c r="NDZ3" s="212"/>
      <c r="NEA3" s="212"/>
      <c r="NEB3" s="214"/>
      <c r="NEC3" s="215"/>
      <c r="NED3" s="215"/>
      <c r="NEE3" s="216"/>
      <c r="NEF3" s="216"/>
      <c r="NEG3" s="216"/>
      <c r="NEI3" s="210"/>
      <c r="NEN3" s="215"/>
      <c r="NEO3" s="215"/>
      <c r="NEP3" s="215"/>
      <c r="NEQ3" s="215"/>
      <c r="NER3" s="215"/>
      <c r="NES3" s="215"/>
      <c r="NET3" s="215"/>
      <c r="NEU3" s="217"/>
      <c r="NEV3" s="217"/>
      <c r="NEY3" s="214"/>
      <c r="NEZ3" s="210"/>
      <c r="NFA3" s="210"/>
      <c r="NFB3" s="210"/>
      <c r="NFC3" s="210"/>
      <c r="NFI3" s="212"/>
      <c r="NFK3" s="210"/>
      <c r="NFL3" s="213"/>
      <c r="NFQ3" s="212"/>
      <c r="NFR3" s="212"/>
      <c r="NFS3" s="212"/>
      <c r="NFT3" s="213"/>
      <c r="NFV3" s="212"/>
      <c r="NFW3" s="212"/>
      <c r="NFY3" s="212"/>
      <c r="NFZ3" s="212"/>
      <c r="NGA3" s="212"/>
      <c r="NGB3" s="214"/>
      <c r="NGC3" s="215"/>
      <c r="NGD3" s="215"/>
      <c r="NGE3" s="216"/>
      <c r="NGF3" s="216"/>
      <c r="NGG3" s="216"/>
      <c r="NGI3" s="210"/>
      <c r="NGN3" s="215"/>
      <c r="NGO3" s="215"/>
      <c r="NGP3" s="215"/>
      <c r="NGQ3" s="215"/>
      <c r="NGR3" s="215"/>
      <c r="NGS3" s="215"/>
      <c r="NGT3" s="215"/>
      <c r="NGU3" s="217"/>
      <c r="NGV3" s="217"/>
      <c r="NGY3" s="214"/>
      <c r="NGZ3" s="210"/>
      <c r="NHA3" s="210"/>
      <c r="NHB3" s="210"/>
      <c r="NHC3" s="210"/>
      <c r="NHI3" s="212"/>
      <c r="NHK3" s="210"/>
      <c r="NHL3" s="213"/>
      <c r="NHQ3" s="212"/>
      <c r="NHR3" s="212"/>
      <c r="NHS3" s="212"/>
      <c r="NHT3" s="213"/>
      <c r="NHV3" s="212"/>
      <c r="NHW3" s="212"/>
      <c r="NHY3" s="212"/>
      <c r="NHZ3" s="212"/>
      <c r="NIA3" s="212"/>
      <c r="NIB3" s="214"/>
      <c r="NIC3" s="215"/>
      <c r="NID3" s="215"/>
      <c r="NIE3" s="216"/>
      <c r="NIF3" s="216"/>
      <c r="NIG3" s="216"/>
      <c r="NII3" s="210"/>
      <c r="NIN3" s="215"/>
      <c r="NIO3" s="215"/>
      <c r="NIP3" s="215"/>
      <c r="NIQ3" s="215"/>
      <c r="NIR3" s="215"/>
      <c r="NIS3" s="215"/>
      <c r="NIT3" s="215"/>
      <c r="NIU3" s="217"/>
      <c r="NIV3" s="217"/>
      <c r="NIY3" s="214"/>
      <c r="NIZ3" s="210"/>
      <c r="NJA3" s="210"/>
      <c r="NJB3" s="210"/>
      <c r="NJC3" s="210"/>
      <c r="NJI3" s="212"/>
      <c r="NJK3" s="210"/>
      <c r="NJL3" s="213"/>
      <c r="NJQ3" s="212"/>
      <c r="NJR3" s="212"/>
      <c r="NJS3" s="212"/>
      <c r="NJT3" s="213"/>
      <c r="NJV3" s="212"/>
      <c r="NJW3" s="212"/>
      <c r="NJY3" s="212"/>
      <c r="NJZ3" s="212"/>
      <c r="NKA3" s="212"/>
      <c r="NKB3" s="214"/>
      <c r="NKC3" s="215"/>
      <c r="NKD3" s="215"/>
      <c r="NKE3" s="216"/>
      <c r="NKF3" s="216"/>
      <c r="NKG3" s="216"/>
      <c r="NKI3" s="210"/>
      <c r="NKN3" s="215"/>
      <c r="NKO3" s="215"/>
      <c r="NKP3" s="215"/>
      <c r="NKQ3" s="215"/>
      <c r="NKR3" s="215"/>
      <c r="NKS3" s="215"/>
      <c r="NKT3" s="215"/>
      <c r="NKU3" s="217"/>
      <c r="NKV3" s="217"/>
      <c r="NKY3" s="214"/>
      <c r="NKZ3" s="210"/>
      <c r="NLA3" s="210"/>
      <c r="NLB3" s="210"/>
      <c r="NLC3" s="210"/>
      <c r="NLI3" s="212"/>
      <c r="NLK3" s="210"/>
      <c r="NLL3" s="213"/>
      <c r="NLQ3" s="212"/>
      <c r="NLR3" s="212"/>
      <c r="NLS3" s="212"/>
      <c r="NLT3" s="213"/>
      <c r="NLV3" s="212"/>
      <c r="NLW3" s="212"/>
      <c r="NLY3" s="212"/>
      <c r="NLZ3" s="212"/>
      <c r="NMA3" s="212"/>
      <c r="NMB3" s="214"/>
      <c r="NMC3" s="215"/>
      <c r="NMD3" s="215"/>
      <c r="NME3" s="216"/>
      <c r="NMF3" s="216"/>
      <c r="NMG3" s="216"/>
      <c r="NMI3" s="210"/>
      <c r="NMN3" s="215"/>
      <c r="NMO3" s="215"/>
      <c r="NMP3" s="215"/>
      <c r="NMQ3" s="215"/>
      <c r="NMR3" s="215"/>
      <c r="NMS3" s="215"/>
      <c r="NMT3" s="215"/>
      <c r="NMU3" s="217"/>
      <c r="NMV3" s="217"/>
      <c r="NMY3" s="214"/>
      <c r="NMZ3" s="210"/>
      <c r="NNA3" s="210"/>
      <c r="NNB3" s="210"/>
      <c r="NNC3" s="210"/>
      <c r="NNI3" s="212"/>
      <c r="NNK3" s="210"/>
      <c r="NNL3" s="213"/>
      <c r="NNQ3" s="212"/>
      <c r="NNR3" s="212"/>
      <c r="NNS3" s="212"/>
      <c r="NNT3" s="213"/>
      <c r="NNV3" s="212"/>
      <c r="NNW3" s="212"/>
      <c r="NNY3" s="212"/>
      <c r="NNZ3" s="212"/>
      <c r="NOA3" s="212"/>
      <c r="NOB3" s="214"/>
      <c r="NOC3" s="215"/>
      <c r="NOD3" s="215"/>
      <c r="NOE3" s="216"/>
      <c r="NOF3" s="216"/>
      <c r="NOG3" s="216"/>
      <c r="NOI3" s="210"/>
      <c r="NON3" s="215"/>
      <c r="NOO3" s="215"/>
      <c r="NOP3" s="215"/>
      <c r="NOQ3" s="215"/>
      <c r="NOR3" s="215"/>
      <c r="NOS3" s="215"/>
      <c r="NOT3" s="215"/>
      <c r="NOU3" s="217"/>
      <c r="NOV3" s="217"/>
      <c r="NOY3" s="214"/>
      <c r="NOZ3" s="210"/>
      <c r="NPA3" s="210"/>
      <c r="NPB3" s="210"/>
      <c r="NPC3" s="210"/>
      <c r="NPI3" s="212"/>
      <c r="NPK3" s="210"/>
      <c r="NPL3" s="213"/>
      <c r="NPQ3" s="212"/>
      <c r="NPR3" s="212"/>
      <c r="NPS3" s="212"/>
      <c r="NPT3" s="213"/>
      <c r="NPV3" s="212"/>
      <c r="NPW3" s="212"/>
      <c r="NPY3" s="212"/>
      <c r="NPZ3" s="212"/>
      <c r="NQA3" s="212"/>
      <c r="NQB3" s="214"/>
      <c r="NQC3" s="215"/>
      <c r="NQD3" s="215"/>
      <c r="NQE3" s="216"/>
      <c r="NQF3" s="216"/>
      <c r="NQG3" s="216"/>
      <c r="NQI3" s="210"/>
      <c r="NQN3" s="215"/>
      <c r="NQO3" s="215"/>
      <c r="NQP3" s="215"/>
      <c r="NQQ3" s="215"/>
      <c r="NQR3" s="215"/>
      <c r="NQS3" s="215"/>
      <c r="NQT3" s="215"/>
      <c r="NQU3" s="217"/>
      <c r="NQV3" s="217"/>
      <c r="NQY3" s="214"/>
      <c r="NQZ3" s="210"/>
      <c r="NRA3" s="210"/>
      <c r="NRB3" s="210"/>
      <c r="NRC3" s="210"/>
      <c r="NRI3" s="212"/>
      <c r="NRK3" s="210"/>
      <c r="NRL3" s="213"/>
      <c r="NRQ3" s="212"/>
      <c r="NRR3" s="212"/>
      <c r="NRS3" s="212"/>
      <c r="NRT3" s="213"/>
      <c r="NRV3" s="212"/>
      <c r="NRW3" s="212"/>
      <c r="NRY3" s="212"/>
      <c r="NRZ3" s="212"/>
      <c r="NSA3" s="212"/>
      <c r="NSB3" s="214"/>
      <c r="NSC3" s="215"/>
      <c r="NSD3" s="215"/>
      <c r="NSE3" s="216"/>
      <c r="NSF3" s="216"/>
      <c r="NSG3" s="216"/>
      <c r="NSI3" s="210"/>
      <c r="NSN3" s="215"/>
      <c r="NSO3" s="215"/>
      <c r="NSP3" s="215"/>
      <c r="NSQ3" s="215"/>
      <c r="NSR3" s="215"/>
      <c r="NSS3" s="215"/>
      <c r="NST3" s="215"/>
      <c r="NSU3" s="217"/>
      <c r="NSV3" s="217"/>
      <c r="NSY3" s="214"/>
      <c r="NSZ3" s="210"/>
      <c r="NTA3" s="210"/>
      <c r="NTB3" s="210"/>
      <c r="NTC3" s="210"/>
      <c r="NTI3" s="212"/>
      <c r="NTK3" s="210"/>
      <c r="NTL3" s="213"/>
      <c r="NTQ3" s="212"/>
      <c r="NTR3" s="212"/>
      <c r="NTS3" s="212"/>
      <c r="NTT3" s="213"/>
      <c r="NTV3" s="212"/>
      <c r="NTW3" s="212"/>
      <c r="NTY3" s="212"/>
      <c r="NTZ3" s="212"/>
      <c r="NUA3" s="212"/>
      <c r="NUB3" s="214"/>
      <c r="NUC3" s="215"/>
      <c r="NUD3" s="215"/>
      <c r="NUE3" s="216"/>
      <c r="NUF3" s="216"/>
      <c r="NUG3" s="216"/>
      <c r="NUI3" s="210"/>
      <c r="NUN3" s="215"/>
      <c r="NUO3" s="215"/>
      <c r="NUP3" s="215"/>
      <c r="NUQ3" s="215"/>
      <c r="NUR3" s="215"/>
      <c r="NUS3" s="215"/>
      <c r="NUT3" s="215"/>
      <c r="NUU3" s="217"/>
      <c r="NUV3" s="217"/>
      <c r="NUY3" s="214"/>
      <c r="NUZ3" s="210"/>
      <c r="NVA3" s="210"/>
      <c r="NVB3" s="210"/>
      <c r="NVC3" s="210"/>
      <c r="NVI3" s="212"/>
      <c r="NVK3" s="210"/>
      <c r="NVL3" s="213"/>
      <c r="NVQ3" s="212"/>
      <c r="NVR3" s="212"/>
      <c r="NVS3" s="212"/>
      <c r="NVT3" s="213"/>
      <c r="NVV3" s="212"/>
      <c r="NVW3" s="212"/>
      <c r="NVY3" s="212"/>
      <c r="NVZ3" s="212"/>
      <c r="NWA3" s="212"/>
      <c r="NWB3" s="214"/>
      <c r="NWC3" s="215"/>
      <c r="NWD3" s="215"/>
      <c r="NWE3" s="216"/>
      <c r="NWF3" s="216"/>
      <c r="NWG3" s="216"/>
      <c r="NWI3" s="210"/>
      <c r="NWN3" s="215"/>
      <c r="NWO3" s="215"/>
      <c r="NWP3" s="215"/>
      <c r="NWQ3" s="215"/>
      <c r="NWR3" s="215"/>
      <c r="NWS3" s="215"/>
      <c r="NWT3" s="215"/>
      <c r="NWU3" s="217"/>
      <c r="NWV3" s="217"/>
      <c r="NWY3" s="214"/>
      <c r="NWZ3" s="210"/>
      <c r="NXA3" s="210"/>
      <c r="NXB3" s="210"/>
      <c r="NXC3" s="210"/>
      <c r="NXI3" s="212"/>
      <c r="NXK3" s="210"/>
      <c r="NXL3" s="213"/>
      <c r="NXQ3" s="212"/>
      <c r="NXR3" s="212"/>
      <c r="NXS3" s="212"/>
      <c r="NXT3" s="213"/>
      <c r="NXV3" s="212"/>
      <c r="NXW3" s="212"/>
      <c r="NXY3" s="212"/>
      <c r="NXZ3" s="212"/>
      <c r="NYA3" s="212"/>
      <c r="NYB3" s="214"/>
      <c r="NYC3" s="215"/>
      <c r="NYD3" s="215"/>
      <c r="NYE3" s="216"/>
      <c r="NYF3" s="216"/>
      <c r="NYG3" s="216"/>
      <c r="NYI3" s="210"/>
      <c r="NYN3" s="215"/>
      <c r="NYO3" s="215"/>
      <c r="NYP3" s="215"/>
      <c r="NYQ3" s="215"/>
      <c r="NYR3" s="215"/>
      <c r="NYS3" s="215"/>
      <c r="NYT3" s="215"/>
      <c r="NYU3" s="217"/>
      <c r="NYV3" s="217"/>
      <c r="NYY3" s="214"/>
      <c r="NYZ3" s="210"/>
      <c r="NZA3" s="210"/>
      <c r="NZB3" s="210"/>
      <c r="NZC3" s="210"/>
      <c r="NZI3" s="212"/>
      <c r="NZK3" s="210"/>
      <c r="NZL3" s="213"/>
      <c r="NZQ3" s="212"/>
      <c r="NZR3" s="212"/>
      <c r="NZS3" s="212"/>
      <c r="NZT3" s="213"/>
      <c r="NZV3" s="212"/>
      <c r="NZW3" s="212"/>
      <c r="NZY3" s="212"/>
      <c r="NZZ3" s="212"/>
      <c r="OAA3" s="212"/>
      <c r="OAB3" s="214"/>
      <c r="OAC3" s="215"/>
      <c r="OAD3" s="215"/>
      <c r="OAE3" s="216"/>
      <c r="OAF3" s="216"/>
      <c r="OAG3" s="216"/>
      <c r="OAI3" s="210"/>
      <c r="OAN3" s="215"/>
      <c r="OAO3" s="215"/>
      <c r="OAP3" s="215"/>
      <c r="OAQ3" s="215"/>
      <c r="OAR3" s="215"/>
      <c r="OAS3" s="215"/>
      <c r="OAT3" s="215"/>
      <c r="OAU3" s="217"/>
      <c r="OAV3" s="217"/>
      <c r="OAY3" s="214"/>
      <c r="OAZ3" s="210"/>
      <c r="OBA3" s="210"/>
      <c r="OBB3" s="210"/>
      <c r="OBC3" s="210"/>
      <c r="OBI3" s="212"/>
      <c r="OBK3" s="210"/>
      <c r="OBL3" s="213"/>
      <c r="OBQ3" s="212"/>
      <c r="OBR3" s="212"/>
      <c r="OBS3" s="212"/>
      <c r="OBT3" s="213"/>
      <c r="OBV3" s="212"/>
      <c r="OBW3" s="212"/>
      <c r="OBY3" s="212"/>
      <c r="OBZ3" s="212"/>
      <c r="OCA3" s="212"/>
      <c r="OCB3" s="214"/>
      <c r="OCC3" s="215"/>
      <c r="OCD3" s="215"/>
      <c r="OCE3" s="216"/>
      <c r="OCF3" s="216"/>
      <c r="OCG3" s="216"/>
      <c r="OCI3" s="210"/>
      <c r="OCN3" s="215"/>
      <c r="OCO3" s="215"/>
      <c r="OCP3" s="215"/>
      <c r="OCQ3" s="215"/>
      <c r="OCR3" s="215"/>
      <c r="OCS3" s="215"/>
      <c r="OCT3" s="215"/>
      <c r="OCU3" s="217"/>
      <c r="OCV3" s="217"/>
      <c r="OCY3" s="214"/>
      <c r="OCZ3" s="210"/>
      <c r="ODA3" s="210"/>
      <c r="ODB3" s="210"/>
      <c r="ODC3" s="210"/>
      <c r="ODI3" s="212"/>
      <c r="ODK3" s="210"/>
      <c r="ODL3" s="213"/>
      <c r="ODQ3" s="212"/>
      <c r="ODR3" s="212"/>
      <c r="ODS3" s="212"/>
      <c r="ODT3" s="213"/>
      <c r="ODV3" s="212"/>
      <c r="ODW3" s="212"/>
      <c r="ODY3" s="212"/>
      <c r="ODZ3" s="212"/>
      <c r="OEA3" s="212"/>
      <c r="OEB3" s="214"/>
      <c r="OEC3" s="215"/>
      <c r="OED3" s="215"/>
      <c r="OEE3" s="216"/>
      <c r="OEF3" s="216"/>
      <c r="OEG3" s="216"/>
      <c r="OEI3" s="210"/>
      <c r="OEN3" s="215"/>
      <c r="OEO3" s="215"/>
      <c r="OEP3" s="215"/>
      <c r="OEQ3" s="215"/>
      <c r="OER3" s="215"/>
      <c r="OES3" s="215"/>
      <c r="OET3" s="215"/>
      <c r="OEU3" s="217"/>
      <c r="OEV3" s="217"/>
      <c r="OEY3" s="214"/>
      <c r="OEZ3" s="210"/>
      <c r="OFA3" s="210"/>
      <c r="OFB3" s="210"/>
      <c r="OFC3" s="210"/>
      <c r="OFI3" s="212"/>
      <c r="OFK3" s="210"/>
      <c r="OFL3" s="213"/>
      <c r="OFQ3" s="212"/>
      <c r="OFR3" s="212"/>
      <c r="OFS3" s="212"/>
      <c r="OFT3" s="213"/>
      <c r="OFV3" s="212"/>
      <c r="OFW3" s="212"/>
      <c r="OFY3" s="212"/>
      <c r="OFZ3" s="212"/>
      <c r="OGA3" s="212"/>
      <c r="OGB3" s="214"/>
      <c r="OGC3" s="215"/>
      <c r="OGD3" s="215"/>
      <c r="OGE3" s="216"/>
      <c r="OGF3" s="216"/>
      <c r="OGG3" s="216"/>
      <c r="OGI3" s="210"/>
      <c r="OGN3" s="215"/>
      <c r="OGO3" s="215"/>
      <c r="OGP3" s="215"/>
      <c r="OGQ3" s="215"/>
      <c r="OGR3" s="215"/>
      <c r="OGS3" s="215"/>
      <c r="OGT3" s="215"/>
      <c r="OGU3" s="217"/>
      <c r="OGV3" s="217"/>
      <c r="OGY3" s="214"/>
      <c r="OGZ3" s="210"/>
      <c r="OHA3" s="210"/>
      <c r="OHB3" s="210"/>
      <c r="OHC3" s="210"/>
      <c r="OHI3" s="212"/>
      <c r="OHK3" s="210"/>
      <c r="OHL3" s="213"/>
      <c r="OHQ3" s="212"/>
      <c r="OHR3" s="212"/>
      <c r="OHS3" s="212"/>
      <c r="OHT3" s="213"/>
      <c r="OHV3" s="212"/>
      <c r="OHW3" s="212"/>
      <c r="OHY3" s="212"/>
      <c r="OHZ3" s="212"/>
      <c r="OIA3" s="212"/>
      <c r="OIB3" s="214"/>
      <c r="OIC3" s="215"/>
      <c r="OID3" s="215"/>
      <c r="OIE3" s="216"/>
      <c r="OIF3" s="216"/>
      <c r="OIG3" s="216"/>
      <c r="OII3" s="210"/>
      <c r="OIN3" s="215"/>
      <c r="OIO3" s="215"/>
      <c r="OIP3" s="215"/>
      <c r="OIQ3" s="215"/>
      <c r="OIR3" s="215"/>
      <c r="OIS3" s="215"/>
      <c r="OIT3" s="215"/>
      <c r="OIU3" s="217"/>
      <c r="OIV3" s="217"/>
      <c r="OIY3" s="214"/>
      <c r="OIZ3" s="210"/>
      <c r="OJA3" s="210"/>
      <c r="OJB3" s="210"/>
      <c r="OJC3" s="210"/>
      <c r="OJI3" s="212"/>
      <c r="OJK3" s="210"/>
      <c r="OJL3" s="213"/>
      <c r="OJQ3" s="212"/>
      <c r="OJR3" s="212"/>
      <c r="OJS3" s="212"/>
      <c r="OJT3" s="213"/>
      <c r="OJV3" s="212"/>
      <c r="OJW3" s="212"/>
      <c r="OJY3" s="212"/>
      <c r="OJZ3" s="212"/>
      <c r="OKA3" s="212"/>
      <c r="OKB3" s="214"/>
      <c r="OKC3" s="215"/>
      <c r="OKD3" s="215"/>
      <c r="OKE3" s="216"/>
      <c r="OKF3" s="216"/>
      <c r="OKG3" s="216"/>
      <c r="OKI3" s="210"/>
      <c r="OKN3" s="215"/>
      <c r="OKO3" s="215"/>
      <c r="OKP3" s="215"/>
      <c r="OKQ3" s="215"/>
      <c r="OKR3" s="215"/>
      <c r="OKS3" s="215"/>
      <c r="OKT3" s="215"/>
      <c r="OKU3" s="217"/>
      <c r="OKV3" s="217"/>
      <c r="OKY3" s="214"/>
      <c r="OKZ3" s="210"/>
      <c r="OLA3" s="210"/>
      <c r="OLB3" s="210"/>
      <c r="OLC3" s="210"/>
      <c r="OLI3" s="212"/>
      <c r="OLK3" s="210"/>
      <c r="OLL3" s="213"/>
      <c r="OLQ3" s="212"/>
      <c r="OLR3" s="212"/>
      <c r="OLS3" s="212"/>
      <c r="OLT3" s="213"/>
      <c r="OLV3" s="212"/>
      <c r="OLW3" s="212"/>
      <c r="OLY3" s="212"/>
      <c r="OLZ3" s="212"/>
      <c r="OMA3" s="212"/>
      <c r="OMB3" s="214"/>
      <c r="OMC3" s="215"/>
      <c r="OMD3" s="215"/>
      <c r="OME3" s="216"/>
      <c r="OMF3" s="216"/>
      <c r="OMG3" s="216"/>
      <c r="OMI3" s="210"/>
      <c r="OMN3" s="215"/>
      <c r="OMO3" s="215"/>
      <c r="OMP3" s="215"/>
      <c r="OMQ3" s="215"/>
      <c r="OMR3" s="215"/>
      <c r="OMS3" s="215"/>
      <c r="OMT3" s="215"/>
      <c r="OMU3" s="217"/>
      <c r="OMV3" s="217"/>
      <c r="OMY3" s="214"/>
      <c r="OMZ3" s="210"/>
      <c r="ONA3" s="210"/>
      <c r="ONB3" s="210"/>
      <c r="ONC3" s="210"/>
      <c r="ONI3" s="212"/>
      <c r="ONK3" s="210"/>
      <c r="ONL3" s="213"/>
      <c r="ONQ3" s="212"/>
      <c r="ONR3" s="212"/>
      <c r="ONS3" s="212"/>
      <c r="ONT3" s="213"/>
      <c r="ONV3" s="212"/>
      <c r="ONW3" s="212"/>
      <c r="ONY3" s="212"/>
      <c r="ONZ3" s="212"/>
      <c r="OOA3" s="212"/>
      <c r="OOB3" s="214"/>
      <c r="OOC3" s="215"/>
      <c r="OOD3" s="215"/>
      <c r="OOE3" s="216"/>
      <c r="OOF3" s="216"/>
      <c r="OOG3" s="216"/>
      <c r="OOI3" s="210"/>
      <c r="OON3" s="215"/>
      <c r="OOO3" s="215"/>
      <c r="OOP3" s="215"/>
      <c r="OOQ3" s="215"/>
      <c r="OOR3" s="215"/>
      <c r="OOS3" s="215"/>
      <c r="OOT3" s="215"/>
      <c r="OOU3" s="217"/>
      <c r="OOV3" s="217"/>
      <c r="OOY3" s="214"/>
      <c r="OOZ3" s="210"/>
      <c r="OPA3" s="210"/>
      <c r="OPB3" s="210"/>
      <c r="OPC3" s="210"/>
      <c r="OPI3" s="212"/>
      <c r="OPK3" s="210"/>
      <c r="OPL3" s="213"/>
      <c r="OPQ3" s="212"/>
      <c r="OPR3" s="212"/>
      <c r="OPS3" s="212"/>
      <c r="OPT3" s="213"/>
      <c r="OPV3" s="212"/>
      <c r="OPW3" s="212"/>
      <c r="OPY3" s="212"/>
      <c r="OPZ3" s="212"/>
      <c r="OQA3" s="212"/>
      <c r="OQB3" s="214"/>
      <c r="OQC3" s="215"/>
      <c r="OQD3" s="215"/>
      <c r="OQE3" s="216"/>
      <c r="OQF3" s="216"/>
      <c r="OQG3" s="216"/>
      <c r="OQI3" s="210"/>
      <c r="OQN3" s="215"/>
      <c r="OQO3" s="215"/>
      <c r="OQP3" s="215"/>
      <c r="OQQ3" s="215"/>
      <c r="OQR3" s="215"/>
      <c r="OQS3" s="215"/>
      <c r="OQT3" s="215"/>
      <c r="OQU3" s="217"/>
      <c r="OQV3" s="217"/>
      <c r="OQY3" s="214"/>
      <c r="OQZ3" s="210"/>
      <c r="ORA3" s="210"/>
      <c r="ORB3" s="210"/>
      <c r="ORC3" s="210"/>
      <c r="ORI3" s="212"/>
      <c r="ORK3" s="210"/>
      <c r="ORL3" s="213"/>
      <c r="ORQ3" s="212"/>
      <c r="ORR3" s="212"/>
      <c r="ORS3" s="212"/>
      <c r="ORT3" s="213"/>
      <c r="ORV3" s="212"/>
      <c r="ORW3" s="212"/>
      <c r="ORY3" s="212"/>
      <c r="ORZ3" s="212"/>
      <c r="OSA3" s="212"/>
      <c r="OSB3" s="214"/>
      <c r="OSC3" s="215"/>
      <c r="OSD3" s="215"/>
      <c r="OSE3" s="216"/>
      <c r="OSF3" s="216"/>
      <c r="OSG3" s="216"/>
      <c r="OSI3" s="210"/>
      <c r="OSN3" s="215"/>
      <c r="OSO3" s="215"/>
      <c r="OSP3" s="215"/>
      <c r="OSQ3" s="215"/>
      <c r="OSR3" s="215"/>
      <c r="OSS3" s="215"/>
      <c r="OST3" s="215"/>
      <c r="OSU3" s="217"/>
      <c r="OSV3" s="217"/>
      <c r="OSY3" s="214"/>
      <c r="OSZ3" s="210"/>
      <c r="OTA3" s="210"/>
      <c r="OTB3" s="210"/>
      <c r="OTC3" s="210"/>
      <c r="OTI3" s="212"/>
      <c r="OTK3" s="210"/>
      <c r="OTL3" s="213"/>
      <c r="OTQ3" s="212"/>
      <c r="OTR3" s="212"/>
      <c r="OTS3" s="212"/>
      <c r="OTT3" s="213"/>
      <c r="OTV3" s="212"/>
      <c r="OTW3" s="212"/>
      <c r="OTY3" s="212"/>
      <c r="OTZ3" s="212"/>
      <c r="OUA3" s="212"/>
      <c r="OUB3" s="214"/>
      <c r="OUC3" s="215"/>
      <c r="OUD3" s="215"/>
      <c r="OUE3" s="216"/>
      <c r="OUF3" s="216"/>
      <c r="OUG3" s="216"/>
      <c r="OUI3" s="210"/>
      <c r="OUN3" s="215"/>
      <c r="OUO3" s="215"/>
      <c r="OUP3" s="215"/>
      <c r="OUQ3" s="215"/>
      <c r="OUR3" s="215"/>
      <c r="OUS3" s="215"/>
      <c r="OUT3" s="215"/>
      <c r="OUU3" s="217"/>
      <c r="OUV3" s="217"/>
      <c r="OUY3" s="214"/>
      <c r="OUZ3" s="210"/>
      <c r="OVA3" s="210"/>
      <c r="OVB3" s="210"/>
      <c r="OVC3" s="210"/>
      <c r="OVI3" s="212"/>
      <c r="OVK3" s="210"/>
      <c r="OVL3" s="213"/>
      <c r="OVQ3" s="212"/>
      <c r="OVR3" s="212"/>
      <c r="OVS3" s="212"/>
      <c r="OVT3" s="213"/>
      <c r="OVV3" s="212"/>
      <c r="OVW3" s="212"/>
      <c r="OVY3" s="212"/>
      <c r="OVZ3" s="212"/>
      <c r="OWA3" s="212"/>
      <c r="OWB3" s="214"/>
      <c r="OWC3" s="215"/>
      <c r="OWD3" s="215"/>
      <c r="OWE3" s="216"/>
      <c r="OWF3" s="216"/>
      <c r="OWG3" s="216"/>
      <c r="OWI3" s="210"/>
      <c r="OWN3" s="215"/>
      <c r="OWO3" s="215"/>
      <c r="OWP3" s="215"/>
      <c r="OWQ3" s="215"/>
      <c r="OWR3" s="215"/>
      <c r="OWS3" s="215"/>
      <c r="OWT3" s="215"/>
      <c r="OWU3" s="217"/>
      <c r="OWV3" s="217"/>
      <c r="OWY3" s="214"/>
      <c r="OWZ3" s="210"/>
      <c r="OXA3" s="210"/>
      <c r="OXB3" s="210"/>
      <c r="OXC3" s="210"/>
      <c r="OXI3" s="212"/>
      <c r="OXK3" s="210"/>
      <c r="OXL3" s="213"/>
      <c r="OXQ3" s="212"/>
      <c r="OXR3" s="212"/>
      <c r="OXS3" s="212"/>
      <c r="OXT3" s="213"/>
      <c r="OXV3" s="212"/>
      <c r="OXW3" s="212"/>
      <c r="OXY3" s="212"/>
      <c r="OXZ3" s="212"/>
      <c r="OYA3" s="212"/>
      <c r="OYB3" s="214"/>
      <c r="OYC3" s="215"/>
      <c r="OYD3" s="215"/>
      <c r="OYE3" s="216"/>
      <c r="OYF3" s="216"/>
      <c r="OYG3" s="216"/>
      <c r="OYI3" s="210"/>
      <c r="OYN3" s="215"/>
      <c r="OYO3" s="215"/>
      <c r="OYP3" s="215"/>
      <c r="OYQ3" s="215"/>
      <c r="OYR3" s="215"/>
      <c r="OYS3" s="215"/>
      <c r="OYT3" s="215"/>
      <c r="OYU3" s="217"/>
      <c r="OYV3" s="217"/>
      <c r="OYY3" s="214"/>
      <c r="OYZ3" s="210"/>
      <c r="OZA3" s="210"/>
      <c r="OZB3" s="210"/>
      <c r="OZC3" s="210"/>
      <c r="OZI3" s="212"/>
      <c r="OZK3" s="210"/>
      <c r="OZL3" s="213"/>
      <c r="OZQ3" s="212"/>
      <c r="OZR3" s="212"/>
      <c r="OZS3" s="212"/>
      <c r="OZT3" s="213"/>
      <c r="OZV3" s="212"/>
      <c r="OZW3" s="212"/>
      <c r="OZY3" s="212"/>
      <c r="OZZ3" s="212"/>
      <c r="PAA3" s="212"/>
      <c r="PAB3" s="214"/>
      <c r="PAC3" s="215"/>
      <c r="PAD3" s="215"/>
      <c r="PAE3" s="216"/>
      <c r="PAF3" s="216"/>
      <c r="PAG3" s="216"/>
      <c r="PAI3" s="210"/>
      <c r="PAN3" s="215"/>
      <c r="PAO3" s="215"/>
      <c r="PAP3" s="215"/>
      <c r="PAQ3" s="215"/>
      <c r="PAR3" s="215"/>
      <c r="PAS3" s="215"/>
      <c r="PAT3" s="215"/>
      <c r="PAU3" s="217"/>
      <c r="PAV3" s="217"/>
      <c r="PAY3" s="214"/>
      <c r="PAZ3" s="210"/>
      <c r="PBA3" s="210"/>
      <c r="PBB3" s="210"/>
      <c r="PBC3" s="210"/>
      <c r="PBI3" s="212"/>
      <c r="PBK3" s="210"/>
      <c r="PBL3" s="213"/>
      <c r="PBQ3" s="212"/>
      <c r="PBR3" s="212"/>
      <c r="PBS3" s="212"/>
      <c r="PBT3" s="213"/>
      <c r="PBV3" s="212"/>
      <c r="PBW3" s="212"/>
      <c r="PBY3" s="212"/>
      <c r="PBZ3" s="212"/>
      <c r="PCA3" s="212"/>
      <c r="PCB3" s="214"/>
      <c r="PCC3" s="215"/>
      <c r="PCD3" s="215"/>
      <c r="PCE3" s="216"/>
      <c r="PCF3" s="216"/>
      <c r="PCG3" s="216"/>
      <c r="PCI3" s="210"/>
      <c r="PCN3" s="215"/>
      <c r="PCO3" s="215"/>
      <c r="PCP3" s="215"/>
      <c r="PCQ3" s="215"/>
      <c r="PCR3" s="215"/>
      <c r="PCS3" s="215"/>
      <c r="PCT3" s="215"/>
      <c r="PCU3" s="217"/>
      <c r="PCV3" s="217"/>
      <c r="PCY3" s="214"/>
      <c r="PCZ3" s="210"/>
      <c r="PDA3" s="210"/>
      <c r="PDB3" s="210"/>
      <c r="PDC3" s="210"/>
      <c r="PDI3" s="212"/>
      <c r="PDK3" s="210"/>
      <c r="PDL3" s="213"/>
      <c r="PDQ3" s="212"/>
      <c r="PDR3" s="212"/>
      <c r="PDS3" s="212"/>
      <c r="PDT3" s="213"/>
      <c r="PDV3" s="212"/>
      <c r="PDW3" s="212"/>
      <c r="PDY3" s="212"/>
      <c r="PDZ3" s="212"/>
      <c r="PEA3" s="212"/>
      <c r="PEB3" s="214"/>
      <c r="PEC3" s="215"/>
      <c r="PED3" s="215"/>
      <c r="PEE3" s="216"/>
      <c r="PEF3" s="216"/>
      <c r="PEG3" s="216"/>
      <c r="PEI3" s="210"/>
      <c r="PEN3" s="215"/>
      <c r="PEO3" s="215"/>
      <c r="PEP3" s="215"/>
      <c r="PEQ3" s="215"/>
      <c r="PER3" s="215"/>
      <c r="PES3" s="215"/>
      <c r="PET3" s="215"/>
      <c r="PEU3" s="217"/>
      <c r="PEV3" s="217"/>
      <c r="PEY3" s="214"/>
      <c r="PEZ3" s="210"/>
      <c r="PFA3" s="210"/>
      <c r="PFB3" s="210"/>
      <c r="PFC3" s="210"/>
      <c r="PFI3" s="212"/>
      <c r="PFK3" s="210"/>
      <c r="PFL3" s="213"/>
      <c r="PFQ3" s="212"/>
      <c r="PFR3" s="212"/>
      <c r="PFS3" s="212"/>
      <c r="PFT3" s="213"/>
      <c r="PFV3" s="212"/>
      <c r="PFW3" s="212"/>
      <c r="PFY3" s="212"/>
      <c r="PFZ3" s="212"/>
      <c r="PGA3" s="212"/>
      <c r="PGB3" s="214"/>
      <c r="PGC3" s="215"/>
      <c r="PGD3" s="215"/>
      <c r="PGE3" s="216"/>
      <c r="PGF3" s="216"/>
      <c r="PGG3" s="216"/>
      <c r="PGI3" s="210"/>
      <c r="PGN3" s="215"/>
      <c r="PGO3" s="215"/>
      <c r="PGP3" s="215"/>
      <c r="PGQ3" s="215"/>
      <c r="PGR3" s="215"/>
      <c r="PGS3" s="215"/>
      <c r="PGT3" s="215"/>
      <c r="PGU3" s="217"/>
      <c r="PGV3" s="217"/>
      <c r="PGY3" s="214"/>
      <c r="PGZ3" s="210"/>
      <c r="PHA3" s="210"/>
      <c r="PHB3" s="210"/>
      <c r="PHC3" s="210"/>
      <c r="PHI3" s="212"/>
      <c r="PHK3" s="210"/>
      <c r="PHL3" s="213"/>
      <c r="PHQ3" s="212"/>
      <c r="PHR3" s="212"/>
      <c r="PHS3" s="212"/>
      <c r="PHT3" s="213"/>
      <c r="PHV3" s="212"/>
      <c r="PHW3" s="212"/>
      <c r="PHY3" s="212"/>
      <c r="PHZ3" s="212"/>
      <c r="PIA3" s="212"/>
      <c r="PIB3" s="214"/>
      <c r="PIC3" s="215"/>
      <c r="PID3" s="215"/>
      <c r="PIE3" s="216"/>
      <c r="PIF3" s="216"/>
      <c r="PIG3" s="216"/>
      <c r="PII3" s="210"/>
      <c r="PIN3" s="215"/>
      <c r="PIO3" s="215"/>
      <c r="PIP3" s="215"/>
      <c r="PIQ3" s="215"/>
      <c r="PIR3" s="215"/>
      <c r="PIS3" s="215"/>
      <c r="PIT3" s="215"/>
      <c r="PIU3" s="217"/>
      <c r="PIV3" s="217"/>
      <c r="PIY3" s="214"/>
      <c r="PIZ3" s="210"/>
      <c r="PJA3" s="210"/>
      <c r="PJB3" s="210"/>
      <c r="PJC3" s="210"/>
      <c r="PJI3" s="212"/>
      <c r="PJK3" s="210"/>
      <c r="PJL3" s="213"/>
      <c r="PJQ3" s="212"/>
      <c r="PJR3" s="212"/>
      <c r="PJS3" s="212"/>
      <c r="PJT3" s="213"/>
      <c r="PJV3" s="212"/>
      <c r="PJW3" s="212"/>
      <c r="PJY3" s="212"/>
      <c r="PJZ3" s="212"/>
      <c r="PKA3" s="212"/>
      <c r="PKB3" s="214"/>
      <c r="PKC3" s="215"/>
      <c r="PKD3" s="215"/>
      <c r="PKE3" s="216"/>
      <c r="PKF3" s="216"/>
      <c r="PKG3" s="216"/>
      <c r="PKI3" s="210"/>
      <c r="PKN3" s="215"/>
      <c r="PKO3" s="215"/>
      <c r="PKP3" s="215"/>
      <c r="PKQ3" s="215"/>
      <c r="PKR3" s="215"/>
      <c r="PKS3" s="215"/>
      <c r="PKT3" s="215"/>
      <c r="PKU3" s="217"/>
      <c r="PKV3" s="217"/>
      <c r="PKY3" s="214"/>
      <c r="PKZ3" s="210"/>
      <c r="PLA3" s="210"/>
      <c r="PLB3" s="210"/>
      <c r="PLC3" s="210"/>
      <c r="PLI3" s="212"/>
      <c r="PLK3" s="210"/>
      <c r="PLL3" s="213"/>
      <c r="PLQ3" s="212"/>
      <c r="PLR3" s="212"/>
      <c r="PLS3" s="212"/>
      <c r="PLT3" s="213"/>
      <c r="PLV3" s="212"/>
      <c r="PLW3" s="212"/>
      <c r="PLY3" s="212"/>
      <c r="PLZ3" s="212"/>
      <c r="PMA3" s="212"/>
      <c r="PMB3" s="214"/>
      <c r="PMC3" s="215"/>
      <c r="PMD3" s="215"/>
      <c r="PME3" s="216"/>
      <c r="PMF3" s="216"/>
      <c r="PMG3" s="216"/>
      <c r="PMI3" s="210"/>
      <c r="PMN3" s="215"/>
      <c r="PMO3" s="215"/>
      <c r="PMP3" s="215"/>
      <c r="PMQ3" s="215"/>
      <c r="PMR3" s="215"/>
      <c r="PMS3" s="215"/>
      <c r="PMT3" s="215"/>
      <c r="PMU3" s="217"/>
      <c r="PMV3" s="217"/>
      <c r="PMY3" s="214"/>
      <c r="PMZ3" s="210"/>
      <c r="PNA3" s="210"/>
      <c r="PNB3" s="210"/>
      <c r="PNC3" s="210"/>
      <c r="PNI3" s="212"/>
      <c r="PNK3" s="210"/>
      <c r="PNL3" s="213"/>
      <c r="PNQ3" s="212"/>
      <c r="PNR3" s="212"/>
      <c r="PNS3" s="212"/>
      <c r="PNT3" s="213"/>
      <c r="PNV3" s="212"/>
      <c r="PNW3" s="212"/>
      <c r="PNY3" s="212"/>
      <c r="PNZ3" s="212"/>
      <c r="POA3" s="212"/>
      <c r="POB3" s="214"/>
      <c r="POC3" s="215"/>
      <c r="POD3" s="215"/>
      <c r="POE3" s="216"/>
      <c r="POF3" s="216"/>
      <c r="POG3" s="216"/>
      <c r="POI3" s="210"/>
      <c r="PON3" s="215"/>
      <c r="POO3" s="215"/>
      <c r="POP3" s="215"/>
      <c r="POQ3" s="215"/>
      <c r="POR3" s="215"/>
      <c r="POS3" s="215"/>
      <c r="POT3" s="215"/>
      <c r="POU3" s="217"/>
      <c r="POV3" s="217"/>
      <c r="POY3" s="214"/>
      <c r="POZ3" s="210"/>
      <c r="PPA3" s="210"/>
      <c r="PPB3" s="210"/>
      <c r="PPC3" s="210"/>
      <c r="PPI3" s="212"/>
      <c r="PPK3" s="210"/>
      <c r="PPL3" s="213"/>
      <c r="PPQ3" s="212"/>
      <c r="PPR3" s="212"/>
      <c r="PPS3" s="212"/>
      <c r="PPT3" s="213"/>
      <c r="PPV3" s="212"/>
      <c r="PPW3" s="212"/>
      <c r="PPY3" s="212"/>
      <c r="PPZ3" s="212"/>
      <c r="PQA3" s="212"/>
      <c r="PQB3" s="214"/>
      <c r="PQC3" s="215"/>
      <c r="PQD3" s="215"/>
      <c r="PQE3" s="216"/>
      <c r="PQF3" s="216"/>
      <c r="PQG3" s="216"/>
      <c r="PQI3" s="210"/>
      <c r="PQN3" s="215"/>
      <c r="PQO3" s="215"/>
      <c r="PQP3" s="215"/>
      <c r="PQQ3" s="215"/>
      <c r="PQR3" s="215"/>
      <c r="PQS3" s="215"/>
      <c r="PQT3" s="215"/>
      <c r="PQU3" s="217"/>
      <c r="PQV3" s="217"/>
      <c r="PQY3" s="214"/>
      <c r="PQZ3" s="210"/>
      <c r="PRA3" s="210"/>
      <c r="PRB3" s="210"/>
      <c r="PRC3" s="210"/>
      <c r="PRI3" s="212"/>
      <c r="PRK3" s="210"/>
      <c r="PRL3" s="213"/>
      <c r="PRQ3" s="212"/>
      <c r="PRR3" s="212"/>
      <c r="PRS3" s="212"/>
      <c r="PRT3" s="213"/>
      <c r="PRV3" s="212"/>
      <c r="PRW3" s="212"/>
      <c r="PRY3" s="212"/>
      <c r="PRZ3" s="212"/>
      <c r="PSA3" s="212"/>
      <c r="PSB3" s="214"/>
      <c r="PSC3" s="215"/>
      <c r="PSD3" s="215"/>
      <c r="PSE3" s="216"/>
      <c r="PSF3" s="216"/>
      <c r="PSG3" s="216"/>
      <c r="PSI3" s="210"/>
      <c r="PSN3" s="215"/>
      <c r="PSO3" s="215"/>
      <c r="PSP3" s="215"/>
      <c r="PSQ3" s="215"/>
      <c r="PSR3" s="215"/>
      <c r="PSS3" s="215"/>
      <c r="PST3" s="215"/>
      <c r="PSU3" s="217"/>
      <c r="PSV3" s="217"/>
      <c r="PSY3" s="214"/>
      <c r="PSZ3" s="210"/>
      <c r="PTA3" s="210"/>
      <c r="PTB3" s="210"/>
      <c r="PTC3" s="210"/>
      <c r="PTI3" s="212"/>
      <c r="PTK3" s="210"/>
      <c r="PTL3" s="213"/>
      <c r="PTQ3" s="212"/>
      <c r="PTR3" s="212"/>
      <c r="PTS3" s="212"/>
      <c r="PTT3" s="213"/>
      <c r="PTV3" s="212"/>
      <c r="PTW3" s="212"/>
      <c r="PTY3" s="212"/>
      <c r="PTZ3" s="212"/>
      <c r="PUA3" s="212"/>
      <c r="PUB3" s="214"/>
      <c r="PUC3" s="215"/>
      <c r="PUD3" s="215"/>
      <c r="PUE3" s="216"/>
      <c r="PUF3" s="216"/>
      <c r="PUG3" s="216"/>
      <c r="PUI3" s="210"/>
      <c r="PUN3" s="215"/>
      <c r="PUO3" s="215"/>
      <c r="PUP3" s="215"/>
      <c r="PUQ3" s="215"/>
      <c r="PUR3" s="215"/>
      <c r="PUS3" s="215"/>
      <c r="PUT3" s="215"/>
      <c r="PUU3" s="217"/>
      <c r="PUV3" s="217"/>
      <c r="PUY3" s="214"/>
      <c r="PUZ3" s="210"/>
      <c r="PVA3" s="210"/>
      <c r="PVB3" s="210"/>
      <c r="PVC3" s="210"/>
      <c r="PVI3" s="212"/>
      <c r="PVK3" s="210"/>
      <c r="PVL3" s="213"/>
      <c r="PVQ3" s="212"/>
      <c r="PVR3" s="212"/>
      <c r="PVS3" s="212"/>
      <c r="PVT3" s="213"/>
      <c r="PVV3" s="212"/>
      <c r="PVW3" s="212"/>
      <c r="PVY3" s="212"/>
      <c r="PVZ3" s="212"/>
      <c r="PWA3" s="212"/>
      <c r="PWB3" s="214"/>
      <c r="PWC3" s="215"/>
      <c r="PWD3" s="215"/>
      <c r="PWE3" s="216"/>
      <c r="PWF3" s="216"/>
      <c r="PWG3" s="216"/>
      <c r="PWI3" s="210"/>
      <c r="PWN3" s="215"/>
      <c r="PWO3" s="215"/>
      <c r="PWP3" s="215"/>
      <c r="PWQ3" s="215"/>
      <c r="PWR3" s="215"/>
      <c r="PWS3" s="215"/>
      <c r="PWT3" s="215"/>
      <c r="PWU3" s="217"/>
      <c r="PWV3" s="217"/>
      <c r="PWY3" s="214"/>
      <c r="PWZ3" s="210"/>
      <c r="PXA3" s="210"/>
      <c r="PXB3" s="210"/>
      <c r="PXC3" s="210"/>
      <c r="PXI3" s="212"/>
      <c r="PXK3" s="210"/>
      <c r="PXL3" s="213"/>
      <c r="PXQ3" s="212"/>
      <c r="PXR3" s="212"/>
      <c r="PXS3" s="212"/>
      <c r="PXT3" s="213"/>
      <c r="PXV3" s="212"/>
      <c r="PXW3" s="212"/>
      <c r="PXY3" s="212"/>
      <c r="PXZ3" s="212"/>
      <c r="PYA3" s="212"/>
      <c r="PYB3" s="214"/>
      <c r="PYC3" s="215"/>
      <c r="PYD3" s="215"/>
      <c r="PYE3" s="216"/>
      <c r="PYF3" s="216"/>
      <c r="PYG3" s="216"/>
      <c r="PYI3" s="210"/>
      <c r="PYN3" s="215"/>
      <c r="PYO3" s="215"/>
      <c r="PYP3" s="215"/>
      <c r="PYQ3" s="215"/>
      <c r="PYR3" s="215"/>
      <c r="PYS3" s="215"/>
      <c r="PYT3" s="215"/>
      <c r="PYU3" s="217"/>
      <c r="PYV3" s="217"/>
      <c r="PYY3" s="214"/>
      <c r="PYZ3" s="210"/>
      <c r="PZA3" s="210"/>
      <c r="PZB3" s="210"/>
      <c r="PZC3" s="210"/>
      <c r="PZI3" s="212"/>
      <c r="PZK3" s="210"/>
      <c r="PZL3" s="213"/>
      <c r="PZQ3" s="212"/>
      <c r="PZR3" s="212"/>
      <c r="PZS3" s="212"/>
      <c r="PZT3" s="213"/>
      <c r="PZV3" s="212"/>
      <c r="PZW3" s="212"/>
      <c r="PZY3" s="212"/>
      <c r="PZZ3" s="212"/>
      <c r="QAA3" s="212"/>
      <c r="QAB3" s="214"/>
      <c r="QAC3" s="215"/>
      <c r="QAD3" s="215"/>
      <c r="QAE3" s="216"/>
      <c r="QAF3" s="216"/>
      <c r="QAG3" s="216"/>
      <c r="QAI3" s="210"/>
      <c r="QAN3" s="215"/>
      <c r="QAO3" s="215"/>
      <c r="QAP3" s="215"/>
      <c r="QAQ3" s="215"/>
      <c r="QAR3" s="215"/>
      <c r="QAS3" s="215"/>
      <c r="QAT3" s="215"/>
      <c r="QAU3" s="217"/>
      <c r="QAV3" s="217"/>
      <c r="QAY3" s="214"/>
      <c r="QAZ3" s="210"/>
      <c r="QBA3" s="210"/>
      <c r="QBB3" s="210"/>
      <c r="QBC3" s="210"/>
      <c r="QBI3" s="212"/>
      <c r="QBK3" s="210"/>
      <c r="QBL3" s="213"/>
      <c r="QBQ3" s="212"/>
      <c r="QBR3" s="212"/>
      <c r="QBS3" s="212"/>
      <c r="QBT3" s="213"/>
      <c r="QBV3" s="212"/>
      <c r="QBW3" s="212"/>
      <c r="QBY3" s="212"/>
      <c r="QBZ3" s="212"/>
      <c r="QCA3" s="212"/>
      <c r="QCB3" s="214"/>
      <c r="QCC3" s="215"/>
      <c r="QCD3" s="215"/>
      <c r="QCE3" s="216"/>
      <c r="QCF3" s="216"/>
      <c r="QCG3" s="216"/>
      <c r="QCI3" s="210"/>
      <c r="QCN3" s="215"/>
      <c r="QCO3" s="215"/>
      <c r="QCP3" s="215"/>
      <c r="QCQ3" s="215"/>
      <c r="QCR3" s="215"/>
      <c r="QCS3" s="215"/>
      <c r="QCT3" s="215"/>
      <c r="QCU3" s="217"/>
      <c r="QCV3" s="217"/>
      <c r="QCY3" s="214"/>
      <c r="QCZ3" s="210"/>
      <c r="QDA3" s="210"/>
      <c r="QDB3" s="210"/>
      <c r="QDC3" s="210"/>
      <c r="QDI3" s="212"/>
      <c r="QDK3" s="210"/>
      <c r="QDL3" s="213"/>
      <c r="QDQ3" s="212"/>
      <c r="QDR3" s="212"/>
      <c r="QDS3" s="212"/>
      <c r="QDT3" s="213"/>
      <c r="QDV3" s="212"/>
      <c r="QDW3" s="212"/>
      <c r="QDY3" s="212"/>
      <c r="QDZ3" s="212"/>
      <c r="QEA3" s="212"/>
      <c r="QEB3" s="214"/>
      <c r="QEC3" s="215"/>
      <c r="QED3" s="215"/>
      <c r="QEE3" s="216"/>
      <c r="QEF3" s="216"/>
      <c r="QEG3" s="216"/>
      <c r="QEI3" s="210"/>
      <c r="QEN3" s="215"/>
      <c r="QEO3" s="215"/>
      <c r="QEP3" s="215"/>
      <c r="QEQ3" s="215"/>
      <c r="QER3" s="215"/>
      <c r="QES3" s="215"/>
      <c r="QET3" s="215"/>
      <c r="QEU3" s="217"/>
      <c r="QEV3" s="217"/>
      <c r="QEY3" s="214"/>
      <c r="QEZ3" s="210"/>
      <c r="QFA3" s="210"/>
      <c r="QFB3" s="210"/>
      <c r="QFC3" s="210"/>
      <c r="QFI3" s="212"/>
      <c r="QFK3" s="210"/>
      <c r="QFL3" s="213"/>
      <c r="QFQ3" s="212"/>
      <c r="QFR3" s="212"/>
      <c r="QFS3" s="212"/>
      <c r="QFT3" s="213"/>
      <c r="QFV3" s="212"/>
      <c r="QFW3" s="212"/>
      <c r="QFY3" s="212"/>
      <c r="QFZ3" s="212"/>
      <c r="QGA3" s="212"/>
      <c r="QGB3" s="214"/>
      <c r="QGC3" s="215"/>
      <c r="QGD3" s="215"/>
      <c r="QGE3" s="216"/>
      <c r="QGF3" s="216"/>
      <c r="QGG3" s="216"/>
      <c r="QGI3" s="210"/>
      <c r="QGN3" s="215"/>
      <c r="QGO3" s="215"/>
      <c r="QGP3" s="215"/>
      <c r="QGQ3" s="215"/>
      <c r="QGR3" s="215"/>
      <c r="QGS3" s="215"/>
      <c r="QGT3" s="215"/>
      <c r="QGU3" s="217"/>
      <c r="QGV3" s="217"/>
      <c r="QGY3" s="214"/>
      <c r="QGZ3" s="210"/>
      <c r="QHA3" s="210"/>
      <c r="QHB3" s="210"/>
      <c r="QHC3" s="210"/>
      <c r="QHI3" s="212"/>
      <c r="QHK3" s="210"/>
      <c r="QHL3" s="213"/>
      <c r="QHQ3" s="212"/>
      <c r="QHR3" s="212"/>
      <c r="QHS3" s="212"/>
      <c r="QHT3" s="213"/>
      <c r="QHV3" s="212"/>
      <c r="QHW3" s="212"/>
      <c r="QHY3" s="212"/>
      <c r="QHZ3" s="212"/>
      <c r="QIA3" s="212"/>
      <c r="QIB3" s="214"/>
      <c r="QIC3" s="215"/>
      <c r="QID3" s="215"/>
      <c r="QIE3" s="216"/>
      <c r="QIF3" s="216"/>
      <c r="QIG3" s="216"/>
      <c r="QII3" s="210"/>
      <c r="QIN3" s="215"/>
      <c r="QIO3" s="215"/>
      <c r="QIP3" s="215"/>
      <c r="QIQ3" s="215"/>
      <c r="QIR3" s="215"/>
      <c r="QIS3" s="215"/>
      <c r="QIT3" s="215"/>
      <c r="QIU3" s="217"/>
      <c r="QIV3" s="217"/>
      <c r="QIY3" s="214"/>
      <c r="QIZ3" s="210"/>
      <c r="QJA3" s="210"/>
      <c r="QJB3" s="210"/>
      <c r="QJC3" s="210"/>
      <c r="QJI3" s="212"/>
      <c r="QJK3" s="210"/>
      <c r="QJL3" s="213"/>
      <c r="QJQ3" s="212"/>
      <c r="QJR3" s="212"/>
      <c r="QJS3" s="212"/>
      <c r="QJT3" s="213"/>
      <c r="QJV3" s="212"/>
      <c r="QJW3" s="212"/>
      <c r="QJY3" s="212"/>
      <c r="QJZ3" s="212"/>
      <c r="QKA3" s="212"/>
      <c r="QKB3" s="214"/>
      <c r="QKC3" s="215"/>
      <c r="QKD3" s="215"/>
      <c r="QKE3" s="216"/>
      <c r="QKF3" s="216"/>
      <c r="QKG3" s="216"/>
      <c r="QKI3" s="210"/>
      <c r="QKN3" s="215"/>
      <c r="QKO3" s="215"/>
      <c r="QKP3" s="215"/>
      <c r="QKQ3" s="215"/>
      <c r="QKR3" s="215"/>
      <c r="QKS3" s="215"/>
      <c r="QKT3" s="215"/>
      <c r="QKU3" s="217"/>
      <c r="QKV3" s="217"/>
      <c r="QKY3" s="214"/>
      <c r="QKZ3" s="210"/>
      <c r="QLA3" s="210"/>
      <c r="QLB3" s="210"/>
      <c r="QLC3" s="210"/>
      <c r="QLI3" s="212"/>
      <c r="QLK3" s="210"/>
      <c r="QLL3" s="213"/>
      <c r="QLQ3" s="212"/>
      <c r="QLR3" s="212"/>
      <c r="QLS3" s="212"/>
      <c r="QLT3" s="213"/>
      <c r="QLV3" s="212"/>
      <c r="QLW3" s="212"/>
      <c r="QLY3" s="212"/>
      <c r="QLZ3" s="212"/>
      <c r="QMA3" s="212"/>
      <c r="QMB3" s="214"/>
      <c r="QMC3" s="215"/>
      <c r="QMD3" s="215"/>
      <c r="QME3" s="216"/>
      <c r="QMF3" s="216"/>
      <c r="QMG3" s="216"/>
      <c r="QMI3" s="210"/>
      <c r="QMN3" s="215"/>
      <c r="QMO3" s="215"/>
      <c r="QMP3" s="215"/>
      <c r="QMQ3" s="215"/>
      <c r="QMR3" s="215"/>
      <c r="QMS3" s="215"/>
      <c r="QMT3" s="215"/>
      <c r="QMU3" s="217"/>
      <c r="QMV3" s="217"/>
      <c r="QMY3" s="214"/>
      <c r="QMZ3" s="210"/>
      <c r="QNA3" s="210"/>
      <c r="QNB3" s="210"/>
      <c r="QNC3" s="210"/>
      <c r="QNI3" s="212"/>
      <c r="QNK3" s="210"/>
      <c r="QNL3" s="213"/>
      <c r="QNQ3" s="212"/>
      <c r="QNR3" s="212"/>
      <c r="QNS3" s="212"/>
      <c r="QNT3" s="213"/>
      <c r="QNV3" s="212"/>
      <c r="QNW3" s="212"/>
      <c r="QNY3" s="212"/>
      <c r="QNZ3" s="212"/>
      <c r="QOA3" s="212"/>
      <c r="QOB3" s="214"/>
      <c r="QOC3" s="215"/>
      <c r="QOD3" s="215"/>
      <c r="QOE3" s="216"/>
      <c r="QOF3" s="216"/>
      <c r="QOG3" s="216"/>
      <c r="QOI3" s="210"/>
      <c r="QON3" s="215"/>
      <c r="QOO3" s="215"/>
      <c r="QOP3" s="215"/>
      <c r="QOQ3" s="215"/>
      <c r="QOR3" s="215"/>
      <c r="QOS3" s="215"/>
      <c r="QOT3" s="215"/>
      <c r="QOU3" s="217"/>
      <c r="QOV3" s="217"/>
      <c r="QOY3" s="214"/>
      <c r="QOZ3" s="210"/>
      <c r="QPA3" s="210"/>
      <c r="QPB3" s="210"/>
      <c r="QPC3" s="210"/>
      <c r="QPI3" s="212"/>
      <c r="QPK3" s="210"/>
      <c r="QPL3" s="213"/>
      <c r="QPQ3" s="212"/>
      <c r="QPR3" s="212"/>
      <c r="QPS3" s="212"/>
      <c r="QPT3" s="213"/>
      <c r="QPV3" s="212"/>
      <c r="QPW3" s="212"/>
      <c r="QPY3" s="212"/>
      <c r="QPZ3" s="212"/>
      <c r="QQA3" s="212"/>
      <c r="QQB3" s="214"/>
      <c r="QQC3" s="215"/>
      <c r="QQD3" s="215"/>
      <c r="QQE3" s="216"/>
      <c r="QQF3" s="216"/>
      <c r="QQG3" s="216"/>
      <c r="QQI3" s="210"/>
      <c r="QQN3" s="215"/>
      <c r="QQO3" s="215"/>
      <c r="QQP3" s="215"/>
      <c r="QQQ3" s="215"/>
      <c r="QQR3" s="215"/>
      <c r="QQS3" s="215"/>
      <c r="QQT3" s="215"/>
      <c r="QQU3" s="217"/>
      <c r="QQV3" s="217"/>
      <c r="QQY3" s="214"/>
      <c r="QQZ3" s="210"/>
      <c r="QRA3" s="210"/>
      <c r="QRB3" s="210"/>
      <c r="QRC3" s="210"/>
      <c r="QRI3" s="212"/>
      <c r="QRK3" s="210"/>
      <c r="QRL3" s="213"/>
      <c r="QRQ3" s="212"/>
      <c r="QRR3" s="212"/>
      <c r="QRS3" s="212"/>
      <c r="QRT3" s="213"/>
      <c r="QRV3" s="212"/>
      <c r="QRW3" s="212"/>
      <c r="QRY3" s="212"/>
      <c r="QRZ3" s="212"/>
      <c r="QSA3" s="212"/>
      <c r="QSB3" s="214"/>
      <c r="QSC3" s="215"/>
      <c r="QSD3" s="215"/>
      <c r="QSE3" s="216"/>
      <c r="QSF3" s="216"/>
      <c r="QSG3" s="216"/>
      <c r="QSI3" s="210"/>
      <c r="QSN3" s="215"/>
      <c r="QSO3" s="215"/>
      <c r="QSP3" s="215"/>
      <c r="QSQ3" s="215"/>
      <c r="QSR3" s="215"/>
      <c r="QSS3" s="215"/>
      <c r="QST3" s="215"/>
      <c r="QSU3" s="217"/>
      <c r="QSV3" s="217"/>
      <c r="QSY3" s="214"/>
      <c r="QSZ3" s="210"/>
      <c r="QTA3" s="210"/>
      <c r="QTB3" s="210"/>
      <c r="QTC3" s="210"/>
      <c r="QTI3" s="212"/>
      <c r="QTK3" s="210"/>
      <c r="QTL3" s="213"/>
      <c r="QTQ3" s="212"/>
      <c r="QTR3" s="212"/>
      <c r="QTS3" s="212"/>
      <c r="QTT3" s="213"/>
      <c r="QTV3" s="212"/>
      <c r="QTW3" s="212"/>
      <c r="QTY3" s="212"/>
      <c r="QTZ3" s="212"/>
      <c r="QUA3" s="212"/>
      <c r="QUB3" s="214"/>
      <c r="QUC3" s="215"/>
      <c r="QUD3" s="215"/>
      <c r="QUE3" s="216"/>
      <c r="QUF3" s="216"/>
      <c r="QUG3" s="216"/>
      <c r="QUI3" s="210"/>
      <c r="QUN3" s="215"/>
      <c r="QUO3" s="215"/>
      <c r="QUP3" s="215"/>
      <c r="QUQ3" s="215"/>
      <c r="QUR3" s="215"/>
      <c r="QUS3" s="215"/>
      <c r="QUT3" s="215"/>
      <c r="QUU3" s="217"/>
      <c r="QUV3" s="217"/>
      <c r="QUY3" s="214"/>
      <c r="QUZ3" s="210"/>
      <c r="QVA3" s="210"/>
      <c r="QVB3" s="210"/>
      <c r="QVC3" s="210"/>
      <c r="QVI3" s="212"/>
      <c r="QVK3" s="210"/>
      <c r="QVL3" s="213"/>
      <c r="QVQ3" s="212"/>
      <c r="QVR3" s="212"/>
      <c r="QVS3" s="212"/>
      <c r="QVT3" s="213"/>
      <c r="QVV3" s="212"/>
      <c r="QVW3" s="212"/>
      <c r="QVY3" s="212"/>
      <c r="QVZ3" s="212"/>
      <c r="QWA3" s="212"/>
      <c r="QWB3" s="214"/>
      <c r="QWC3" s="215"/>
      <c r="QWD3" s="215"/>
      <c r="QWE3" s="216"/>
      <c r="QWF3" s="216"/>
      <c r="QWG3" s="216"/>
      <c r="QWI3" s="210"/>
      <c r="QWN3" s="215"/>
      <c r="QWO3" s="215"/>
      <c r="QWP3" s="215"/>
      <c r="QWQ3" s="215"/>
      <c r="QWR3" s="215"/>
      <c r="QWS3" s="215"/>
      <c r="QWT3" s="215"/>
      <c r="QWU3" s="217"/>
      <c r="QWV3" s="217"/>
      <c r="QWY3" s="214"/>
      <c r="QWZ3" s="210"/>
      <c r="QXA3" s="210"/>
      <c r="QXB3" s="210"/>
      <c r="QXC3" s="210"/>
      <c r="QXI3" s="212"/>
      <c r="QXK3" s="210"/>
      <c r="QXL3" s="213"/>
      <c r="QXQ3" s="212"/>
      <c r="QXR3" s="212"/>
      <c r="QXS3" s="212"/>
      <c r="QXT3" s="213"/>
      <c r="QXV3" s="212"/>
      <c r="QXW3" s="212"/>
      <c r="QXY3" s="212"/>
      <c r="QXZ3" s="212"/>
      <c r="QYA3" s="212"/>
      <c r="QYB3" s="214"/>
      <c r="QYC3" s="215"/>
      <c r="QYD3" s="215"/>
      <c r="QYE3" s="216"/>
      <c r="QYF3" s="216"/>
      <c r="QYG3" s="216"/>
      <c r="QYI3" s="210"/>
      <c r="QYN3" s="215"/>
      <c r="QYO3" s="215"/>
      <c r="QYP3" s="215"/>
      <c r="QYQ3" s="215"/>
      <c r="QYR3" s="215"/>
      <c r="QYS3" s="215"/>
      <c r="QYT3" s="215"/>
      <c r="QYU3" s="217"/>
      <c r="QYV3" s="217"/>
      <c r="QYY3" s="214"/>
      <c r="QYZ3" s="210"/>
      <c r="QZA3" s="210"/>
      <c r="QZB3" s="210"/>
      <c r="QZC3" s="210"/>
      <c r="QZI3" s="212"/>
      <c r="QZK3" s="210"/>
      <c r="QZL3" s="213"/>
      <c r="QZQ3" s="212"/>
      <c r="QZR3" s="212"/>
      <c r="QZS3" s="212"/>
      <c r="QZT3" s="213"/>
      <c r="QZV3" s="212"/>
      <c r="QZW3" s="212"/>
      <c r="QZY3" s="212"/>
      <c r="QZZ3" s="212"/>
      <c r="RAA3" s="212"/>
      <c r="RAB3" s="214"/>
      <c r="RAC3" s="215"/>
      <c r="RAD3" s="215"/>
      <c r="RAE3" s="216"/>
      <c r="RAF3" s="216"/>
      <c r="RAG3" s="216"/>
      <c r="RAI3" s="210"/>
      <c r="RAN3" s="215"/>
      <c r="RAO3" s="215"/>
      <c r="RAP3" s="215"/>
      <c r="RAQ3" s="215"/>
      <c r="RAR3" s="215"/>
      <c r="RAS3" s="215"/>
      <c r="RAT3" s="215"/>
      <c r="RAU3" s="217"/>
      <c r="RAV3" s="217"/>
      <c r="RAY3" s="214"/>
      <c r="RAZ3" s="210"/>
      <c r="RBA3" s="210"/>
      <c r="RBB3" s="210"/>
      <c r="RBC3" s="210"/>
      <c r="RBI3" s="212"/>
      <c r="RBK3" s="210"/>
      <c r="RBL3" s="213"/>
      <c r="RBQ3" s="212"/>
      <c r="RBR3" s="212"/>
      <c r="RBS3" s="212"/>
      <c r="RBT3" s="213"/>
      <c r="RBV3" s="212"/>
      <c r="RBW3" s="212"/>
      <c r="RBY3" s="212"/>
      <c r="RBZ3" s="212"/>
      <c r="RCA3" s="212"/>
      <c r="RCB3" s="214"/>
      <c r="RCC3" s="215"/>
      <c r="RCD3" s="215"/>
      <c r="RCE3" s="216"/>
      <c r="RCF3" s="216"/>
      <c r="RCG3" s="216"/>
      <c r="RCI3" s="210"/>
      <c r="RCN3" s="215"/>
      <c r="RCO3" s="215"/>
      <c r="RCP3" s="215"/>
      <c r="RCQ3" s="215"/>
      <c r="RCR3" s="215"/>
      <c r="RCS3" s="215"/>
      <c r="RCT3" s="215"/>
      <c r="RCU3" s="217"/>
      <c r="RCV3" s="217"/>
      <c r="RCY3" s="214"/>
      <c r="RCZ3" s="210"/>
      <c r="RDA3" s="210"/>
      <c r="RDB3" s="210"/>
      <c r="RDC3" s="210"/>
      <c r="RDI3" s="212"/>
      <c r="RDK3" s="210"/>
      <c r="RDL3" s="213"/>
      <c r="RDQ3" s="212"/>
      <c r="RDR3" s="212"/>
      <c r="RDS3" s="212"/>
      <c r="RDT3" s="213"/>
      <c r="RDV3" s="212"/>
      <c r="RDW3" s="212"/>
      <c r="RDY3" s="212"/>
      <c r="RDZ3" s="212"/>
      <c r="REA3" s="212"/>
      <c r="REB3" s="214"/>
      <c r="REC3" s="215"/>
      <c r="RED3" s="215"/>
      <c r="REE3" s="216"/>
      <c r="REF3" s="216"/>
      <c r="REG3" s="216"/>
      <c r="REI3" s="210"/>
      <c r="REN3" s="215"/>
      <c r="REO3" s="215"/>
      <c r="REP3" s="215"/>
      <c r="REQ3" s="215"/>
      <c r="RER3" s="215"/>
      <c r="RES3" s="215"/>
      <c r="RET3" s="215"/>
      <c r="REU3" s="217"/>
      <c r="REV3" s="217"/>
      <c r="REY3" s="214"/>
      <c r="REZ3" s="210"/>
      <c r="RFA3" s="210"/>
      <c r="RFB3" s="210"/>
      <c r="RFC3" s="210"/>
      <c r="RFI3" s="212"/>
      <c r="RFK3" s="210"/>
      <c r="RFL3" s="213"/>
      <c r="RFQ3" s="212"/>
      <c r="RFR3" s="212"/>
      <c r="RFS3" s="212"/>
      <c r="RFT3" s="213"/>
      <c r="RFV3" s="212"/>
      <c r="RFW3" s="212"/>
      <c r="RFY3" s="212"/>
      <c r="RFZ3" s="212"/>
      <c r="RGA3" s="212"/>
      <c r="RGB3" s="214"/>
      <c r="RGC3" s="215"/>
      <c r="RGD3" s="215"/>
      <c r="RGE3" s="216"/>
      <c r="RGF3" s="216"/>
      <c r="RGG3" s="216"/>
      <c r="RGI3" s="210"/>
      <c r="RGN3" s="215"/>
      <c r="RGO3" s="215"/>
      <c r="RGP3" s="215"/>
      <c r="RGQ3" s="215"/>
      <c r="RGR3" s="215"/>
      <c r="RGS3" s="215"/>
      <c r="RGT3" s="215"/>
      <c r="RGU3" s="217"/>
      <c r="RGV3" s="217"/>
      <c r="RGY3" s="214"/>
      <c r="RGZ3" s="210"/>
      <c r="RHA3" s="210"/>
      <c r="RHB3" s="210"/>
      <c r="RHC3" s="210"/>
      <c r="RHI3" s="212"/>
      <c r="RHK3" s="210"/>
      <c r="RHL3" s="213"/>
      <c r="RHQ3" s="212"/>
      <c r="RHR3" s="212"/>
      <c r="RHS3" s="212"/>
      <c r="RHT3" s="213"/>
      <c r="RHV3" s="212"/>
      <c r="RHW3" s="212"/>
      <c r="RHY3" s="212"/>
      <c r="RHZ3" s="212"/>
      <c r="RIA3" s="212"/>
      <c r="RIB3" s="214"/>
      <c r="RIC3" s="215"/>
      <c r="RID3" s="215"/>
      <c r="RIE3" s="216"/>
      <c r="RIF3" s="216"/>
      <c r="RIG3" s="216"/>
      <c r="RII3" s="210"/>
      <c r="RIN3" s="215"/>
      <c r="RIO3" s="215"/>
      <c r="RIP3" s="215"/>
      <c r="RIQ3" s="215"/>
      <c r="RIR3" s="215"/>
      <c r="RIS3" s="215"/>
      <c r="RIT3" s="215"/>
      <c r="RIU3" s="217"/>
      <c r="RIV3" s="217"/>
      <c r="RIY3" s="214"/>
      <c r="RIZ3" s="210"/>
      <c r="RJA3" s="210"/>
      <c r="RJB3" s="210"/>
      <c r="RJC3" s="210"/>
      <c r="RJI3" s="212"/>
      <c r="RJK3" s="210"/>
      <c r="RJL3" s="213"/>
      <c r="RJQ3" s="212"/>
      <c r="RJR3" s="212"/>
      <c r="RJS3" s="212"/>
      <c r="RJT3" s="213"/>
      <c r="RJV3" s="212"/>
      <c r="RJW3" s="212"/>
      <c r="RJY3" s="212"/>
      <c r="RJZ3" s="212"/>
      <c r="RKA3" s="212"/>
      <c r="RKB3" s="214"/>
      <c r="RKC3" s="215"/>
      <c r="RKD3" s="215"/>
      <c r="RKE3" s="216"/>
      <c r="RKF3" s="216"/>
      <c r="RKG3" s="216"/>
      <c r="RKI3" s="210"/>
      <c r="RKN3" s="215"/>
      <c r="RKO3" s="215"/>
      <c r="RKP3" s="215"/>
      <c r="RKQ3" s="215"/>
      <c r="RKR3" s="215"/>
      <c r="RKS3" s="215"/>
      <c r="RKT3" s="215"/>
      <c r="RKU3" s="217"/>
      <c r="RKV3" s="217"/>
      <c r="RKY3" s="214"/>
      <c r="RKZ3" s="210"/>
      <c r="RLA3" s="210"/>
      <c r="RLB3" s="210"/>
      <c r="RLC3" s="210"/>
      <c r="RLI3" s="212"/>
      <c r="RLK3" s="210"/>
      <c r="RLL3" s="213"/>
      <c r="RLQ3" s="212"/>
      <c r="RLR3" s="212"/>
      <c r="RLS3" s="212"/>
      <c r="RLT3" s="213"/>
      <c r="RLV3" s="212"/>
      <c r="RLW3" s="212"/>
      <c r="RLY3" s="212"/>
      <c r="RLZ3" s="212"/>
      <c r="RMA3" s="212"/>
      <c r="RMB3" s="214"/>
      <c r="RMC3" s="215"/>
      <c r="RMD3" s="215"/>
      <c r="RME3" s="216"/>
      <c r="RMF3" s="216"/>
      <c r="RMG3" s="216"/>
      <c r="RMI3" s="210"/>
      <c r="RMN3" s="215"/>
      <c r="RMO3" s="215"/>
      <c r="RMP3" s="215"/>
      <c r="RMQ3" s="215"/>
      <c r="RMR3" s="215"/>
      <c r="RMS3" s="215"/>
      <c r="RMT3" s="215"/>
      <c r="RMU3" s="217"/>
      <c r="RMV3" s="217"/>
      <c r="RMY3" s="214"/>
      <c r="RMZ3" s="210"/>
      <c r="RNA3" s="210"/>
      <c r="RNB3" s="210"/>
      <c r="RNC3" s="210"/>
      <c r="RNI3" s="212"/>
      <c r="RNK3" s="210"/>
      <c r="RNL3" s="213"/>
      <c r="RNQ3" s="212"/>
      <c r="RNR3" s="212"/>
      <c r="RNS3" s="212"/>
      <c r="RNT3" s="213"/>
      <c r="RNV3" s="212"/>
      <c r="RNW3" s="212"/>
      <c r="RNY3" s="212"/>
      <c r="RNZ3" s="212"/>
      <c r="ROA3" s="212"/>
      <c r="ROB3" s="214"/>
      <c r="ROC3" s="215"/>
      <c r="ROD3" s="215"/>
      <c r="ROE3" s="216"/>
      <c r="ROF3" s="216"/>
      <c r="ROG3" s="216"/>
      <c r="ROI3" s="210"/>
      <c r="RON3" s="215"/>
      <c r="ROO3" s="215"/>
      <c r="ROP3" s="215"/>
      <c r="ROQ3" s="215"/>
      <c r="ROR3" s="215"/>
      <c r="ROS3" s="215"/>
      <c r="ROT3" s="215"/>
      <c r="ROU3" s="217"/>
      <c r="ROV3" s="217"/>
      <c r="ROY3" s="214"/>
      <c r="ROZ3" s="210"/>
      <c r="RPA3" s="210"/>
      <c r="RPB3" s="210"/>
      <c r="RPC3" s="210"/>
      <c r="RPI3" s="212"/>
      <c r="RPK3" s="210"/>
      <c r="RPL3" s="213"/>
      <c r="RPQ3" s="212"/>
      <c r="RPR3" s="212"/>
      <c r="RPS3" s="212"/>
      <c r="RPT3" s="213"/>
      <c r="RPV3" s="212"/>
      <c r="RPW3" s="212"/>
      <c r="RPY3" s="212"/>
      <c r="RPZ3" s="212"/>
      <c r="RQA3" s="212"/>
      <c r="RQB3" s="214"/>
      <c r="RQC3" s="215"/>
      <c r="RQD3" s="215"/>
      <c r="RQE3" s="216"/>
      <c r="RQF3" s="216"/>
      <c r="RQG3" s="216"/>
      <c r="RQI3" s="210"/>
      <c r="RQN3" s="215"/>
      <c r="RQO3" s="215"/>
      <c r="RQP3" s="215"/>
      <c r="RQQ3" s="215"/>
      <c r="RQR3" s="215"/>
      <c r="RQS3" s="215"/>
      <c r="RQT3" s="215"/>
      <c r="RQU3" s="217"/>
      <c r="RQV3" s="217"/>
      <c r="RQY3" s="214"/>
      <c r="RQZ3" s="210"/>
      <c r="RRA3" s="210"/>
      <c r="RRB3" s="210"/>
      <c r="RRC3" s="210"/>
      <c r="RRI3" s="212"/>
      <c r="RRK3" s="210"/>
      <c r="RRL3" s="213"/>
      <c r="RRQ3" s="212"/>
      <c r="RRR3" s="212"/>
      <c r="RRS3" s="212"/>
      <c r="RRT3" s="213"/>
      <c r="RRV3" s="212"/>
      <c r="RRW3" s="212"/>
      <c r="RRY3" s="212"/>
      <c r="RRZ3" s="212"/>
      <c r="RSA3" s="212"/>
      <c r="RSB3" s="214"/>
      <c r="RSC3" s="215"/>
      <c r="RSD3" s="215"/>
      <c r="RSE3" s="216"/>
      <c r="RSF3" s="216"/>
      <c r="RSG3" s="216"/>
      <c r="RSI3" s="210"/>
      <c r="RSN3" s="215"/>
      <c r="RSO3" s="215"/>
      <c r="RSP3" s="215"/>
      <c r="RSQ3" s="215"/>
      <c r="RSR3" s="215"/>
      <c r="RSS3" s="215"/>
      <c r="RST3" s="215"/>
      <c r="RSU3" s="217"/>
      <c r="RSV3" s="217"/>
      <c r="RSY3" s="214"/>
      <c r="RSZ3" s="210"/>
      <c r="RTA3" s="210"/>
      <c r="RTB3" s="210"/>
      <c r="RTC3" s="210"/>
      <c r="RTI3" s="212"/>
      <c r="RTK3" s="210"/>
      <c r="RTL3" s="213"/>
      <c r="RTQ3" s="212"/>
      <c r="RTR3" s="212"/>
      <c r="RTS3" s="212"/>
      <c r="RTT3" s="213"/>
      <c r="RTV3" s="212"/>
      <c r="RTW3" s="212"/>
      <c r="RTY3" s="212"/>
      <c r="RTZ3" s="212"/>
      <c r="RUA3" s="212"/>
      <c r="RUB3" s="214"/>
      <c r="RUC3" s="215"/>
      <c r="RUD3" s="215"/>
      <c r="RUE3" s="216"/>
      <c r="RUF3" s="216"/>
      <c r="RUG3" s="216"/>
      <c r="RUI3" s="210"/>
      <c r="RUN3" s="215"/>
      <c r="RUO3" s="215"/>
      <c r="RUP3" s="215"/>
      <c r="RUQ3" s="215"/>
      <c r="RUR3" s="215"/>
      <c r="RUS3" s="215"/>
      <c r="RUT3" s="215"/>
      <c r="RUU3" s="217"/>
      <c r="RUV3" s="217"/>
      <c r="RUY3" s="214"/>
      <c r="RUZ3" s="210"/>
      <c r="RVA3" s="210"/>
      <c r="RVB3" s="210"/>
      <c r="RVC3" s="210"/>
      <c r="RVI3" s="212"/>
      <c r="RVK3" s="210"/>
      <c r="RVL3" s="213"/>
      <c r="RVQ3" s="212"/>
      <c r="RVR3" s="212"/>
      <c r="RVS3" s="212"/>
      <c r="RVT3" s="213"/>
      <c r="RVV3" s="212"/>
      <c r="RVW3" s="212"/>
      <c r="RVY3" s="212"/>
      <c r="RVZ3" s="212"/>
      <c r="RWA3" s="212"/>
      <c r="RWB3" s="214"/>
      <c r="RWC3" s="215"/>
      <c r="RWD3" s="215"/>
      <c r="RWE3" s="216"/>
      <c r="RWF3" s="216"/>
      <c r="RWG3" s="216"/>
      <c r="RWI3" s="210"/>
      <c r="RWN3" s="215"/>
      <c r="RWO3" s="215"/>
      <c r="RWP3" s="215"/>
      <c r="RWQ3" s="215"/>
      <c r="RWR3" s="215"/>
      <c r="RWS3" s="215"/>
      <c r="RWT3" s="215"/>
      <c r="RWU3" s="217"/>
      <c r="RWV3" s="217"/>
      <c r="RWY3" s="214"/>
      <c r="RWZ3" s="210"/>
      <c r="RXA3" s="210"/>
      <c r="RXB3" s="210"/>
      <c r="RXC3" s="210"/>
      <c r="RXI3" s="212"/>
      <c r="RXK3" s="210"/>
      <c r="RXL3" s="213"/>
      <c r="RXQ3" s="212"/>
      <c r="RXR3" s="212"/>
      <c r="RXS3" s="212"/>
      <c r="RXT3" s="213"/>
      <c r="RXV3" s="212"/>
      <c r="RXW3" s="212"/>
      <c r="RXY3" s="212"/>
      <c r="RXZ3" s="212"/>
      <c r="RYA3" s="212"/>
      <c r="RYB3" s="214"/>
      <c r="RYC3" s="215"/>
      <c r="RYD3" s="215"/>
      <c r="RYE3" s="216"/>
      <c r="RYF3" s="216"/>
      <c r="RYG3" s="216"/>
      <c r="RYI3" s="210"/>
      <c r="RYN3" s="215"/>
      <c r="RYO3" s="215"/>
      <c r="RYP3" s="215"/>
      <c r="RYQ3" s="215"/>
      <c r="RYR3" s="215"/>
      <c r="RYS3" s="215"/>
      <c r="RYT3" s="215"/>
      <c r="RYU3" s="217"/>
      <c r="RYV3" s="217"/>
      <c r="RYY3" s="214"/>
      <c r="RYZ3" s="210"/>
      <c r="RZA3" s="210"/>
      <c r="RZB3" s="210"/>
      <c r="RZC3" s="210"/>
      <c r="RZI3" s="212"/>
      <c r="RZK3" s="210"/>
      <c r="RZL3" s="213"/>
      <c r="RZQ3" s="212"/>
      <c r="RZR3" s="212"/>
      <c r="RZS3" s="212"/>
      <c r="RZT3" s="213"/>
      <c r="RZV3" s="212"/>
      <c r="RZW3" s="212"/>
      <c r="RZY3" s="212"/>
      <c r="RZZ3" s="212"/>
      <c r="SAA3" s="212"/>
      <c r="SAB3" s="214"/>
      <c r="SAC3" s="215"/>
      <c r="SAD3" s="215"/>
      <c r="SAE3" s="216"/>
      <c r="SAF3" s="216"/>
      <c r="SAG3" s="216"/>
      <c r="SAI3" s="210"/>
      <c r="SAN3" s="215"/>
      <c r="SAO3" s="215"/>
      <c r="SAP3" s="215"/>
      <c r="SAQ3" s="215"/>
      <c r="SAR3" s="215"/>
      <c r="SAS3" s="215"/>
      <c r="SAT3" s="215"/>
      <c r="SAU3" s="217"/>
      <c r="SAV3" s="217"/>
      <c r="SAY3" s="214"/>
      <c r="SAZ3" s="210"/>
      <c r="SBA3" s="210"/>
      <c r="SBB3" s="210"/>
      <c r="SBC3" s="210"/>
      <c r="SBI3" s="212"/>
      <c r="SBK3" s="210"/>
      <c r="SBL3" s="213"/>
      <c r="SBQ3" s="212"/>
      <c r="SBR3" s="212"/>
      <c r="SBS3" s="212"/>
      <c r="SBT3" s="213"/>
      <c r="SBV3" s="212"/>
      <c r="SBW3" s="212"/>
      <c r="SBY3" s="212"/>
      <c r="SBZ3" s="212"/>
      <c r="SCA3" s="212"/>
      <c r="SCB3" s="214"/>
      <c r="SCC3" s="215"/>
      <c r="SCD3" s="215"/>
      <c r="SCE3" s="216"/>
      <c r="SCF3" s="216"/>
      <c r="SCG3" s="216"/>
      <c r="SCI3" s="210"/>
      <c r="SCN3" s="215"/>
      <c r="SCO3" s="215"/>
      <c r="SCP3" s="215"/>
      <c r="SCQ3" s="215"/>
      <c r="SCR3" s="215"/>
      <c r="SCS3" s="215"/>
      <c r="SCT3" s="215"/>
      <c r="SCU3" s="217"/>
      <c r="SCV3" s="217"/>
      <c r="SCY3" s="214"/>
      <c r="SCZ3" s="210"/>
      <c r="SDA3" s="210"/>
      <c r="SDB3" s="210"/>
      <c r="SDC3" s="210"/>
      <c r="SDI3" s="212"/>
      <c r="SDK3" s="210"/>
      <c r="SDL3" s="213"/>
      <c r="SDQ3" s="212"/>
      <c r="SDR3" s="212"/>
      <c r="SDS3" s="212"/>
      <c r="SDT3" s="213"/>
      <c r="SDV3" s="212"/>
      <c r="SDW3" s="212"/>
      <c r="SDY3" s="212"/>
      <c r="SDZ3" s="212"/>
      <c r="SEA3" s="212"/>
      <c r="SEB3" s="214"/>
      <c r="SEC3" s="215"/>
      <c r="SED3" s="215"/>
      <c r="SEE3" s="216"/>
      <c r="SEF3" s="216"/>
      <c r="SEG3" s="216"/>
      <c r="SEI3" s="210"/>
      <c r="SEN3" s="215"/>
      <c r="SEO3" s="215"/>
      <c r="SEP3" s="215"/>
      <c r="SEQ3" s="215"/>
      <c r="SER3" s="215"/>
      <c r="SES3" s="215"/>
      <c r="SET3" s="215"/>
      <c r="SEU3" s="217"/>
      <c r="SEV3" s="217"/>
      <c r="SEY3" s="214"/>
      <c r="SEZ3" s="210"/>
      <c r="SFA3" s="210"/>
      <c r="SFB3" s="210"/>
      <c r="SFC3" s="210"/>
      <c r="SFI3" s="212"/>
      <c r="SFK3" s="210"/>
      <c r="SFL3" s="213"/>
      <c r="SFQ3" s="212"/>
      <c r="SFR3" s="212"/>
      <c r="SFS3" s="212"/>
      <c r="SFT3" s="213"/>
      <c r="SFV3" s="212"/>
      <c r="SFW3" s="212"/>
      <c r="SFY3" s="212"/>
      <c r="SFZ3" s="212"/>
      <c r="SGA3" s="212"/>
      <c r="SGB3" s="214"/>
      <c r="SGC3" s="215"/>
      <c r="SGD3" s="215"/>
      <c r="SGE3" s="216"/>
      <c r="SGF3" s="216"/>
      <c r="SGG3" s="216"/>
      <c r="SGI3" s="210"/>
      <c r="SGN3" s="215"/>
      <c r="SGO3" s="215"/>
      <c r="SGP3" s="215"/>
      <c r="SGQ3" s="215"/>
      <c r="SGR3" s="215"/>
      <c r="SGS3" s="215"/>
      <c r="SGT3" s="215"/>
      <c r="SGU3" s="217"/>
      <c r="SGV3" s="217"/>
      <c r="SGY3" s="214"/>
      <c r="SGZ3" s="210"/>
      <c r="SHA3" s="210"/>
      <c r="SHB3" s="210"/>
      <c r="SHC3" s="210"/>
      <c r="SHI3" s="212"/>
      <c r="SHK3" s="210"/>
      <c r="SHL3" s="213"/>
      <c r="SHQ3" s="212"/>
      <c r="SHR3" s="212"/>
      <c r="SHS3" s="212"/>
      <c r="SHT3" s="213"/>
      <c r="SHV3" s="212"/>
      <c r="SHW3" s="212"/>
      <c r="SHY3" s="212"/>
      <c r="SHZ3" s="212"/>
      <c r="SIA3" s="212"/>
      <c r="SIB3" s="214"/>
      <c r="SIC3" s="215"/>
      <c r="SID3" s="215"/>
      <c r="SIE3" s="216"/>
      <c r="SIF3" s="216"/>
      <c r="SIG3" s="216"/>
      <c r="SII3" s="210"/>
      <c r="SIN3" s="215"/>
      <c r="SIO3" s="215"/>
      <c r="SIP3" s="215"/>
      <c r="SIQ3" s="215"/>
      <c r="SIR3" s="215"/>
      <c r="SIS3" s="215"/>
      <c r="SIT3" s="215"/>
      <c r="SIU3" s="217"/>
      <c r="SIV3" s="217"/>
      <c r="SIY3" s="214"/>
      <c r="SIZ3" s="210"/>
      <c r="SJA3" s="210"/>
      <c r="SJB3" s="210"/>
      <c r="SJC3" s="210"/>
      <c r="SJI3" s="212"/>
      <c r="SJK3" s="210"/>
      <c r="SJL3" s="213"/>
      <c r="SJQ3" s="212"/>
      <c r="SJR3" s="212"/>
      <c r="SJS3" s="212"/>
      <c r="SJT3" s="213"/>
      <c r="SJV3" s="212"/>
      <c r="SJW3" s="212"/>
      <c r="SJY3" s="212"/>
      <c r="SJZ3" s="212"/>
      <c r="SKA3" s="212"/>
      <c r="SKB3" s="214"/>
      <c r="SKC3" s="215"/>
      <c r="SKD3" s="215"/>
      <c r="SKE3" s="216"/>
      <c r="SKF3" s="216"/>
      <c r="SKG3" s="216"/>
      <c r="SKI3" s="210"/>
      <c r="SKN3" s="215"/>
      <c r="SKO3" s="215"/>
      <c r="SKP3" s="215"/>
      <c r="SKQ3" s="215"/>
      <c r="SKR3" s="215"/>
      <c r="SKS3" s="215"/>
      <c r="SKT3" s="215"/>
      <c r="SKU3" s="217"/>
      <c r="SKV3" s="217"/>
      <c r="SKY3" s="214"/>
      <c r="SKZ3" s="210"/>
      <c r="SLA3" s="210"/>
      <c r="SLB3" s="210"/>
      <c r="SLC3" s="210"/>
      <c r="SLI3" s="212"/>
      <c r="SLK3" s="210"/>
      <c r="SLL3" s="213"/>
      <c r="SLQ3" s="212"/>
      <c r="SLR3" s="212"/>
      <c r="SLS3" s="212"/>
      <c r="SLT3" s="213"/>
      <c r="SLV3" s="212"/>
      <c r="SLW3" s="212"/>
      <c r="SLY3" s="212"/>
      <c r="SLZ3" s="212"/>
      <c r="SMA3" s="212"/>
      <c r="SMB3" s="214"/>
      <c r="SMC3" s="215"/>
      <c r="SMD3" s="215"/>
      <c r="SME3" s="216"/>
      <c r="SMF3" s="216"/>
      <c r="SMG3" s="216"/>
      <c r="SMI3" s="210"/>
      <c r="SMN3" s="215"/>
      <c r="SMO3" s="215"/>
      <c r="SMP3" s="215"/>
      <c r="SMQ3" s="215"/>
      <c r="SMR3" s="215"/>
      <c r="SMS3" s="215"/>
      <c r="SMT3" s="215"/>
      <c r="SMU3" s="217"/>
      <c r="SMV3" s="217"/>
      <c r="SMY3" s="214"/>
      <c r="SMZ3" s="210"/>
      <c r="SNA3" s="210"/>
      <c r="SNB3" s="210"/>
      <c r="SNC3" s="210"/>
      <c r="SNI3" s="212"/>
      <c r="SNK3" s="210"/>
      <c r="SNL3" s="213"/>
      <c r="SNQ3" s="212"/>
      <c r="SNR3" s="212"/>
      <c r="SNS3" s="212"/>
      <c r="SNT3" s="213"/>
      <c r="SNV3" s="212"/>
      <c r="SNW3" s="212"/>
      <c r="SNY3" s="212"/>
      <c r="SNZ3" s="212"/>
      <c r="SOA3" s="212"/>
      <c r="SOB3" s="214"/>
      <c r="SOC3" s="215"/>
      <c r="SOD3" s="215"/>
      <c r="SOE3" s="216"/>
      <c r="SOF3" s="216"/>
      <c r="SOG3" s="216"/>
      <c r="SOI3" s="210"/>
      <c r="SON3" s="215"/>
      <c r="SOO3" s="215"/>
      <c r="SOP3" s="215"/>
      <c r="SOQ3" s="215"/>
      <c r="SOR3" s="215"/>
      <c r="SOS3" s="215"/>
      <c r="SOT3" s="215"/>
      <c r="SOU3" s="217"/>
      <c r="SOV3" s="217"/>
      <c r="SOY3" s="214"/>
      <c r="SOZ3" s="210"/>
      <c r="SPA3" s="210"/>
      <c r="SPB3" s="210"/>
      <c r="SPC3" s="210"/>
      <c r="SPI3" s="212"/>
      <c r="SPK3" s="210"/>
      <c r="SPL3" s="213"/>
      <c r="SPQ3" s="212"/>
      <c r="SPR3" s="212"/>
      <c r="SPS3" s="212"/>
      <c r="SPT3" s="213"/>
      <c r="SPV3" s="212"/>
      <c r="SPW3" s="212"/>
      <c r="SPY3" s="212"/>
      <c r="SPZ3" s="212"/>
      <c r="SQA3" s="212"/>
      <c r="SQB3" s="214"/>
      <c r="SQC3" s="215"/>
      <c r="SQD3" s="215"/>
      <c r="SQE3" s="216"/>
      <c r="SQF3" s="216"/>
      <c r="SQG3" s="216"/>
      <c r="SQI3" s="210"/>
      <c r="SQN3" s="215"/>
      <c r="SQO3" s="215"/>
      <c r="SQP3" s="215"/>
      <c r="SQQ3" s="215"/>
      <c r="SQR3" s="215"/>
      <c r="SQS3" s="215"/>
      <c r="SQT3" s="215"/>
      <c r="SQU3" s="217"/>
      <c r="SQV3" s="217"/>
      <c r="SQY3" s="214"/>
      <c r="SQZ3" s="210"/>
      <c r="SRA3" s="210"/>
      <c r="SRB3" s="210"/>
      <c r="SRC3" s="210"/>
      <c r="SRI3" s="212"/>
      <c r="SRK3" s="210"/>
      <c r="SRL3" s="213"/>
      <c r="SRQ3" s="212"/>
      <c r="SRR3" s="212"/>
      <c r="SRS3" s="212"/>
      <c r="SRT3" s="213"/>
      <c r="SRV3" s="212"/>
      <c r="SRW3" s="212"/>
      <c r="SRY3" s="212"/>
      <c r="SRZ3" s="212"/>
      <c r="SSA3" s="212"/>
      <c r="SSB3" s="214"/>
      <c r="SSC3" s="215"/>
      <c r="SSD3" s="215"/>
      <c r="SSE3" s="216"/>
      <c r="SSF3" s="216"/>
      <c r="SSG3" s="216"/>
      <c r="SSI3" s="210"/>
      <c r="SSN3" s="215"/>
      <c r="SSO3" s="215"/>
      <c r="SSP3" s="215"/>
      <c r="SSQ3" s="215"/>
      <c r="SSR3" s="215"/>
      <c r="SSS3" s="215"/>
      <c r="SST3" s="215"/>
      <c r="SSU3" s="217"/>
      <c r="SSV3" s="217"/>
      <c r="SSY3" s="214"/>
      <c r="SSZ3" s="210"/>
      <c r="STA3" s="210"/>
      <c r="STB3" s="210"/>
      <c r="STC3" s="210"/>
      <c r="STI3" s="212"/>
      <c r="STK3" s="210"/>
      <c r="STL3" s="213"/>
      <c r="STQ3" s="212"/>
      <c r="STR3" s="212"/>
      <c r="STS3" s="212"/>
      <c r="STT3" s="213"/>
      <c r="STV3" s="212"/>
      <c r="STW3" s="212"/>
      <c r="STY3" s="212"/>
      <c r="STZ3" s="212"/>
      <c r="SUA3" s="212"/>
      <c r="SUB3" s="214"/>
      <c r="SUC3" s="215"/>
      <c r="SUD3" s="215"/>
      <c r="SUE3" s="216"/>
      <c r="SUF3" s="216"/>
      <c r="SUG3" s="216"/>
      <c r="SUI3" s="210"/>
      <c r="SUN3" s="215"/>
      <c r="SUO3" s="215"/>
      <c r="SUP3" s="215"/>
      <c r="SUQ3" s="215"/>
      <c r="SUR3" s="215"/>
      <c r="SUS3" s="215"/>
      <c r="SUT3" s="215"/>
      <c r="SUU3" s="217"/>
      <c r="SUV3" s="217"/>
      <c r="SUY3" s="214"/>
      <c r="SUZ3" s="210"/>
      <c r="SVA3" s="210"/>
      <c r="SVB3" s="210"/>
      <c r="SVC3" s="210"/>
      <c r="SVI3" s="212"/>
      <c r="SVK3" s="210"/>
      <c r="SVL3" s="213"/>
      <c r="SVQ3" s="212"/>
      <c r="SVR3" s="212"/>
      <c r="SVS3" s="212"/>
      <c r="SVT3" s="213"/>
      <c r="SVV3" s="212"/>
      <c r="SVW3" s="212"/>
      <c r="SVY3" s="212"/>
      <c r="SVZ3" s="212"/>
      <c r="SWA3" s="212"/>
      <c r="SWB3" s="214"/>
      <c r="SWC3" s="215"/>
      <c r="SWD3" s="215"/>
      <c r="SWE3" s="216"/>
      <c r="SWF3" s="216"/>
      <c r="SWG3" s="216"/>
      <c r="SWI3" s="210"/>
      <c r="SWN3" s="215"/>
      <c r="SWO3" s="215"/>
      <c r="SWP3" s="215"/>
      <c r="SWQ3" s="215"/>
      <c r="SWR3" s="215"/>
      <c r="SWS3" s="215"/>
      <c r="SWT3" s="215"/>
      <c r="SWU3" s="217"/>
      <c r="SWV3" s="217"/>
      <c r="SWY3" s="214"/>
      <c r="SWZ3" s="210"/>
      <c r="SXA3" s="210"/>
      <c r="SXB3" s="210"/>
      <c r="SXC3" s="210"/>
      <c r="SXI3" s="212"/>
      <c r="SXK3" s="210"/>
      <c r="SXL3" s="213"/>
      <c r="SXQ3" s="212"/>
      <c r="SXR3" s="212"/>
      <c r="SXS3" s="212"/>
      <c r="SXT3" s="213"/>
      <c r="SXV3" s="212"/>
      <c r="SXW3" s="212"/>
      <c r="SXY3" s="212"/>
      <c r="SXZ3" s="212"/>
      <c r="SYA3" s="212"/>
      <c r="SYB3" s="214"/>
      <c r="SYC3" s="215"/>
      <c r="SYD3" s="215"/>
      <c r="SYE3" s="216"/>
      <c r="SYF3" s="216"/>
      <c r="SYG3" s="216"/>
      <c r="SYI3" s="210"/>
      <c r="SYN3" s="215"/>
      <c r="SYO3" s="215"/>
      <c r="SYP3" s="215"/>
      <c r="SYQ3" s="215"/>
      <c r="SYR3" s="215"/>
      <c r="SYS3" s="215"/>
      <c r="SYT3" s="215"/>
      <c r="SYU3" s="217"/>
      <c r="SYV3" s="217"/>
      <c r="SYY3" s="214"/>
      <c r="SYZ3" s="210"/>
      <c r="SZA3" s="210"/>
      <c r="SZB3" s="210"/>
      <c r="SZC3" s="210"/>
      <c r="SZI3" s="212"/>
      <c r="SZK3" s="210"/>
      <c r="SZL3" s="213"/>
      <c r="SZQ3" s="212"/>
      <c r="SZR3" s="212"/>
      <c r="SZS3" s="212"/>
      <c r="SZT3" s="213"/>
      <c r="SZV3" s="212"/>
      <c r="SZW3" s="212"/>
      <c r="SZY3" s="212"/>
      <c r="SZZ3" s="212"/>
      <c r="TAA3" s="212"/>
      <c r="TAB3" s="214"/>
      <c r="TAC3" s="215"/>
      <c r="TAD3" s="215"/>
      <c r="TAE3" s="216"/>
      <c r="TAF3" s="216"/>
      <c r="TAG3" s="216"/>
      <c r="TAI3" s="210"/>
      <c r="TAN3" s="215"/>
      <c r="TAO3" s="215"/>
      <c r="TAP3" s="215"/>
      <c r="TAQ3" s="215"/>
      <c r="TAR3" s="215"/>
      <c r="TAS3" s="215"/>
      <c r="TAT3" s="215"/>
      <c r="TAU3" s="217"/>
      <c r="TAV3" s="217"/>
      <c r="TAY3" s="214"/>
      <c r="TAZ3" s="210"/>
      <c r="TBA3" s="210"/>
      <c r="TBB3" s="210"/>
      <c r="TBC3" s="210"/>
      <c r="TBI3" s="212"/>
      <c r="TBK3" s="210"/>
      <c r="TBL3" s="213"/>
      <c r="TBQ3" s="212"/>
      <c r="TBR3" s="212"/>
      <c r="TBS3" s="212"/>
      <c r="TBT3" s="213"/>
      <c r="TBV3" s="212"/>
      <c r="TBW3" s="212"/>
      <c r="TBY3" s="212"/>
      <c r="TBZ3" s="212"/>
      <c r="TCA3" s="212"/>
      <c r="TCB3" s="214"/>
      <c r="TCC3" s="215"/>
      <c r="TCD3" s="215"/>
      <c r="TCE3" s="216"/>
      <c r="TCF3" s="216"/>
      <c r="TCG3" s="216"/>
      <c r="TCI3" s="210"/>
      <c r="TCN3" s="215"/>
      <c r="TCO3" s="215"/>
      <c r="TCP3" s="215"/>
      <c r="TCQ3" s="215"/>
      <c r="TCR3" s="215"/>
      <c r="TCS3" s="215"/>
      <c r="TCT3" s="215"/>
      <c r="TCU3" s="217"/>
      <c r="TCV3" s="217"/>
      <c r="TCY3" s="214"/>
      <c r="TCZ3" s="210"/>
      <c r="TDA3" s="210"/>
      <c r="TDB3" s="210"/>
      <c r="TDC3" s="210"/>
      <c r="TDI3" s="212"/>
      <c r="TDK3" s="210"/>
      <c r="TDL3" s="213"/>
      <c r="TDQ3" s="212"/>
      <c r="TDR3" s="212"/>
      <c r="TDS3" s="212"/>
      <c r="TDT3" s="213"/>
      <c r="TDV3" s="212"/>
      <c r="TDW3" s="212"/>
      <c r="TDY3" s="212"/>
      <c r="TDZ3" s="212"/>
      <c r="TEA3" s="212"/>
      <c r="TEB3" s="214"/>
      <c r="TEC3" s="215"/>
      <c r="TED3" s="215"/>
      <c r="TEE3" s="216"/>
      <c r="TEF3" s="216"/>
      <c r="TEG3" s="216"/>
      <c r="TEI3" s="210"/>
      <c r="TEN3" s="215"/>
      <c r="TEO3" s="215"/>
      <c r="TEP3" s="215"/>
      <c r="TEQ3" s="215"/>
      <c r="TER3" s="215"/>
      <c r="TES3" s="215"/>
      <c r="TET3" s="215"/>
      <c r="TEU3" s="217"/>
      <c r="TEV3" s="217"/>
      <c r="TEY3" s="214"/>
      <c r="TEZ3" s="210"/>
      <c r="TFA3" s="210"/>
      <c r="TFB3" s="210"/>
      <c r="TFC3" s="210"/>
      <c r="TFI3" s="212"/>
      <c r="TFK3" s="210"/>
      <c r="TFL3" s="213"/>
      <c r="TFQ3" s="212"/>
      <c r="TFR3" s="212"/>
      <c r="TFS3" s="212"/>
      <c r="TFT3" s="213"/>
      <c r="TFV3" s="212"/>
      <c r="TFW3" s="212"/>
      <c r="TFY3" s="212"/>
      <c r="TFZ3" s="212"/>
      <c r="TGA3" s="212"/>
      <c r="TGB3" s="214"/>
      <c r="TGC3" s="215"/>
      <c r="TGD3" s="215"/>
      <c r="TGE3" s="216"/>
      <c r="TGF3" s="216"/>
      <c r="TGG3" s="216"/>
      <c r="TGI3" s="210"/>
      <c r="TGN3" s="215"/>
      <c r="TGO3" s="215"/>
      <c r="TGP3" s="215"/>
      <c r="TGQ3" s="215"/>
      <c r="TGR3" s="215"/>
      <c r="TGS3" s="215"/>
      <c r="TGT3" s="215"/>
      <c r="TGU3" s="217"/>
      <c r="TGV3" s="217"/>
      <c r="TGY3" s="214"/>
      <c r="TGZ3" s="210"/>
      <c r="THA3" s="210"/>
      <c r="THB3" s="210"/>
      <c r="THC3" s="210"/>
      <c r="THI3" s="212"/>
      <c r="THK3" s="210"/>
      <c r="THL3" s="213"/>
      <c r="THQ3" s="212"/>
      <c r="THR3" s="212"/>
      <c r="THS3" s="212"/>
      <c r="THT3" s="213"/>
      <c r="THV3" s="212"/>
      <c r="THW3" s="212"/>
      <c r="THY3" s="212"/>
      <c r="THZ3" s="212"/>
      <c r="TIA3" s="212"/>
      <c r="TIB3" s="214"/>
      <c r="TIC3" s="215"/>
      <c r="TID3" s="215"/>
      <c r="TIE3" s="216"/>
      <c r="TIF3" s="216"/>
      <c r="TIG3" s="216"/>
      <c r="TII3" s="210"/>
      <c r="TIN3" s="215"/>
      <c r="TIO3" s="215"/>
      <c r="TIP3" s="215"/>
      <c r="TIQ3" s="215"/>
      <c r="TIR3" s="215"/>
      <c r="TIS3" s="215"/>
      <c r="TIT3" s="215"/>
      <c r="TIU3" s="217"/>
      <c r="TIV3" s="217"/>
      <c r="TIY3" s="214"/>
      <c r="TIZ3" s="210"/>
      <c r="TJA3" s="210"/>
      <c r="TJB3" s="210"/>
      <c r="TJC3" s="210"/>
      <c r="TJI3" s="212"/>
      <c r="TJK3" s="210"/>
      <c r="TJL3" s="213"/>
      <c r="TJQ3" s="212"/>
      <c r="TJR3" s="212"/>
      <c r="TJS3" s="212"/>
      <c r="TJT3" s="213"/>
      <c r="TJV3" s="212"/>
      <c r="TJW3" s="212"/>
      <c r="TJY3" s="212"/>
      <c r="TJZ3" s="212"/>
      <c r="TKA3" s="212"/>
      <c r="TKB3" s="214"/>
      <c r="TKC3" s="215"/>
      <c r="TKD3" s="215"/>
      <c r="TKE3" s="216"/>
      <c r="TKF3" s="216"/>
      <c r="TKG3" s="216"/>
      <c r="TKI3" s="210"/>
      <c r="TKN3" s="215"/>
      <c r="TKO3" s="215"/>
      <c r="TKP3" s="215"/>
      <c r="TKQ3" s="215"/>
      <c r="TKR3" s="215"/>
      <c r="TKS3" s="215"/>
      <c r="TKT3" s="215"/>
      <c r="TKU3" s="217"/>
      <c r="TKV3" s="217"/>
      <c r="TKY3" s="214"/>
      <c r="TKZ3" s="210"/>
      <c r="TLA3" s="210"/>
      <c r="TLB3" s="210"/>
      <c r="TLC3" s="210"/>
      <c r="TLI3" s="212"/>
      <c r="TLK3" s="210"/>
      <c r="TLL3" s="213"/>
      <c r="TLQ3" s="212"/>
      <c r="TLR3" s="212"/>
      <c r="TLS3" s="212"/>
      <c r="TLT3" s="213"/>
      <c r="TLV3" s="212"/>
      <c r="TLW3" s="212"/>
      <c r="TLY3" s="212"/>
      <c r="TLZ3" s="212"/>
      <c r="TMA3" s="212"/>
      <c r="TMB3" s="214"/>
      <c r="TMC3" s="215"/>
      <c r="TMD3" s="215"/>
      <c r="TME3" s="216"/>
      <c r="TMF3" s="216"/>
      <c r="TMG3" s="216"/>
      <c r="TMI3" s="210"/>
      <c r="TMN3" s="215"/>
      <c r="TMO3" s="215"/>
      <c r="TMP3" s="215"/>
      <c r="TMQ3" s="215"/>
      <c r="TMR3" s="215"/>
      <c r="TMS3" s="215"/>
      <c r="TMT3" s="215"/>
      <c r="TMU3" s="217"/>
      <c r="TMV3" s="217"/>
      <c r="TMY3" s="214"/>
      <c r="TMZ3" s="210"/>
      <c r="TNA3" s="210"/>
      <c r="TNB3" s="210"/>
      <c r="TNC3" s="210"/>
      <c r="TNI3" s="212"/>
      <c r="TNK3" s="210"/>
      <c r="TNL3" s="213"/>
      <c r="TNQ3" s="212"/>
      <c r="TNR3" s="212"/>
      <c r="TNS3" s="212"/>
      <c r="TNT3" s="213"/>
      <c r="TNV3" s="212"/>
      <c r="TNW3" s="212"/>
      <c r="TNY3" s="212"/>
      <c r="TNZ3" s="212"/>
      <c r="TOA3" s="212"/>
      <c r="TOB3" s="214"/>
      <c r="TOC3" s="215"/>
      <c r="TOD3" s="215"/>
      <c r="TOE3" s="216"/>
      <c r="TOF3" s="216"/>
      <c r="TOG3" s="216"/>
      <c r="TOI3" s="210"/>
      <c r="TON3" s="215"/>
      <c r="TOO3" s="215"/>
      <c r="TOP3" s="215"/>
      <c r="TOQ3" s="215"/>
      <c r="TOR3" s="215"/>
      <c r="TOS3" s="215"/>
      <c r="TOT3" s="215"/>
      <c r="TOU3" s="217"/>
      <c r="TOV3" s="217"/>
      <c r="TOY3" s="214"/>
      <c r="TOZ3" s="210"/>
      <c r="TPA3" s="210"/>
      <c r="TPB3" s="210"/>
      <c r="TPC3" s="210"/>
      <c r="TPI3" s="212"/>
      <c r="TPK3" s="210"/>
      <c r="TPL3" s="213"/>
      <c r="TPQ3" s="212"/>
      <c r="TPR3" s="212"/>
      <c r="TPS3" s="212"/>
      <c r="TPT3" s="213"/>
      <c r="TPV3" s="212"/>
      <c r="TPW3" s="212"/>
      <c r="TPY3" s="212"/>
      <c r="TPZ3" s="212"/>
      <c r="TQA3" s="212"/>
      <c r="TQB3" s="214"/>
      <c r="TQC3" s="215"/>
      <c r="TQD3" s="215"/>
      <c r="TQE3" s="216"/>
      <c r="TQF3" s="216"/>
      <c r="TQG3" s="216"/>
      <c r="TQI3" s="210"/>
      <c r="TQN3" s="215"/>
      <c r="TQO3" s="215"/>
      <c r="TQP3" s="215"/>
      <c r="TQQ3" s="215"/>
      <c r="TQR3" s="215"/>
      <c r="TQS3" s="215"/>
      <c r="TQT3" s="215"/>
      <c r="TQU3" s="217"/>
      <c r="TQV3" s="217"/>
      <c r="TQY3" s="214"/>
      <c r="TQZ3" s="210"/>
      <c r="TRA3" s="210"/>
      <c r="TRB3" s="210"/>
      <c r="TRC3" s="210"/>
      <c r="TRI3" s="212"/>
      <c r="TRK3" s="210"/>
      <c r="TRL3" s="213"/>
      <c r="TRQ3" s="212"/>
      <c r="TRR3" s="212"/>
      <c r="TRS3" s="212"/>
      <c r="TRT3" s="213"/>
      <c r="TRV3" s="212"/>
      <c r="TRW3" s="212"/>
      <c r="TRY3" s="212"/>
      <c r="TRZ3" s="212"/>
      <c r="TSA3" s="212"/>
      <c r="TSB3" s="214"/>
      <c r="TSC3" s="215"/>
      <c r="TSD3" s="215"/>
      <c r="TSE3" s="216"/>
      <c r="TSF3" s="216"/>
      <c r="TSG3" s="216"/>
      <c r="TSI3" s="210"/>
      <c r="TSN3" s="215"/>
      <c r="TSO3" s="215"/>
      <c r="TSP3" s="215"/>
      <c r="TSQ3" s="215"/>
      <c r="TSR3" s="215"/>
      <c r="TSS3" s="215"/>
      <c r="TST3" s="215"/>
      <c r="TSU3" s="217"/>
      <c r="TSV3" s="217"/>
      <c r="TSY3" s="214"/>
      <c r="TSZ3" s="210"/>
      <c r="TTA3" s="210"/>
      <c r="TTB3" s="210"/>
      <c r="TTC3" s="210"/>
      <c r="TTI3" s="212"/>
      <c r="TTK3" s="210"/>
      <c r="TTL3" s="213"/>
      <c r="TTQ3" s="212"/>
      <c r="TTR3" s="212"/>
      <c r="TTS3" s="212"/>
      <c r="TTT3" s="213"/>
      <c r="TTV3" s="212"/>
      <c r="TTW3" s="212"/>
      <c r="TTY3" s="212"/>
      <c r="TTZ3" s="212"/>
      <c r="TUA3" s="212"/>
      <c r="TUB3" s="214"/>
      <c r="TUC3" s="215"/>
      <c r="TUD3" s="215"/>
      <c r="TUE3" s="216"/>
      <c r="TUF3" s="216"/>
      <c r="TUG3" s="216"/>
      <c r="TUI3" s="210"/>
      <c r="TUN3" s="215"/>
      <c r="TUO3" s="215"/>
      <c r="TUP3" s="215"/>
      <c r="TUQ3" s="215"/>
      <c r="TUR3" s="215"/>
      <c r="TUS3" s="215"/>
      <c r="TUT3" s="215"/>
      <c r="TUU3" s="217"/>
      <c r="TUV3" s="217"/>
      <c r="TUY3" s="214"/>
      <c r="TUZ3" s="210"/>
      <c r="TVA3" s="210"/>
      <c r="TVB3" s="210"/>
      <c r="TVC3" s="210"/>
      <c r="TVI3" s="212"/>
      <c r="TVK3" s="210"/>
      <c r="TVL3" s="213"/>
      <c r="TVQ3" s="212"/>
      <c r="TVR3" s="212"/>
      <c r="TVS3" s="212"/>
      <c r="TVT3" s="213"/>
      <c r="TVV3" s="212"/>
      <c r="TVW3" s="212"/>
      <c r="TVY3" s="212"/>
      <c r="TVZ3" s="212"/>
      <c r="TWA3" s="212"/>
      <c r="TWB3" s="214"/>
      <c r="TWC3" s="215"/>
      <c r="TWD3" s="215"/>
      <c r="TWE3" s="216"/>
      <c r="TWF3" s="216"/>
      <c r="TWG3" s="216"/>
      <c r="TWI3" s="210"/>
      <c r="TWN3" s="215"/>
      <c r="TWO3" s="215"/>
      <c r="TWP3" s="215"/>
      <c r="TWQ3" s="215"/>
      <c r="TWR3" s="215"/>
      <c r="TWS3" s="215"/>
      <c r="TWT3" s="215"/>
      <c r="TWU3" s="217"/>
      <c r="TWV3" s="217"/>
      <c r="TWY3" s="214"/>
      <c r="TWZ3" s="210"/>
      <c r="TXA3" s="210"/>
      <c r="TXB3" s="210"/>
      <c r="TXC3" s="210"/>
      <c r="TXI3" s="212"/>
      <c r="TXK3" s="210"/>
      <c r="TXL3" s="213"/>
      <c r="TXQ3" s="212"/>
      <c r="TXR3" s="212"/>
      <c r="TXS3" s="212"/>
      <c r="TXT3" s="213"/>
      <c r="TXV3" s="212"/>
      <c r="TXW3" s="212"/>
      <c r="TXY3" s="212"/>
      <c r="TXZ3" s="212"/>
      <c r="TYA3" s="212"/>
      <c r="TYB3" s="214"/>
      <c r="TYC3" s="215"/>
      <c r="TYD3" s="215"/>
      <c r="TYE3" s="216"/>
      <c r="TYF3" s="216"/>
      <c r="TYG3" s="216"/>
      <c r="TYI3" s="210"/>
      <c r="TYN3" s="215"/>
      <c r="TYO3" s="215"/>
      <c r="TYP3" s="215"/>
      <c r="TYQ3" s="215"/>
      <c r="TYR3" s="215"/>
      <c r="TYS3" s="215"/>
      <c r="TYT3" s="215"/>
      <c r="TYU3" s="217"/>
      <c r="TYV3" s="217"/>
      <c r="TYY3" s="214"/>
      <c r="TYZ3" s="210"/>
      <c r="TZA3" s="210"/>
      <c r="TZB3" s="210"/>
      <c r="TZC3" s="210"/>
      <c r="TZI3" s="212"/>
      <c r="TZK3" s="210"/>
      <c r="TZL3" s="213"/>
      <c r="TZQ3" s="212"/>
      <c r="TZR3" s="212"/>
      <c r="TZS3" s="212"/>
      <c r="TZT3" s="213"/>
      <c r="TZV3" s="212"/>
      <c r="TZW3" s="212"/>
      <c r="TZY3" s="212"/>
      <c r="TZZ3" s="212"/>
      <c r="UAA3" s="212"/>
      <c r="UAB3" s="214"/>
      <c r="UAC3" s="215"/>
      <c r="UAD3" s="215"/>
      <c r="UAE3" s="216"/>
      <c r="UAF3" s="216"/>
      <c r="UAG3" s="216"/>
      <c r="UAI3" s="210"/>
      <c r="UAN3" s="215"/>
      <c r="UAO3" s="215"/>
      <c r="UAP3" s="215"/>
      <c r="UAQ3" s="215"/>
      <c r="UAR3" s="215"/>
      <c r="UAS3" s="215"/>
      <c r="UAT3" s="215"/>
      <c r="UAU3" s="217"/>
      <c r="UAV3" s="217"/>
      <c r="UAY3" s="214"/>
      <c r="UAZ3" s="210"/>
      <c r="UBA3" s="210"/>
      <c r="UBB3" s="210"/>
      <c r="UBC3" s="210"/>
      <c r="UBI3" s="212"/>
      <c r="UBK3" s="210"/>
      <c r="UBL3" s="213"/>
      <c r="UBQ3" s="212"/>
      <c r="UBR3" s="212"/>
      <c r="UBS3" s="212"/>
      <c r="UBT3" s="213"/>
      <c r="UBV3" s="212"/>
      <c r="UBW3" s="212"/>
      <c r="UBY3" s="212"/>
      <c r="UBZ3" s="212"/>
      <c r="UCA3" s="212"/>
      <c r="UCB3" s="214"/>
      <c r="UCC3" s="215"/>
      <c r="UCD3" s="215"/>
      <c r="UCE3" s="216"/>
      <c r="UCF3" s="216"/>
      <c r="UCG3" s="216"/>
      <c r="UCI3" s="210"/>
      <c r="UCN3" s="215"/>
      <c r="UCO3" s="215"/>
      <c r="UCP3" s="215"/>
      <c r="UCQ3" s="215"/>
      <c r="UCR3" s="215"/>
      <c r="UCS3" s="215"/>
      <c r="UCT3" s="215"/>
      <c r="UCU3" s="217"/>
      <c r="UCV3" s="217"/>
      <c r="UCY3" s="214"/>
      <c r="UCZ3" s="210"/>
      <c r="UDA3" s="210"/>
      <c r="UDB3" s="210"/>
      <c r="UDC3" s="210"/>
      <c r="UDI3" s="212"/>
      <c r="UDK3" s="210"/>
      <c r="UDL3" s="213"/>
      <c r="UDQ3" s="212"/>
      <c r="UDR3" s="212"/>
      <c r="UDS3" s="212"/>
      <c r="UDT3" s="213"/>
      <c r="UDV3" s="212"/>
      <c r="UDW3" s="212"/>
      <c r="UDY3" s="212"/>
      <c r="UDZ3" s="212"/>
      <c r="UEA3" s="212"/>
      <c r="UEB3" s="214"/>
      <c r="UEC3" s="215"/>
      <c r="UED3" s="215"/>
      <c r="UEE3" s="216"/>
      <c r="UEF3" s="216"/>
      <c r="UEG3" s="216"/>
      <c r="UEI3" s="210"/>
      <c r="UEN3" s="215"/>
      <c r="UEO3" s="215"/>
      <c r="UEP3" s="215"/>
      <c r="UEQ3" s="215"/>
      <c r="UER3" s="215"/>
      <c r="UES3" s="215"/>
      <c r="UET3" s="215"/>
      <c r="UEU3" s="217"/>
      <c r="UEV3" s="217"/>
      <c r="UEY3" s="214"/>
      <c r="UEZ3" s="210"/>
      <c r="UFA3" s="210"/>
      <c r="UFB3" s="210"/>
      <c r="UFC3" s="210"/>
      <c r="UFI3" s="212"/>
      <c r="UFK3" s="210"/>
      <c r="UFL3" s="213"/>
      <c r="UFQ3" s="212"/>
      <c r="UFR3" s="212"/>
      <c r="UFS3" s="212"/>
      <c r="UFT3" s="213"/>
      <c r="UFV3" s="212"/>
      <c r="UFW3" s="212"/>
      <c r="UFY3" s="212"/>
      <c r="UFZ3" s="212"/>
      <c r="UGA3" s="212"/>
      <c r="UGB3" s="214"/>
      <c r="UGC3" s="215"/>
      <c r="UGD3" s="215"/>
      <c r="UGE3" s="216"/>
      <c r="UGF3" s="216"/>
      <c r="UGG3" s="216"/>
      <c r="UGI3" s="210"/>
      <c r="UGN3" s="215"/>
      <c r="UGO3" s="215"/>
      <c r="UGP3" s="215"/>
      <c r="UGQ3" s="215"/>
      <c r="UGR3" s="215"/>
      <c r="UGS3" s="215"/>
      <c r="UGT3" s="215"/>
      <c r="UGU3" s="217"/>
      <c r="UGV3" s="217"/>
      <c r="UGY3" s="214"/>
      <c r="UGZ3" s="210"/>
      <c r="UHA3" s="210"/>
      <c r="UHB3" s="210"/>
      <c r="UHC3" s="210"/>
      <c r="UHI3" s="212"/>
      <c r="UHK3" s="210"/>
      <c r="UHL3" s="213"/>
      <c r="UHQ3" s="212"/>
      <c r="UHR3" s="212"/>
      <c r="UHS3" s="212"/>
      <c r="UHT3" s="213"/>
      <c r="UHV3" s="212"/>
      <c r="UHW3" s="212"/>
      <c r="UHY3" s="212"/>
      <c r="UHZ3" s="212"/>
      <c r="UIA3" s="212"/>
      <c r="UIB3" s="214"/>
      <c r="UIC3" s="215"/>
      <c r="UID3" s="215"/>
      <c r="UIE3" s="216"/>
      <c r="UIF3" s="216"/>
      <c r="UIG3" s="216"/>
      <c r="UII3" s="210"/>
      <c r="UIN3" s="215"/>
      <c r="UIO3" s="215"/>
      <c r="UIP3" s="215"/>
      <c r="UIQ3" s="215"/>
      <c r="UIR3" s="215"/>
      <c r="UIS3" s="215"/>
      <c r="UIT3" s="215"/>
      <c r="UIU3" s="217"/>
      <c r="UIV3" s="217"/>
      <c r="UIY3" s="214"/>
      <c r="UIZ3" s="210"/>
      <c r="UJA3" s="210"/>
      <c r="UJB3" s="210"/>
      <c r="UJC3" s="210"/>
      <c r="UJI3" s="212"/>
      <c r="UJK3" s="210"/>
      <c r="UJL3" s="213"/>
      <c r="UJQ3" s="212"/>
      <c r="UJR3" s="212"/>
      <c r="UJS3" s="212"/>
      <c r="UJT3" s="213"/>
      <c r="UJV3" s="212"/>
      <c r="UJW3" s="212"/>
      <c r="UJY3" s="212"/>
      <c r="UJZ3" s="212"/>
      <c r="UKA3" s="212"/>
      <c r="UKB3" s="214"/>
      <c r="UKC3" s="215"/>
      <c r="UKD3" s="215"/>
      <c r="UKE3" s="216"/>
      <c r="UKF3" s="216"/>
      <c r="UKG3" s="216"/>
      <c r="UKI3" s="210"/>
      <c r="UKN3" s="215"/>
      <c r="UKO3" s="215"/>
      <c r="UKP3" s="215"/>
      <c r="UKQ3" s="215"/>
      <c r="UKR3" s="215"/>
      <c r="UKS3" s="215"/>
      <c r="UKT3" s="215"/>
      <c r="UKU3" s="217"/>
      <c r="UKV3" s="217"/>
      <c r="UKY3" s="214"/>
      <c r="UKZ3" s="210"/>
      <c r="ULA3" s="210"/>
      <c r="ULB3" s="210"/>
      <c r="ULC3" s="210"/>
      <c r="ULI3" s="212"/>
      <c r="ULK3" s="210"/>
      <c r="ULL3" s="213"/>
      <c r="ULQ3" s="212"/>
      <c r="ULR3" s="212"/>
      <c r="ULS3" s="212"/>
      <c r="ULT3" s="213"/>
      <c r="ULV3" s="212"/>
      <c r="ULW3" s="212"/>
      <c r="ULY3" s="212"/>
      <c r="ULZ3" s="212"/>
      <c r="UMA3" s="212"/>
      <c r="UMB3" s="214"/>
      <c r="UMC3" s="215"/>
      <c r="UMD3" s="215"/>
      <c r="UME3" s="216"/>
      <c r="UMF3" s="216"/>
      <c r="UMG3" s="216"/>
      <c r="UMI3" s="210"/>
      <c r="UMN3" s="215"/>
      <c r="UMO3" s="215"/>
      <c r="UMP3" s="215"/>
      <c r="UMQ3" s="215"/>
      <c r="UMR3" s="215"/>
      <c r="UMS3" s="215"/>
      <c r="UMT3" s="215"/>
      <c r="UMU3" s="217"/>
      <c r="UMV3" s="217"/>
      <c r="UMY3" s="214"/>
      <c r="UMZ3" s="210"/>
      <c r="UNA3" s="210"/>
      <c r="UNB3" s="210"/>
      <c r="UNC3" s="210"/>
      <c r="UNI3" s="212"/>
      <c r="UNK3" s="210"/>
      <c r="UNL3" s="213"/>
      <c r="UNQ3" s="212"/>
      <c r="UNR3" s="212"/>
      <c r="UNS3" s="212"/>
      <c r="UNT3" s="213"/>
      <c r="UNV3" s="212"/>
      <c r="UNW3" s="212"/>
      <c r="UNY3" s="212"/>
      <c r="UNZ3" s="212"/>
      <c r="UOA3" s="212"/>
      <c r="UOB3" s="214"/>
      <c r="UOC3" s="215"/>
      <c r="UOD3" s="215"/>
      <c r="UOE3" s="216"/>
      <c r="UOF3" s="216"/>
      <c r="UOG3" s="216"/>
      <c r="UOI3" s="210"/>
      <c r="UON3" s="215"/>
      <c r="UOO3" s="215"/>
      <c r="UOP3" s="215"/>
      <c r="UOQ3" s="215"/>
      <c r="UOR3" s="215"/>
      <c r="UOS3" s="215"/>
      <c r="UOT3" s="215"/>
      <c r="UOU3" s="217"/>
      <c r="UOV3" s="217"/>
      <c r="UOY3" s="214"/>
      <c r="UOZ3" s="210"/>
      <c r="UPA3" s="210"/>
      <c r="UPB3" s="210"/>
      <c r="UPC3" s="210"/>
      <c r="UPI3" s="212"/>
      <c r="UPK3" s="210"/>
      <c r="UPL3" s="213"/>
      <c r="UPQ3" s="212"/>
      <c r="UPR3" s="212"/>
      <c r="UPS3" s="212"/>
      <c r="UPT3" s="213"/>
      <c r="UPV3" s="212"/>
      <c r="UPW3" s="212"/>
      <c r="UPY3" s="212"/>
      <c r="UPZ3" s="212"/>
      <c r="UQA3" s="212"/>
      <c r="UQB3" s="214"/>
      <c r="UQC3" s="215"/>
      <c r="UQD3" s="215"/>
      <c r="UQE3" s="216"/>
      <c r="UQF3" s="216"/>
      <c r="UQG3" s="216"/>
      <c r="UQI3" s="210"/>
      <c r="UQN3" s="215"/>
      <c r="UQO3" s="215"/>
      <c r="UQP3" s="215"/>
      <c r="UQQ3" s="215"/>
      <c r="UQR3" s="215"/>
      <c r="UQS3" s="215"/>
      <c r="UQT3" s="215"/>
      <c r="UQU3" s="217"/>
      <c r="UQV3" s="217"/>
      <c r="UQY3" s="214"/>
      <c r="UQZ3" s="210"/>
      <c r="URA3" s="210"/>
      <c r="URB3" s="210"/>
      <c r="URC3" s="210"/>
      <c r="URI3" s="212"/>
      <c r="URK3" s="210"/>
      <c r="URL3" s="213"/>
      <c r="URQ3" s="212"/>
      <c r="URR3" s="212"/>
      <c r="URS3" s="212"/>
      <c r="URT3" s="213"/>
      <c r="URV3" s="212"/>
      <c r="URW3" s="212"/>
      <c r="URY3" s="212"/>
      <c r="URZ3" s="212"/>
      <c r="USA3" s="212"/>
      <c r="USB3" s="214"/>
      <c r="USC3" s="215"/>
      <c r="USD3" s="215"/>
      <c r="USE3" s="216"/>
      <c r="USF3" s="216"/>
      <c r="USG3" s="216"/>
      <c r="USI3" s="210"/>
      <c r="USN3" s="215"/>
      <c r="USO3" s="215"/>
      <c r="USP3" s="215"/>
      <c r="USQ3" s="215"/>
      <c r="USR3" s="215"/>
      <c r="USS3" s="215"/>
      <c r="UST3" s="215"/>
      <c r="USU3" s="217"/>
      <c r="USV3" s="217"/>
      <c r="USY3" s="214"/>
      <c r="USZ3" s="210"/>
      <c r="UTA3" s="210"/>
      <c r="UTB3" s="210"/>
      <c r="UTC3" s="210"/>
      <c r="UTI3" s="212"/>
      <c r="UTK3" s="210"/>
      <c r="UTL3" s="213"/>
      <c r="UTQ3" s="212"/>
      <c r="UTR3" s="212"/>
      <c r="UTS3" s="212"/>
      <c r="UTT3" s="213"/>
      <c r="UTV3" s="212"/>
      <c r="UTW3" s="212"/>
      <c r="UTY3" s="212"/>
      <c r="UTZ3" s="212"/>
      <c r="UUA3" s="212"/>
      <c r="UUB3" s="214"/>
      <c r="UUC3" s="215"/>
      <c r="UUD3" s="215"/>
      <c r="UUE3" s="216"/>
      <c r="UUF3" s="216"/>
      <c r="UUG3" s="216"/>
      <c r="UUI3" s="210"/>
      <c r="UUN3" s="215"/>
      <c r="UUO3" s="215"/>
      <c r="UUP3" s="215"/>
      <c r="UUQ3" s="215"/>
      <c r="UUR3" s="215"/>
      <c r="UUS3" s="215"/>
      <c r="UUT3" s="215"/>
      <c r="UUU3" s="217"/>
      <c r="UUV3" s="217"/>
      <c r="UUY3" s="214"/>
      <c r="UUZ3" s="210"/>
      <c r="UVA3" s="210"/>
      <c r="UVB3" s="210"/>
      <c r="UVC3" s="210"/>
      <c r="UVI3" s="212"/>
      <c r="UVK3" s="210"/>
      <c r="UVL3" s="213"/>
      <c r="UVQ3" s="212"/>
      <c r="UVR3" s="212"/>
      <c r="UVS3" s="212"/>
      <c r="UVT3" s="213"/>
      <c r="UVV3" s="212"/>
      <c r="UVW3" s="212"/>
      <c r="UVY3" s="212"/>
      <c r="UVZ3" s="212"/>
      <c r="UWA3" s="212"/>
      <c r="UWB3" s="214"/>
      <c r="UWC3" s="215"/>
      <c r="UWD3" s="215"/>
      <c r="UWE3" s="216"/>
      <c r="UWF3" s="216"/>
      <c r="UWG3" s="216"/>
      <c r="UWI3" s="210"/>
      <c r="UWN3" s="215"/>
      <c r="UWO3" s="215"/>
      <c r="UWP3" s="215"/>
      <c r="UWQ3" s="215"/>
      <c r="UWR3" s="215"/>
      <c r="UWS3" s="215"/>
      <c r="UWT3" s="215"/>
      <c r="UWU3" s="217"/>
      <c r="UWV3" s="217"/>
      <c r="UWY3" s="214"/>
      <c r="UWZ3" s="210"/>
      <c r="UXA3" s="210"/>
      <c r="UXB3" s="210"/>
      <c r="UXC3" s="210"/>
      <c r="UXI3" s="212"/>
      <c r="UXK3" s="210"/>
      <c r="UXL3" s="213"/>
      <c r="UXQ3" s="212"/>
      <c r="UXR3" s="212"/>
      <c r="UXS3" s="212"/>
      <c r="UXT3" s="213"/>
      <c r="UXV3" s="212"/>
      <c r="UXW3" s="212"/>
      <c r="UXY3" s="212"/>
      <c r="UXZ3" s="212"/>
      <c r="UYA3" s="212"/>
      <c r="UYB3" s="214"/>
      <c r="UYC3" s="215"/>
      <c r="UYD3" s="215"/>
      <c r="UYE3" s="216"/>
      <c r="UYF3" s="216"/>
      <c r="UYG3" s="216"/>
      <c r="UYI3" s="210"/>
      <c r="UYN3" s="215"/>
      <c r="UYO3" s="215"/>
      <c r="UYP3" s="215"/>
      <c r="UYQ3" s="215"/>
      <c r="UYR3" s="215"/>
      <c r="UYS3" s="215"/>
      <c r="UYT3" s="215"/>
      <c r="UYU3" s="217"/>
      <c r="UYV3" s="217"/>
      <c r="UYY3" s="214"/>
      <c r="UYZ3" s="210"/>
      <c r="UZA3" s="210"/>
      <c r="UZB3" s="210"/>
      <c r="UZC3" s="210"/>
      <c r="UZI3" s="212"/>
      <c r="UZK3" s="210"/>
      <c r="UZL3" s="213"/>
      <c r="UZQ3" s="212"/>
      <c r="UZR3" s="212"/>
      <c r="UZS3" s="212"/>
      <c r="UZT3" s="213"/>
      <c r="UZV3" s="212"/>
      <c r="UZW3" s="212"/>
      <c r="UZY3" s="212"/>
      <c r="UZZ3" s="212"/>
      <c r="VAA3" s="212"/>
      <c r="VAB3" s="214"/>
      <c r="VAC3" s="215"/>
      <c r="VAD3" s="215"/>
      <c r="VAE3" s="216"/>
      <c r="VAF3" s="216"/>
      <c r="VAG3" s="216"/>
      <c r="VAI3" s="210"/>
      <c r="VAN3" s="215"/>
      <c r="VAO3" s="215"/>
      <c r="VAP3" s="215"/>
      <c r="VAQ3" s="215"/>
      <c r="VAR3" s="215"/>
      <c r="VAS3" s="215"/>
      <c r="VAT3" s="215"/>
      <c r="VAU3" s="217"/>
      <c r="VAV3" s="217"/>
      <c r="VAY3" s="214"/>
      <c r="VAZ3" s="210"/>
      <c r="VBA3" s="210"/>
      <c r="VBB3" s="210"/>
      <c r="VBC3" s="210"/>
      <c r="VBI3" s="212"/>
      <c r="VBK3" s="210"/>
      <c r="VBL3" s="213"/>
      <c r="VBQ3" s="212"/>
      <c r="VBR3" s="212"/>
      <c r="VBS3" s="212"/>
      <c r="VBT3" s="213"/>
      <c r="VBV3" s="212"/>
      <c r="VBW3" s="212"/>
      <c r="VBY3" s="212"/>
      <c r="VBZ3" s="212"/>
      <c r="VCA3" s="212"/>
      <c r="VCB3" s="214"/>
      <c r="VCC3" s="215"/>
      <c r="VCD3" s="215"/>
      <c r="VCE3" s="216"/>
      <c r="VCF3" s="216"/>
      <c r="VCG3" s="216"/>
      <c r="VCI3" s="210"/>
      <c r="VCN3" s="215"/>
      <c r="VCO3" s="215"/>
      <c r="VCP3" s="215"/>
      <c r="VCQ3" s="215"/>
      <c r="VCR3" s="215"/>
      <c r="VCS3" s="215"/>
      <c r="VCT3" s="215"/>
      <c r="VCU3" s="217"/>
      <c r="VCV3" s="217"/>
      <c r="VCY3" s="214"/>
      <c r="VCZ3" s="210"/>
      <c r="VDA3" s="210"/>
      <c r="VDB3" s="210"/>
      <c r="VDC3" s="210"/>
      <c r="VDI3" s="212"/>
      <c r="VDK3" s="210"/>
      <c r="VDL3" s="213"/>
      <c r="VDQ3" s="212"/>
      <c r="VDR3" s="212"/>
      <c r="VDS3" s="212"/>
      <c r="VDT3" s="213"/>
      <c r="VDV3" s="212"/>
      <c r="VDW3" s="212"/>
      <c r="VDY3" s="212"/>
      <c r="VDZ3" s="212"/>
      <c r="VEA3" s="212"/>
      <c r="VEB3" s="214"/>
      <c r="VEC3" s="215"/>
      <c r="VED3" s="215"/>
      <c r="VEE3" s="216"/>
      <c r="VEF3" s="216"/>
      <c r="VEG3" s="216"/>
      <c r="VEI3" s="210"/>
      <c r="VEN3" s="215"/>
      <c r="VEO3" s="215"/>
      <c r="VEP3" s="215"/>
      <c r="VEQ3" s="215"/>
      <c r="VER3" s="215"/>
      <c r="VES3" s="215"/>
      <c r="VET3" s="215"/>
      <c r="VEU3" s="217"/>
      <c r="VEV3" s="217"/>
      <c r="VEY3" s="214"/>
      <c r="VEZ3" s="210"/>
      <c r="VFA3" s="210"/>
      <c r="VFB3" s="210"/>
      <c r="VFC3" s="210"/>
      <c r="VFI3" s="212"/>
      <c r="VFK3" s="210"/>
      <c r="VFL3" s="213"/>
      <c r="VFQ3" s="212"/>
      <c r="VFR3" s="212"/>
      <c r="VFS3" s="212"/>
      <c r="VFT3" s="213"/>
      <c r="VFV3" s="212"/>
      <c r="VFW3" s="212"/>
      <c r="VFY3" s="212"/>
      <c r="VFZ3" s="212"/>
      <c r="VGA3" s="212"/>
      <c r="VGB3" s="214"/>
      <c r="VGC3" s="215"/>
      <c r="VGD3" s="215"/>
      <c r="VGE3" s="216"/>
      <c r="VGF3" s="216"/>
      <c r="VGG3" s="216"/>
      <c r="VGI3" s="210"/>
      <c r="VGN3" s="215"/>
      <c r="VGO3" s="215"/>
      <c r="VGP3" s="215"/>
      <c r="VGQ3" s="215"/>
      <c r="VGR3" s="215"/>
      <c r="VGS3" s="215"/>
      <c r="VGT3" s="215"/>
      <c r="VGU3" s="217"/>
      <c r="VGV3" s="217"/>
      <c r="VGY3" s="214"/>
      <c r="VGZ3" s="210"/>
      <c r="VHA3" s="210"/>
      <c r="VHB3" s="210"/>
      <c r="VHC3" s="210"/>
      <c r="VHI3" s="212"/>
      <c r="VHK3" s="210"/>
      <c r="VHL3" s="213"/>
      <c r="VHQ3" s="212"/>
      <c r="VHR3" s="212"/>
      <c r="VHS3" s="212"/>
      <c r="VHT3" s="213"/>
      <c r="VHV3" s="212"/>
      <c r="VHW3" s="212"/>
      <c r="VHY3" s="212"/>
      <c r="VHZ3" s="212"/>
      <c r="VIA3" s="212"/>
      <c r="VIB3" s="214"/>
      <c r="VIC3" s="215"/>
      <c r="VID3" s="215"/>
      <c r="VIE3" s="216"/>
      <c r="VIF3" s="216"/>
      <c r="VIG3" s="216"/>
      <c r="VII3" s="210"/>
      <c r="VIN3" s="215"/>
      <c r="VIO3" s="215"/>
      <c r="VIP3" s="215"/>
      <c r="VIQ3" s="215"/>
      <c r="VIR3" s="215"/>
      <c r="VIS3" s="215"/>
      <c r="VIT3" s="215"/>
      <c r="VIU3" s="217"/>
      <c r="VIV3" s="217"/>
      <c r="VIY3" s="214"/>
      <c r="VIZ3" s="210"/>
      <c r="VJA3" s="210"/>
      <c r="VJB3" s="210"/>
      <c r="VJC3" s="210"/>
      <c r="VJI3" s="212"/>
      <c r="VJK3" s="210"/>
      <c r="VJL3" s="213"/>
      <c r="VJQ3" s="212"/>
      <c r="VJR3" s="212"/>
      <c r="VJS3" s="212"/>
      <c r="VJT3" s="213"/>
      <c r="VJV3" s="212"/>
      <c r="VJW3" s="212"/>
      <c r="VJY3" s="212"/>
      <c r="VJZ3" s="212"/>
      <c r="VKA3" s="212"/>
      <c r="VKB3" s="214"/>
      <c r="VKC3" s="215"/>
      <c r="VKD3" s="215"/>
      <c r="VKE3" s="216"/>
      <c r="VKF3" s="216"/>
      <c r="VKG3" s="216"/>
      <c r="VKI3" s="210"/>
      <c r="VKN3" s="215"/>
      <c r="VKO3" s="215"/>
      <c r="VKP3" s="215"/>
      <c r="VKQ3" s="215"/>
      <c r="VKR3" s="215"/>
      <c r="VKS3" s="215"/>
      <c r="VKT3" s="215"/>
      <c r="VKU3" s="217"/>
      <c r="VKV3" s="217"/>
      <c r="VKY3" s="214"/>
      <c r="VKZ3" s="210"/>
      <c r="VLA3" s="210"/>
      <c r="VLB3" s="210"/>
      <c r="VLC3" s="210"/>
      <c r="VLI3" s="212"/>
      <c r="VLK3" s="210"/>
      <c r="VLL3" s="213"/>
      <c r="VLQ3" s="212"/>
      <c r="VLR3" s="212"/>
      <c r="VLS3" s="212"/>
      <c r="VLT3" s="213"/>
      <c r="VLV3" s="212"/>
      <c r="VLW3" s="212"/>
      <c r="VLY3" s="212"/>
      <c r="VLZ3" s="212"/>
      <c r="VMA3" s="212"/>
      <c r="VMB3" s="214"/>
      <c r="VMC3" s="215"/>
      <c r="VMD3" s="215"/>
      <c r="VME3" s="216"/>
      <c r="VMF3" s="216"/>
      <c r="VMG3" s="216"/>
      <c r="VMI3" s="210"/>
      <c r="VMN3" s="215"/>
      <c r="VMO3" s="215"/>
      <c r="VMP3" s="215"/>
      <c r="VMQ3" s="215"/>
      <c r="VMR3" s="215"/>
      <c r="VMS3" s="215"/>
      <c r="VMT3" s="215"/>
      <c r="VMU3" s="217"/>
      <c r="VMV3" s="217"/>
      <c r="VMY3" s="214"/>
      <c r="VMZ3" s="210"/>
      <c r="VNA3" s="210"/>
      <c r="VNB3" s="210"/>
      <c r="VNC3" s="210"/>
      <c r="VNI3" s="212"/>
      <c r="VNK3" s="210"/>
      <c r="VNL3" s="213"/>
      <c r="VNQ3" s="212"/>
      <c r="VNR3" s="212"/>
      <c r="VNS3" s="212"/>
      <c r="VNT3" s="213"/>
      <c r="VNV3" s="212"/>
      <c r="VNW3" s="212"/>
      <c r="VNY3" s="212"/>
      <c r="VNZ3" s="212"/>
      <c r="VOA3" s="212"/>
      <c r="VOB3" s="214"/>
      <c r="VOC3" s="215"/>
      <c r="VOD3" s="215"/>
      <c r="VOE3" s="216"/>
      <c r="VOF3" s="216"/>
      <c r="VOG3" s="216"/>
      <c r="VOI3" s="210"/>
      <c r="VON3" s="215"/>
      <c r="VOO3" s="215"/>
      <c r="VOP3" s="215"/>
      <c r="VOQ3" s="215"/>
      <c r="VOR3" s="215"/>
      <c r="VOS3" s="215"/>
      <c r="VOT3" s="215"/>
      <c r="VOU3" s="217"/>
      <c r="VOV3" s="217"/>
      <c r="VOY3" s="214"/>
      <c r="VOZ3" s="210"/>
      <c r="VPA3" s="210"/>
      <c r="VPB3" s="210"/>
      <c r="VPC3" s="210"/>
      <c r="VPI3" s="212"/>
      <c r="VPK3" s="210"/>
      <c r="VPL3" s="213"/>
      <c r="VPQ3" s="212"/>
      <c r="VPR3" s="212"/>
      <c r="VPS3" s="212"/>
      <c r="VPT3" s="213"/>
      <c r="VPV3" s="212"/>
      <c r="VPW3" s="212"/>
      <c r="VPY3" s="212"/>
      <c r="VPZ3" s="212"/>
      <c r="VQA3" s="212"/>
      <c r="VQB3" s="214"/>
      <c r="VQC3" s="215"/>
      <c r="VQD3" s="215"/>
      <c r="VQE3" s="216"/>
      <c r="VQF3" s="216"/>
      <c r="VQG3" s="216"/>
      <c r="VQI3" s="210"/>
      <c r="VQN3" s="215"/>
      <c r="VQO3" s="215"/>
      <c r="VQP3" s="215"/>
      <c r="VQQ3" s="215"/>
      <c r="VQR3" s="215"/>
      <c r="VQS3" s="215"/>
      <c r="VQT3" s="215"/>
      <c r="VQU3" s="217"/>
      <c r="VQV3" s="217"/>
      <c r="VQY3" s="214"/>
      <c r="VQZ3" s="210"/>
      <c r="VRA3" s="210"/>
      <c r="VRB3" s="210"/>
      <c r="VRC3" s="210"/>
      <c r="VRI3" s="212"/>
      <c r="VRK3" s="210"/>
      <c r="VRL3" s="213"/>
      <c r="VRQ3" s="212"/>
      <c r="VRR3" s="212"/>
      <c r="VRS3" s="212"/>
      <c r="VRT3" s="213"/>
      <c r="VRV3" s="212"/>
      <c r="VRW3" s="212"/>
      <c r="VRY3" s="212"/>
      <c r="VRZ3" s="212"/>
      <c r="VSA3" s="212"/>
      <c r="VSB3" s="214"/>
      <c r="VSC3" s="215"/>
      <c r="VSD3" s="215"/>
      <c r="VSE3" s="216"/>
      <c r="VSF3" s="216"/>
      <c r="VSG3" s="216"/>
      <c r="VSI3" s="210"/>
      <c r="VSN3" s="215"/>
      <c r="VSO3" s="215"/>
      <c r="VSP3" s="215"/>
      <c r="VSQ3" s="215"/>
      <c r="VSR3" s="215"/>
      <c r="VSS3" s="215"/>
      <c r="VST3" s="215"/>
      <c r="VSU3" s="217"/>
      <c r="VSV3" s="217"/>
      <c r="VSY3" s="214"/>
      <c r="VSZ3" s="210"/>
      <c r="VTA3" s="210"/>
      <c r="VTB3" s="210"/>
      <c r="VTC3" s="210"/>
      <c r="VTI3" s="212"/>
      <c r="VTK3" s="210"/>
      <c r="VTL3" s="213"/>
      <c r="VTQ3" s="212"/>
      <c r="VTR3" s="212"/>
      <c r="VTS3" s="212"/>
      <c r="VTT3" s="213"/>
      <c r="VTV3" s="212"/>
      <c r="VTW3" s="212"/>
      <c r="VTY3" s="212"/>
      <c r="VTZ3" s="212"/>
      <c r="VUA3" s="212"/>
      <c r="VUB3" s="214"/>
      <c r="VUC3" s="215"/>
      <c r="VUD3" s="215"/>
      <c r="VUE3" s="216"/>
      <c r="VUF3" s="216"/>
      <c r="VUG3" s="216"/>
      <c r="VUI3" s="210"/>
      <c r="VUN3" s="215"/>
      <c r="VUO3" s="215"/>
      <c r="VUP3" s="215"/>
      <c r="VUQ3" s="215"/>
      <c r="VUR3" s="215"/>
      <c r="VUS3" s="215"/>
      <c r="VUT3" s="215"/>
      <c r="VUU3" s="217"/>
      <c r="VUV3" s="217"/>
      <c r="VUY3" s="214"/>
      <c r="VUZ3" s="210"/>
      <c r="VVA3" s="210"/>
      <c r="VVB3" s="210"/>
      <c r="VVC3" s="210"/>
      <c r="VVI3" s="212"/>
      <c r="VVK3" s="210"/>
      <c r="VVL3" s="213"/>
      <c r="VVQ3" s="212"/>
      <c r="VVR3" s="212"/>
      <c r="VVS3" s="212"/>
      <c r="VVT3" s="213"/>
      <c r="VVV3" s="212"/>
      <c r="VVW3" s="212"/>
      <c r="VVY3" s="212"/>
      <c r="VVZ3" s="212"/>
      <c r="VWA3" s="212"/>
      <c r="VWB3" s="214"/>
      <c r="VWC3" s="215"/>
      <c r="VWD3" s="215"/>
      <c r="VWE3" s="216"/>
      <c r="VWF3" s="216"/>
      <c r="VWG3" s="216"/>
      <c r="VWI3" s="210"/>
      <c r="VWN3" s="215"/>
      <c r="VWO3" s="215"/>
      <c r="VWP3" s="215"/>
      <c r="VWQ3" s="215"/>
      <c r="VWR3" s="215"/>
      <c r="VWS3" s="215"/>
      <c r="VWT3" s="215"/>
      <c r="VWU3" s="217"/>
      <c r="VWV3" s="217"/>
      <c r="VWY3" s="214"/>
      <c r="VWZ3" s="210"/>
      <c r="VXA3" s="210"/>
      <c r="VXB3" s="210"/>
      <c r="VXC3" s="210"/>
      <c r="VXI3" s="212"/>
      <c r="VXK3" s="210"/>
      <c r="VXL3" s="213"/>
      <c r="VXQ3" s="212"/>
      <c r="VXR3" s="212"/>
      <c r="VXS3" s="212"/>
      <c r="VXT3" s="213"/>
      <c r="VXV3" s="212"/>
      <c r="VXW3" s="212"/>
      <c r="VXY3" s="212"/>
      <c r="VXZ3" s="212"/>
      <c r="VYA3" s="212"/>
      <c r="VYB3" s="214"/>
      <c r="VYC3" s="215"/>
      <c r="VYD3" s="215"/>
      <c r="VYE3" s="216"/>
      <c r="VYF3" s="216"/>
      <c r="VYG3" s="216"/>
      <c r="VYI3" s="210"/>
      <c r="VYN3" s="215"/>
      <c r="VYO3" s="215"/>
      <c r="VYP3" s="215"/>
      <c r="VYQ3" s="215"/>
      <c r="VYR3" s="215"/>
      <c r="VYS3" s="215"/>
      <c r="VYT3" s="215"/>
      <c r="VYU3" s="217"/>
      <c r="VYV3" s="217"/>
      <c r="VYY3" s="214"/>
      <c r="VYZ3" s="210"/>
      <c r="VZA3" s="210"/>
      <c r="VZB3" s="210"/>
      <c r="VZC3" s="210"/>
      <c r="VZI3" s="212"/>
      <c r="VZK3" s="210"/>
      <c r="VZL3" s="213"/>
      <c r="VZQ3" s="212"/>
      <c r="VZR3" s="212"/>
      <c r="VZS3" s="212"/>
      <c r="VZT3" s="213"/>
      <c r="VZV3" s="212"/>
      <c r="VZW3" s="212"/>
      <c r="VZY3" s="212"/>
      <c r="VZZ3" s="212"/>
      <c r="WAA3" s="212"/>
      <c r="WAB3" s="214"/>
      <c r="WAC3" s="215"/>
      <c r="WAD3" s="215"/>
      <c r="WAE3" s="216"/>
      <c r="WAF3" s="216"/>
      <c r="WAG3" s="216"/>
      <c r="WAI3" s="210"/>
      <c r="WAN3" s="215"/>
      <c r="WAO3" s="215"/>
      <c r="WAP3" s="215"/>
      <c r="WAQ3" s="215"/>
      <c r="WAR3" s="215"/>
      <c r="WAS3" s="215"/>
      <c r="WAT3" s="215"/>
      <c r="WAU3" s="217"/>
      <c r="WAV3" s="217"/>
      <c r="WAY3" s="214"/>
      <c r="WAZ3" s="210"/>
      <c r="WBA3" s="210"/>
      <c r="WBB3" s="210"/>
      <c r="WBC3" s="210"/>
      <c r="WBI3" s="212"/>
      <c r="WBK3" s="210"/>
      <c r="WBL3" s="213"/>
      <c r="WBQ3" s="212"/>
      <c r="WBR3" s="212"/>
      <c r="WBS3" s="212"/>
      <c r="WBT3" s="213"/>
      <c r="WBV3" s="212"/>
      <c r="WBW3" s="212"/>
      <c r="WBY3" s="212"/>
      <c r="WBZ3" s="212"/>
      <c r="WCA3" s="212"/>
      <c r="WCB3" s="214"/>
      <c r="WCC3" s="215"/>
      <c r="WCD3" s="215"/>
      <c r="WCE3" s="216"/>
      <c r="WCF3" s="216"/>
      <c r="WCG3" s="216"/>
      <c r="WCI3" s="210"/>
      <c r="WCN3" s="215"/>
      <c r="WCO3" s="215"/>
      <c r="WCP3" s="215"/>
      <c r="WCQ3" s="215"/>
      <c r="WCR3" s="215"/>
      <c r="WCS3" s="215"/>
      <c r="WCT3" s="215"/>
      <c r="WCU3" s="217"/>
      <c r="WCV3" s="217"/>
      <c r="WCY3" s="214"/>
      <c r="WCZ3" s="210"/>
      <c r="WDA3" s="210"/>
      <c r="WDB3" s="210"/>
      <c r="WDC3" s="210"/>
      <c r="WDI3" s="212"/>
      <c r="WDK3" s="210"/>
      <c r="WDL3" s="213"/>
      <c r="WDQ3" s="212"/>
      <c r="WDR3" s="212"/>
      <c r="WDS3" s="212"/>
      <c r="WDT3" s="213"/>
      <c r="WDV3" s="212"/>
      <c r="WDW3" s="212"/>
      <c r="WDY3" s="212"/>
      <c r="WDZ3" s="212"/>
      <c r="WEA3" s="212"/>
      <c r="WEB3" s="214"/>
      <c r="WEC3" s="215"/>
      <c r="WED3" s="215"/>
      <c r="WEE3" s="216"/>
      <c r="WEF3" s="216"/>
      <c r="WEG3" s="216"/>
      <c r="WEI3" s="210"/>
      <c r="WEN3" s="215"/>
      <c r="WEO3" s="215"/>
      <c r="WEP3" s="215"/>
      <c r="WEQ3" s="215"/>
      <c r="WER3" s="215"/>
      <c r="WES3" s="215"/>
      <c r="WET3" s="215"/>
      <c r="WEU3" s="217"/>
      <c r="WEV3" s="217"/>
      <c r="WEY3" s="214"/>
      <c r="WEZ3" s="210"/>
      <c r="WFA3" s="210"/>
      <c r="WFB3" s="210"/>
      <c r="WFC3" s="210"/>
      <c r="WFI3" s="212"/>
      <c r="WFK3" s="210"/>
      <c r="WFL3" s="213"/>
      <c r="WFQ3" s="212"/>
      <c r="WFR3" s="212"/>
      <c r="WFS3" s="212"/>
      <c r="WFT3" s="213"/>
      <c r="WFV3" s="212"/>
      <c r="WFW3" s="212"/>
      <c r="WFY3" s="212"/>
      <c r="WFZ3" s="212"/>
      <c r="WGA3" s="212"/>
      <c r="WGB3" s="214"/>
      <c r="WGC3" s="215"/>
      <c r="WGD3" s="215"/>
      <c r="WGE3" s="216"/>
      <c r="WGF3" s="216"/>
      <c r="WGG3" s="216"/>
      <c r="WGI3" s="210"/>
      <c r="WGN3" s="215"/>
      <c r="WGO3" s="215"/>
      <c r="WGP3" s="215"/>
      <c r="WGQ3" s="215"/>
      <c r="WGR3" s="215"/>
      <c r="WGS3" s="215"/>
      <c r="WGT3" s="215"/>
      <c r="WGU3" s="217"/>
      <c r="WGV3" s="217"/>
      <c r="WGY3" s="214"/>
      <c r="WGZ3" s="210"/>
      <c r="WHA3" s="210"/>
      <c r="WHB3" s="210"/>
      <c r="WHC3" s="210"/>
      <c r="WHI3" s="212"/>
      <c r="WHK3" s="210"/>
      <c r="WHL3" s="213"/>
      <c r="WHQ3" s="212"/>
      <c r="WHR3" s="212"/>
      <c r="WHS3" s="212"/>
      <c r="WHT3" s="213"/>
      <c r="WHV3" s="212"/>
      <c r="WHW3" s="212"/>
      <c r="WHY3" s="212"/>
      <c r="WHZ3" s="212"/>
      <c r="WIA3" s="212"/>
      <c r="WIB3" s="214"/>
      <c r="WIC3" s="215"/>
      <c r="WID3" s="215"/>
      <c r="WIE3" s="216"/>
      <c r="WIF3" s="216"/>
      <c r="WIG3" s="216"/>
      <c r="WII3" s="210"/>
      <c r="WIN3" s="215"/>
      <c r="WIO3" s="215"/>
      <c r="WIP3" s="215"/>
      <c r="WIQ3" s="215"/>
      <c r="WIR3" s="215"/>
      <c r="WIS3" s="215"/>
      <c r="WIT3" s="215"/>
      <c r="WIU3" s="217"/>
      <c r="WIV3" s="217"/>
      <c r="WIY3" s="214"/>
      <c r="WIZ3" s="210"/>
      <c r="WJA3" s="210"/>
      <c r="WJB3" s="210"/>
      <c r="WJC3" s="210"/>
      <c r="WJI3" s="212"/>
      <c r="WJK3" s="210"/>
      <c r="WJL3" s="213"/>
      <c r="WJQ3" s="212"/>
      <c r="WJR3" s="212"/>
      <c r="WJS3" s="212"/>
      <c r="WJT3" s="213"/>
      <c r="WJV3" s="212"/>
      <c r="WJW3" s="212"/>
      <c r="WJY3" s="212"/>
      <c r="WJZ3" s="212"/>
      <c r="WKA3" s="212"/>
      <c r="WKB3" s="214"/>
      <c r="WKC3" s="215"/>
      <c r="WKD3" s="215"/>
      <c r="WKE3" s="216"/>
      <c r="WKF3" s="216"/>
      <c r="WKG3" s="216"/>
      <c r="WKI3" s="210"/>
      <c r="WKN3" s="215"/>
      <c r="WKO3" s="215"/>
      <c r="WKP3" s="215"/>
      <c r="WKQ3" s="215"/>
      <c r="WKR3" s="215"/>
      <c r="WKS3" s="215"/>
      <c r="WKT3" s="215"/>
      <c r="WKU3" s="217"/>
      <c r="WKV3" s="217"/>
      <c r="WKY3" s="214"/>
      <c r="WKZ3" s="210"/>
      <c r="WLA3" s="210"/>
      <c r="WLB3" s="210"/>
      <c r="WLC3" s="210"/>
      <c r="WLI3" s="212"/>
      <c r="WLK3" s="210"/>
      <c r="WLL3" s="213"/>
      <c r="WLQ3" s="212"/>
      <c r="WLR3" s="212"/>
      <c r="WLS3" s="212"/>
      <c r="WLT3" s="213"/>
      <c r="WLV3" s="212"/>
      <c r="WLW3" s="212"/>
      <c r="WLY3" s="212"/>
      <c r="WLZ3" s="212"/>
      <c r="WMA3" s="212"/>
      <c r="WMB3" s="214"/>
      <c r="WMC3" s="215"/>
      <c r="WMD3" s="215"/>
      <c r="WME3" s="216"/>
      <c r="WMF3" s="216"/>
      <c r="WMG3" s="216"/>
      <c r="WMI3" s="210"/>
      <c r="WMN3" s="215"/>
      <c r="WMO3" s="215"/>
      <c r="WMP3" s="215"/>
      <c r="WMQ3" s="215"/>
      <c r="WMR3" s="215"/>
      <c r="WMS3" s="215"/>
      <c r="WMT3" s="215"/>
      <c r="WMU3" s="217"/>
      <c r="WMV3" s="217"/>
      <c r="WMY3" s="214"/>
      <c r="WMZ3" s="210"/>
      <c r="WNA3" s="210"/>
      <c r="WNB3" s="210"/>
      <c r="WNC3" s="210"/>
      <c r="WNI3" s="212"/>
      <c r="WNK3" s="210"/>
      <c r="WNL3" s="213"/>
      <c r="WNQ3" s="212"/>
      <c r="WNR3" s="212"/>
      <c r="WNS3" s="212"/>
      <c r="WNT3" s="213"/>
      <c r="WNV3" s="212"/>
      <c r="WNW3" s="212"/>
      <c r="WNY3" s="212"/>
      <c r="WNZ3" s="212"/>
      <c r="WOA3" s="212"/>
      <c r="WOB3" s="214"/>
      <c r="WOC3" s="215"/>
      <c r="WOD3" s="215"/>
      <c r="WOE3" s="216"/>
      <c r="WOF3" s="216"/>
      <c r="WOG3" s="216"/>
      <c r="WOI3" s="210"/>
      <c r="WON3" s="215"/>
      <c r="WOO3" s="215"/>
      <c r="WOP3" s="215"/>
      <c r="WOQ3" s="215"/>
      <c r="WOR3" s="215"/>
      <c r="WOS3" s="215"/>
      <c r="WOT3" s="215"/>
      <c r="WOU3" s="217"/>
      <c r="WOV3" s="217"/>
      <c r="WOY3" s="214"/>
      <c r="WOZ3" s="210"/>
      <c r="WPA3" s="210"/>
      <c r="WPB3" s="210"/>
      <c r="WPC3" s="210"/>
      <c r="WPI3" s="212"/>
      <c r="WPK3" s="210"/>
      <c r="WPL3" s="213"/>
      <c r="WPQ3" s="212"/>
      <c r="WPR3" s="212"/>
      <c r="WPS3" s="212"/>
      <c r="WPT3" s="213"/>
      <c r="WPV3" s="212"/>
      <c r="WPW3" s="212"/>
      <c r="WPY3" s="212"/>
      <c r="WPZ3" s="212"/>
      <c r="WQA3" s="212"/>
      <c r="WQB3" s="214"/>
      <c r="WQC3" s="215"/>
      <c r="WQD3" s="215"/>
      <c r="WQE3" s="216"/>
      <c r="WQF3" s="216"/>
      <c r="WQG3" s="216"/>
      <c r="WQI3" s="210"/>
      <c r="WQN3" s="215"/>
      <c r="WQO3" s="215"/>
      <c r="WQP3" s="215"/>
      <c r="WQQ3" s="215"/>
      <c r="WQR3" s="215"/>
      <c r="WQS3" s="215"/>
      <c r="WQT3" s="215"/>
      <c r="WQU3" s="217"/>
      <c r="WQV3" s="217"/>
      <c r="WQY3" s="214"/>
      <c r="WQZ3" s="210"/>
      <c r="WRA3" s="210"/>
      <c r="WRB3" s="210"/>
      <c r="WRC3" s="210"/>
      <c r="WRI3" s="212"/>
      <c r="WRK3" s="210"/>
      <c r="WRL3" s="213"/>
      <c r="WRQ3" s="212"/>
      <c r="WRR3" s="212"/>
      <c r="WRS3" s="212"/>
      <c r="WRT3" s="213"/>
      <c r="WRV3" s="212"/>
      <c r="WRW3" s="212"/>
      <c r="WRY3" s="212"/>
      <c r="WRZ3" s="212"/>
      <c r="WSA3" s="212"/>
      <c r="WSB3" s="214"/>
      <c r="WSC3" s="215"/>
      <c r="WSD3" s="215"/>
      <c r="WSE3" s="216"/>
      <c r="WSF3" s="216"/>
      <c r="WSG3" s="216"/>
      <c r="WSI3" s="210"/>
      <c r="WSN3" s="215"/>
      <c r="WSO3" s="215"/>
      <c r="WSP3" s="215"/>
      <c r="WSQ3" s="215"/>
      <c r="WSR3" s="215"/>
      <c r="WSS3" s="215"/>
      <c r="WST3" s="215"/>
      <c r="WSU3" s="217"/>
      <c r="WSV3" s="217"/>
      <c r="WSY3" s="214"/>
      <c r="WSZ3" s="210"/>
      <c r="WTA3" s="210"/>
      <c r="WTB3" s="210"/>
      <c r="WTC3" s="210"/>
      <c r="WTI3" s="212"/>
      <c r="WTK3" s="210"/>
      <c r="WTL3" s="213"/>
      <c r="WTQ3" s="212"/>
      <c r="WTR3" s="212"/>
      <c r="WTS3" s="212"/>
      <c r="WTT3" s="213"/>
      <c r="WTV3" s="212"/>
      <c r="WTW3" s="212"/>
      <c r="WTY3" s="212"/>
      <c r="WTZ3" s="212"/>
      <c r="WUA3" s="212"/>
      <c r="WUB3" s="214"/>
      <c r="WUC3" s="215"/>
      <c r="WUD3" s="215"/>
      <c r="WUE3" s="216"/>
      <c r="WUF3" s="216"/>
      <c r="WUG3" s="216"/>
      <c r="WUI3" s="210"/>
      <c r="WUN3" s="215"/>
      <c r="WUO3" s="215"/>
      <c r="WUP3" s="215"/>
      <c r="WUQ3" s="215"/>
      <c r="WUR3" s="215"/>
      <c r="WUS3" s="215"/>
      <c r="WUT3" s="215"/>
      <c r="WUU3" s="217"/>
      <c r="WUV3" s="217"/>
      <c r="WUY3" s="214"/>
      <c r="WUZ3" s="210"/>
      <c r="WVA3" s="210"/>
      <c r="WVB3" s="210"/>
      <c r="WVC3" s="210"/>
      <c r="WVI3" s="212"/>
      <c r="WVK3" s="210"/>
      <c r="WVL3" s="213"/>
      <c r="WVQ3" s="212"/>
      <c r="WVR3" s="212"/>
      <c r="WVS3" s="212"/>
      <c r="WVT3" s="213"/>
      <c r="WVV3" s="212"/>
      <c r="WVW3" s="212"/>
      <c r="WVY3" s="212"/>
      <c r="WVZ3" s="212"/>
      <c r="WWA3" s="212"/>
      <c r="WWB3" s="214"/>
      <c r="WWC3" s="215"/>
      <c r="WWD3" s="215"/>
      <c r="WWE3" s="216"/>
      <c r="WWF3" s="216"/>
      <c r="WWG3" s="216"/>
      <c r="WWI3" s="210"/>
      <c r="WWN3" s="215"/>
      <c r="WWO3" s="215"/>
      <c r="WWP3" s="215"/>
      <c r="WWQ3" s="215"/>
      <c r="WWR3" s="215"/>
      <c r="WWS3" s="215"/>
      <c r="WWT3" s="215"/>
      <c r="WWU3" s="217"/>
      <c r="WWV3" s="217"/>
      <c r="WWY3" s="214"/>
      <c r="WWZ3" s="210"/>
      <c r="WXA3" s="210"/>
      <c r="WXB3" s="210"/>
      <c r="WXC3" s="210"/>
      <c r="WXI3" s="212"/>
      <c r="WXK3" s="210"/>
      <c r="WXL3" s="213"/>
      <c r="WXQ3" s="212"/>
      <c r="WXR3" s="212"/>
      <c r="WXS3" s="212"/>
      <c r="WXT3" s="213"/>
      <c r="WXV3" s="212"/>
      <c r="WXW3" s="212"/>
      <c r="WXY3" s="212"/>
      <c r="WXZ3" s="212"/>
      <c r="WYA3" s="212"/>
      <c r="WYB3" s="214"/>
      <c r="WYC3" s="215"/>
      <c r="WYD3" s="215"/>
      <c r="WYE3" s="216"/>
      <c r="WYF3" s="216"/>
      <c r="WYG3" s="216"/>
      <c r="WYI3" s="210"/>
      <c r="WYN3" s="215"/>
      <c r="WYO3" s="215"/>
      <c r="WYP3" s="215"/>
      <c r="WYQ3" s="215"/>
      <c r="WYR3" s="215"/>
      <c r="WYS3" s="215"/>
      <c r="WYT3" s="215"/>
      <c r="WYU3" s="217"/>
      <c r="WYV3" s="217"/>
      <c r="WYY3" s="214"/>
      <c r="WYZ3" s="210"/>
      <c r="WZA3" s="210"/>
      <c r="WZB3" s="210"/>
      <c r="WZC3" s="210"/>
      <c r="WZI3" s="212"/>
      <c r="WZK3" s="210"/>
      <c r="WZL3" s="213"/>
      <c r="WZQ3" s="212"/>
      <c r="WZR3" s="212"/>
      <c r="WZS3" s="212"/>
      <c r="WZT3" s="213"/>
      <c r="WZV3" s="212"/>
      <c r="WZW3" s="212"/>
      <c r="WZY3" s="212"/>
      <c r="WZZ3" s="212"/>
      <c r="XAA3" s="212"/>
      <c r="XAB3" s="214"/>
      <c r="XAC3" s="215"/>
      <c r="XAD3" s="215"/>
      <c r="XAE3" s="216"/>
      <c r="XAF3" s="216"/>
      <c r="XAG3" s="216"/>
      <c r="XAI3" s="210"/>
      <c r="XAN3" s="215"/>
      <c r="XAO3" s="215"/>
      <c r="XAP3" s="215"/>
      <c r="XAQ3" s="215"/>
      <c r="XAR3" s="215"/>
      <c r="XAS3" s="215"/>
      <c r="XAT3" s="215"/>
      <c r="XAU3" s="217"/>
      <c r="XAV3" s="217"/>
      <c r="XAY3" s="214"/>
      <c r="XAZ3" s="210"/>
      <c r="XBA3" s="210"/>
      <c r="XBB3" s="210"/>
      <c r="XBC3" s="210"/>
      <c r="XBI3" s="212"/>
      <c r="XBK3" s="210"/>
      <c r="XBL3" s="213"/>
      <c r="XBQ3" s="212"/>
      <c r="XBR3" s="212"/>
      <c r="XBS3" s="212"/>
      <c r="XBT3" s="213"/>
      <c r="XBV3" s="212"/>
      <c r="XBW3" s="212"/>
      <c r="XBY3" s="212"/>
      <c r="XBZ3" s="212"/>
      <c r="XCA3" s="212"/>
      <c r="XCB3" s="214"/>
      <c r="XCC3" s="215"/>
      <c r="XCD3" s="215"/>
      <c r="XCE3" s="216"/>
      <c r="XCF3" s="216"/>
      <c r="XCG3" s="216"/>
      <c r="XCI3" s="210"/>
      <c r="XCN3" s="215"/>
      <c r="XCO3" s="215"/>
      <c r="XCP3" s="215"/>
      <c r="XCQ3" s="215"/>
      <c r="XCR3" s="215"/>
      <c r="XCS3" s="215"/>
      <c r="XCT3" s="215"/>
      <c r="XCU3" s="217"/>
      <c r="XCV3" s="217"/>
      <c r="XCY3" s="214"/>
      <c r="XCZ3" s="210"/>
      <c r="XDA3" s="210"/>
      <c r="XDB3" s="210"/>
      <c r="XDC3" s="210"/>
      <c r="XDI3" s="212"/>
      <c r="XDK3" s="210"/>
      <c r="XDL3" s="213"/>
      <c r="XDQ3" s="212"/>
      <c r="XDR3" s="212"/>
      <c r="XDS3" s="212"/>
      <c r="XDT3" s="213"/>
      <c r="XDV3" s="212"/>
      <c r="XDW3" s="212"/>
      <c r="XDY3" s="212"/>
      <c r="XDZ3" s="212"/>
      <c r="XEA3" s="212"/>
      <c r="XEB3" s="214"/>
      <c r="XEC3" s="215"/>
      <c r="XED3" s="215"/>
      <c r="XEE3" s="216"/>
      <c r="XEF3" s="216"/>
      <c r="XEG3" s="216"/>
      <c r="XEI3" s="210"/>
      <c r="XEN3" s="215"/>
      <c r="XEO3" s="215"/>
      <c r="XEP3" s="215"/>
      <c r="XEQ3" s="215"/>
      <c r="XER3" s="215"/>
      <c r="XES3" s="215"/>
      <c r="XET3" s="215"/>
      <c r="XEU3" s="217"/>
      <c r="XEV3" s="217"/>
      <c r="XEY3" s="214"/>
      <c r="XEZ3" s="210"/>
      <c r="XFA3" s="210"/>
      <c r="XFB3" s="210"/>
      <c r="XFC3" s="210"/>
      <c r="XFD3"/>
    </row>
    <row r="4" spans="1:1023 1028:2048 2050:3071 3077:5119 5121:6139 6145:9216 9221:10240 10243:12284 12289:14335 14340:15360 15362:16384">
      <c r="A4" s="218"/>
      <c r="B4" s="218"/>
      <c r="C4" s="219"/>
      <c r="D4" s="220"/>
      <c r="E4" s="221"/>
      <c r="F4" s="221"/>
      <c r="G4" s="221"/>
      <c r="H4" s="221"/>
      <c r="I4" s="222"/>
      <c r="J4" s="221"/>
      <c r="K4" s="221"/>
      <c r="L4" s="223"/>
      <c r="M4" s="222"/>
      <c r="N4" s="221"/>
      <c r="O4" s="221"/>
      <c r="P4" s="224"/>
      <c r="Q4" s="225"/>
      <c r="R4" s="225"/>
      <c r="S4" s="225"/>
      <c r="T4" s="226"/>
      <c r="U4" s="221"/>
      <c r="V4" s="225"/>
      <c r="W4" s="225"/>
      <c r="X4" s="225"/>
      <c r="Y4" s="225"/>
      <c r="Z4" s="225"/>
      <c r="AA4" s="225"/>
      <c r="AB4" s="225"/>
      <c r="AC4" s="227"/>
      <c r="AD4" s="228"/>
      <c r="AE4" s="228"/>
      <c r="AF4" s="228"/>
      <c r="AG4" s="228"/>
      <c r="AH4" s="228"/>
      <c r="AI4" s="228"/>
      <c r="AJ4" s="228"/>
      <c r="AK4" s="228"/>
      <c r="AL4" s="229"/>
      <c r="AM4" s="228"/>
      <c r="AN4" s="228"/>
      <c r="AO4" s="228"/>
      <c r="AP4" s="228"/>
      <c r="AQ4" s="228"/>
      <c r="AR4" s="228"/>
      <c r="AS4" s="228"/>
      <c r="AT4" s="228"/>
      <c r="AU4" s="228"/>
      <c r="AV4" s="230"/>
      <c r="AW4" s="230"/>
      <c r="AX4" s="230"/>
      <c r="AY4" s="230"/>
      <c r="AZ4" s="227"/>
      <c r="BA4" s="231"/>
    </row>
    <row r="5" spans="1:1023 1028:2048 2050:3071 3077:5119 5121:6139 6145:9216 9221:10240 10243:12284 12289:14335 14340:15360 15362:16384">
      <c r="A5" s="218"/>
      <c r="B5" s="218"/>
      <c r="C5" s="232"/>
      <c r="D5" s="220"/>
      <c r="E5" s="221"/>
      <c r="F5" s="221"/>
      <c r="G5" s="221"/>
      <c r="H5" s="221"/>
      <c r="I5" s="222"/>
      <c r="J5" s="221"/>
      <c r="K5" s="221"/>
      <c r="L5" s="223"/>
      <c r="M5" s="222"/>
      <c r="N5" s="221"/>
      <c r="O5" s="221"/>
      <c r="P5" s="224"/>
      <c r="Q5" s="225"/>
      <c r="R5" s="225"/>
      <c r="S5" s="225"/>
      <c r="T5" s="226"/>
      <c r="U5" s="221"/>
      <c r="V5" s="225"/>
      <c r="W5" s="225"/>
      <c r="X5" s="225"/>
      <c r="Y5" s="225"/>
      <c r="Z5" s="225"/>
      <c r="AA5" s="225"/>
      <c r="AB5" s="225"/>
      <c r="AC5" s="227"/>
      <c r="AD5" s="228"/>
      <c r="AE5" s="228"/>
      <c r="AF5" s="228"/>
      <c r="AG5" s="228"/>
      <c r="AH5" s="228"/>
      <c r="AI5" s="228"/>
      <c r="AJ5" s="228"/>
      <c r="AK5" s="228"/>
      <c r="AL5" s="229"/>
      <c r="AM5" s="228"/>
      <c r="AN5" s="228"/>
      <c r="AO5" s="228"/>
      <c r="AP5" s="228"/>
      <c r="AQ5" s="228"/>
      <c r="AR5" s="228"/>
      <c r="AS5" s="228"/>
      <c r="AT5" s="228"/>
      <c r="AU5" s="228"/>
      <c r="AV5" s="230"/>
      <c r="AW5" s="230"/>
      <c r="AX5" s="230"/>
      <c r="AY5" s="230"/>
      <c r="AZ5" s="227"/>
      <c r="BA5" s="231"/>
    </row>
    <row r="6" spans="1:1023 1028:2048 2050:3071 3077:5119 5121:6139 6145:9216 9221:10240 10243:12284 12289:14335 14340:15360 15362:16384">
      <c r="A6" s="218"/>
      <c r="B6" s="218"/>
      <c r="C6" s="232"/>
      <c r="D6" s="220"/>
      <c r="E6" s="221"/>
      <c r="F6" s="221"/>
      <c r="G6" s="221"/>
      <c r="H6" s="221"/>
      <c r="I6" s="222"/>
      <c r="J6" s="221"/>
      <c r="K6" s="221"/>
      <c r="L6" s="223"/>
      <c r="M6" s="222"/>
      <c r="N6" s="221"/>
      <c r="O6" s="221"/>
      <c r="P6" s="224"/>
      <c r="Q6" s="225"/>
      <c r="R6" s="225"/>
      <c r="S6" s="225"/>
      <c r="T6" s="226"/>
      <c r="U6" s="221"/>
      <c r="V6" s="225"/>
      <c r="W6" s="225"/>
      <c r="X6" s="225"/>
      <c r="Y6" s="225"/>
      <c r="Z6" s="225"/>
      <c r="AA6" s="225"/>
      <c r="AB6" s="225"/>
      <c r="AC6" s="227"/>
      <c r="AD6" s="228"/>
      <c r="AE6" s="228"/>
      <c r="AF6" s="228"/>
      <c r="AG6" s="228"/>
      <c r="AH6" s="228"/>
      <c r="AI6" s="228"/>
      <c r="AJ6" s="228"/>
      <c r="AK6" s="228"/>
      <c r="AL6" s="229"/>
      <c r="AM6" s="228"/>
      <c r="AN6" s="228"/>
      <c r="AO6" s="228"/>
      <c r="AP6" s="228"/>
      <c r="AQ6" s="228"/>
      <c r="AR6" s="228"/>
      <c r="AS6" s="228"/>
      <c r="AT6" s="228"/>
      <c r="AU6" s="228"/>
      <c r="AV6" s="230"/>
      <c r="AW6" s="230"/>
      <c r="AX6" s="230"/>
      <c r="AY6" s="230"/>
      <c r="AZ6" s="227"/>
      <c r="BA6" s="231"/>
    </row>
    <row r="7" spans="1:1023 1028:2048 2050:3071 3077:5119 5121:6139 6145:9216 9221:10240 10243:12284 12289:14335 14340:15360 15362:16384">
      <c r="A7" s="218"/>
      <c r="B7" s="218"/>
      <c r="C7" s="233"/>
      <c r="D7" s="220"/>
      <c r="E7" s="221"/>
      <c r="F7" s="221"/>
      <c r="G7" s="221"/>
      <c r="H7" s="221"/>
      <c r="I7" s="222"/>
      <c r="J7" s="221"/>
      <c r="K7" s="221"/>
      <c r="L7" s="223"/>
      <c r="M7" s="222"/>
      <c r="N7" s="221"/>
      <c r="O7" s="221"/>
      <c r="P7" s="224"/>
      <c r="Q7" s="225"/>
      <c r="R7" s="225"/>
      <c r="S7" s="225"/>
      <c r="T7" s="226"/>
      <c r="U7" s="221"/>
      <c r="V7" s="225"/>
      <c r="W7" s="225"/>
      <c r="X7" s="225"/>
      <c r="Y7" s="225"/>
      <c r="Z7" s="225"/>
      <c r="AA7" s="225"/>
      <c r="AB7" s="225"/>
      <c r="AC7" s="227"/>
      <c r="AD7" s="228"/>
      <c r="AE7" s="228"/>
      <c r="AF7" s="228"/>
      <c r="AG7" s="228"/>
      <c r="AH7" s="228"/>
      <c r="AI7" s="228"/>
      <c r="AJ7" s="228"/>
      <c r="AK7" s="228"/>
      <c r="AL7" s="229"/>
      <c r="AM7" s="228"/>
      <c r="AN7" s="228"/>
      <c r="AO7" s="228"/>
      <c r="AP7" s="228"/>
      <c r="AQ7" s="228"/>
      <c r="AR7" s="228"/>
      <c r="AS7" s="228"/>
      <c r="AT7" s="228"/>
      <c r="AU7" s="228"/>
      <c r="AV7" s="230"/>
      <c r="AW7" s="230"/>
      <c r="AX7" s="230"/>
      <c r="AY7" s="230"/>
      <c r="AZ7" s="227"/>
      <c r="BA7" s="231"/>
    </row>
    <row r="8" spans="1:1023 1028:2048 2050:3071 3077:5119 5121:6139 6145:9216 9221:10240 10243:12284 12289:14335 14340:15360 15362:16384">
      <c r="A8" s="218"/>
      <c r="B8" s="218"/>
      <c r="C8" s="234"/>
      <c r="D8" s="220"/>
      <c r="E8" s="221"/>
      <c r="F8" s="221"/>
      <c r="G8" s="221"/>
      <c r="H8" s="221"/>
      <c r="I8" s="222"/>
      <c r="J8" s="221"/>
      <c r="K8" s="221"/>
      <c r="L8" s="223"/>
      <c r="M8" s="222"/>
      <c r="N8" s="221"/>
      <c r="O8" s="221"/>
      <c r="P8" s="224"/>
      <c r="Q8" s="225"/>
      <c r="R8" s="225"/>
      <c r="S8" s="225"/>
      <c r="T8" s="226"/>
      <c r="U8" s="221"/>
      <c r="V8" s="225"/>
      <c r="W8" s="225"/>
      <c r="X8" s="225"/>
      <c r="Y8" s="225"/>
      <c r="Z8" s="225"/>
      <c r="AA8" s="225"/>
      <c r="AB8" s="225"/>
      <c r="AC8" s="227"/>
      <c r="AD8" s="228"/>
      <c r="AE8" s="228"/>
      <c r="AF8" s="228"/>
      <c r="AG8" s="228"/>
      <c r="AH8" s="228"/>
      <c r="AI8" s="228"/>
      <c r="AJ8" s="228"/>
      <c r="AK8" s="228"/>
      <c r="AL8" s="229"/>
      <c r="AM8" s="228"/>
      <c r="AN8" s="228"/>
      <c r="AO8" s="228"/>
      <c r="AP8" s="228"/>
      <c r="AQ8" s="228"/>
      <c r="AR8" s="228"/>
      <c r="AS8" s="228"/>
      <c r="AT8" s="228"/>
      <c r="AU8" s="228"/>
      <c r="AV8" s="230"/>
      <c r="AW8" s="230"/>
      <c r="AX8" s="230"/>
      <c r="AY8" s="230"/>
      <c r="AZ8" s="227"/>
      <c r="BA8" s="231"/>
    </row>
    <row r="9" spans="1:1023 1028:2048 2050:3071 3077:5119 5121:6139 6145:9216 9221:10240 10243:12284 12289:14335 14340:15360 15362:16384">
      <c r="A9" s="218"/>
      <c r="B9" s="218"/>
      <c r="C9" s="235"/>
      <c r="D9" s="220"/>
      <c r="E9" s="221"/>
      <c r="F9" s="221"/>
      <c r="G9" s="221"/>
      <c r="H9" s="221"/>
      <c r="I9" s="222"/>
      <c r="J9" s="221"/>
      <c r="K9" s="221"/>
      <c r="L9" s="223"/>
      <c r="M9" s="222"/>
      <c r="N9" s="221"/>
      <c r="O9" s="221"/>
      <c r="P9" s="224"/>
      <c r="Q9" s="225"/>
      <c r="R9" s="225"/>
      <c r="S9" s="225"/>
      <c r="T9" s="226"/>
      <c r="U9" s="221"/>
      <c r="V9" s="225"/>
      <c r="W9" s="225"/>
      <c r="X9" s="225"/>
      <c r="Y9" s="225"/>
      <c r="Z9" s="225"/>
      <c r="AA9" s="225"/>
      <c r="AB9" s="225"/>
      <c r="AC9" s="227"/>
      <c r="AD9" s="228"/>
      <c r="AE9" s="228"/>
      <c r="AF9" s="228"/>
      <c r="AG9" s="228"/>
      <c r="AH9" s="228"/>
      <c r="AI9" s="228"/>
      <c r="AJ9" s="228"/>
      <c r="AK9" s="228"/>
      <c r="AL9" s="229"/>
      <c r="AM9" s="228"/>
      <c r="AN9" s="228"/>
      <c r="AO9" s="228"/>
      <c r="AP9" s="228"/>
      <c r="AQ9" s="228"/>
      <c r="AR9" s="228"/>
      <c r="AS9" s="228"/>
      <c r="AT9" s="228"/>
      <c r="AU9" s="228"/>
      <c r="AV9" s="230"/>
      <c r="AW9" s="230"/>
      <c r="AX9" s="230"/>
      <c r="AY9" s="230"/>
      <c r="AZ9" s="227"/>
      <c r="BA9" s="231"/>
    </row>
    <row r="10" spans="1:1023 1028:2048 2050:3071 3077:5119 5121:6139 6145:9216 9221:10240 10243:12284 12289:14335 14340:15360 15362:16384">
      <c r="A10" s="218"/>
      <c r="B10" s="218"/>
      <c r="C10" s="235"/>
      <c r="D10" s="220"/>
      <c r="E10" s="221"/>
      <c r="F10" s="221"/>
      <c r="G10" s="221"/>
      <c r="H10" s="221"/>
      <c r="I10" s="222"/>
      <c r="J10" s="221"/>
      <c r="K10" s="221"/>
      <c r="L10" s="223"/>
      <c r="M10" s="222"/>
      <c r="N10" s="221"/>
      <c r="O10" s="221"/>
      <c r="P10" s="224"/>
      <c r="Q10" s="225"/>
      <c r="R10" s="225"/>
      <c r="S10" s="225"/>
      <c r="T10" s="226"/>
      <c r="U10" s="221"/>
      <c r="V10" s="225"/>
      <c r="W10" s="225"/>
      <c r="X10" s="225"/>
      <c r="Y10" s="225"/>
      <c r="Z10" s="225"/>
      <c r="AA10" s="225"/>
      <c r="AB10" s="225"/>
      <c r="AC10" s="227"/>
      <c r="AD10" s="228"/>
      <c r="AE10" s="228"/>
      <c r="AF10" s="228"/>
      <c r="AG10" s="228"/>
      <c r="AH10" s="228"/>
      <c r="AI10" s="228"/>
      <c r="AJ10" s="228"/>
      <c r="AK10" s="228"/>
      <c r="AL10" s="229"/>
      <c r="AM10" s="228"/>
      <c r="AN10" s="228"/>
      <c r="AO10" s="228"/>
      <c r="AP10" s="228"/>
      <c r="AQ10" s="228"/>
      <c r="AR10" s="228"/>
      <c r="AS10" s="228"/>
      <c r="AT10" s="228"/>
      <c r="AU10" s="228"/>
      <c r="AV10" s="230"/>
      <c r="AW10" s="230"/>
      <c r="AX10" s="230"/>
      <c r="AY10" s="230"/>
      <c r="AZ10" s="227"/>
      <c r="BA10" s="231"/>
    </row>
    <row r="11" spans="1:1023 1028:2048 2050:3071 3077:5119 5121:6139 6145:9216 9221:10240 10243:12284 12289:14335 14340:15360 15362:16384">
      <c r="A11" s="218"/>
      <c r="B11" s="218"/>
      <c r="C11" s="236"/>
      <c r="D11" s="237"/>
      <c r="E11" s="238"/>
      <c r="F11" s="239"/>
      <c r="G11" s="238"/>
      <c r="H11" s="238"/>
      <c r="I11" s="222"/>
      <c r="J11" s="240"/>
      <c r="K11" s="240"/>
      <c r="L11" s="223"/>
      <c r="M11" s="222"/>
      <c r="N11" s="222"/>
      <c r="O11" s="241"/>
      <c r="P11" s="242"/>
      <c r="Q11" s="238"/>
      <c r="R11" s="243"/>
      <c r="S11" s="244"/>
      <c r="T11" s="245"/>
      <c r="U11" s="222"/>
      <c r="V11" s="244"/>
      <c r="W11" s="244"/>
      <c r="X11" s="244"/>
      <c r="Y11" s="244"/>
      <c r="Z11" s="244"/>
      <c r="AA11" s="246"/>
      <c r="AB11" s="225"/>
      <c r="AC11" s="222"/>
      <c r="AD11" s="244"/>
      <c r="AE11" s="222"/>
      <c r="AF11" s="222"/>
      <c r="AG11" s="247"/>
      <c r="AH11" s="236"/>
      <c r="AI11" s="222"/>
      <c r="AJ11" s="222"/>
      <c r="AK11" s="222"/>
      <c r="AL11" s="222"/>
      <c r="AM11" s="222"/>
      <c r="AN11" s="241"/>
      <c r="AO11" s="248"/>
      <c r="AP11" s="249"/>
      <c r="AQ11" s="249"/>
      <c r="AR11" s="249"/>
      <c r="AS11" s="250"/>
      <c r="AT11" s="251"/>
      <c r="AU11" s="251"/>
      <c r="AV11" s="252"/>
      <c r="AW11" s="253"/>
      <c r="AX11" s="222"/>
      <c r="AY11" s="253"/>
      <c r="AZ11" s="231"/>
      <c r="BA11" s="231"/>
    </row>
  </sheetData>
  <mergeCells count="7">
    <mergeCell ref="AO2:AU2"/>
    <mergeCell ref="AV2:AY2"/>
    <mergeCell ref="E2:F2"/>
    <mergeCell ref="G2:O2"/>
    <mergeCell ref="P2:AA2"/>
    <mergeCell ref="AB2:AF2"/>
    <mergeCell ref="AG2:AN2"/>
  </mergeCells>
  <dataValidations count="8">
    <dataValidation type="list" operator="equal" allowBlank="1" showInputMessage="1" showErrorMessage="1" sqref="AD11 IZ11 SV11 ACR11 AMN11 AWJ11 BGF11 BQB11 BZX11 CJT11 CTP11 DDL11 DNH11 DXD11 EGZ11 EQV11 FAR11 FKN11 FUJ11 GEF11 GOB11 GXX11 HHT11 HRP11 IBL11 ILH11 IVD11 JEZ11 JOV11 JYR11 KIN11 KSJ11 LCF11 LMB11 LVX11 MFT11 MPP11 MZL11 NJH11 NTD11 OCZ11 OMV11 OWR11 PGN11 PQJ11 QAF11 QKB11 QTX11 RDT11 RNP11 RXL11 SHH11 SRD11 TAZ11 TKV11 TUR11 UEN11 UOJ11 UYF11 VIB11 VRX11 WBT11 WLP11 WVL11">
      <formula1>"Fixed,Variable"</formula1>
      <formula2>0</formula2>
    </dataValidation>
    <dataValidation type="list" operator="equal" allowBlank="1" showInputMessage="1" showErrorMessage="1" sqref="AU11 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formula1>"Qtrly Adv,Qtry Ars,Monthly Adv,Monthly Ars"</formula1>
      <formula2>0</formula2>
    </dataValidation>
    <dataValidation type="list" operator="equal" allowBlank="1" showInputMessage="1" showErrorMessage="1" sqref="Q11 IN11 SJ11 ACF11 AMB11 AVX11 BFT11 BPP11 BZL11 CJH11 CTD11 DCZ11 DMV11 DWR11 EGN11 EQJ11 FAF11 FKB11 FTX11 GDT11 GNP11 GXL11 HHH11 HRD11 IAZ11 IKV11 IUR11 JEN11 JOJ11 JYF11 KIB11 KRX11 LBT11 LLP11 LVL11 MFH11 MPD11 MYZ11 NIV11 NSR11 OCN11 OMJ11 OWF11 PGB11 PPX11 PZT11 QJP11 QTL11 RDH11 RND11 RWZ11 SGV11 SQR11 TAN11 TKJ11 TUF11 UEB11 UNX11 UXT11 VHP11 VRL11 WBH11 WLD11 WUZ11">
      <formula1>"KW,KVA"</formula1>
      <formula2>0</formula2>
    </dataValidation>
    <dataValidation type="list" operator="equal" allowBlank="1" showInputMessage="1" showErrorMessage="1" sqref="AG11 JC11 SY11 ACU11 AMQ11 AWM11 BGI11 BQE11 CAA11 CJW11 CTS11 DDO11 DNK11 DXG11 EHC11 EQY11 FAU11 FKQ11 FUM11 GEI11 GOE11 GYA11 HHW11 HRS11 IBO11 ILK11 IVG11 JFC11 JOY11 JYU11 KIQ11 KSM11 LCI11 LME11 LWA11 MFW11 MPS11 MZO11 NJK11 NTG11 ODC11 OMY11 OWU11 PGQ11 PQM11 QAI11 QKE11 QUA11 RDW11 RNS11 RXO11 SHK11 SRG11 TBC11 TKY11 TUU11 UEQ11 UOM11 UYI11 VIE11 VSA11 WBW11 WLS11 WVO11">
      <formula1>"No of Seats,Space"</formula1>
      <formula2>0</formula2>
    </dataValidation>
    <dataValidation type="list" operator="equal" allowBlank="1" showInputMessage="1" showErrorMessage="1" promptTitle="Rack, U Space, Cage" sqref="G11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formula1>"Space,Rack,U space"</formula1>
      <formula2>0</formula2>
    </dataValidation>
    <dataValidation type="list" operator="equal" allowBlank="1" showInputMessage="1" showErrorMessage="1" sqref="E11 IB11 RX11 ABT11 ALP11 AVL11 BFH11 BPD11 BYZ11 CIV11 CSR11 DCN11 DMJ11 DWF11 EGB11 EPX11 EZT11 FJP11 FTL11 GDH11 GND11 GWZ11 HGV11 HQR11 IAN11 IKJ11 IUF11 JEB11 JNX11 JXT11 KHP11 KRL11 LBH11 LLD11 LUZ11 MEV11 MOR11 MYN11 NIJ11 NSF11 OCB11 OLX11 OVT11 PFP11 PPL11 PZH11 QJD11 QSZ11 RCV11 RMR11 RWN11 SGJ11 SQF11 TAB11 TJX11 TTT11 UDP11 UNL11 UXH11 VHD11 VQZ11 WAV11 WKR11 WUN11">
      <formula1>"Rated,Subscribed"</formula1>
      <formula2>0</formula2>
    </dataValidation>
    <dataValidation type="list" operator="equal" allowBlank="1" showInputMessage="1" showErrorMessage="1" sqref="F11 IC11 RY11 ABU11 ALQ11 AVM11 BFI11 BPE11 BZA11 CIW11 CSS11 DCO11 DMK11 DWG11 EGC11 EPY11 EZU11 FJQ11 FTM11 GDI11 GNE11 GXA11 HGW11 HQS11 IAO11 IKK11 IUG11 JEC11 JNY11 JXU11 KHQ11 KRM11 LBI11 LLE11 LVA11 MEW11 MOS11 MYO11 NIK11 NSG11 OCC11 OLY11 OVU11 PFQ11 PPM11 PZI11 QJE11 QTA11 RCW11 RMS11 RWO11 SGK11 SQG11 TAC11 TJY11 TTU11 UDQ11 UNM11 UXI11 VHE11 VRA11 WAW11 WKS11 WUO11">
      <formula1>"Bundled,Metered"</formula1>
      <formula2>0</formula2>
    </dataValidation>
    <dataValidation type="list" operator="equal" allowBlank="1" showInputMessage="1" showErrorMessage="1" promptTitle="Rack, U Space, Cage" sqref="H11 IE11 SA11 ABW11 ALS11 AVO11 BFK11 BPG11 BZC11 CIY11 CSU11 DCQ11 DMM11 DWI11 EGE11 EQA11 EZW11 FJS11 FTO11 GDK11 GNG11 GXC11 HGY11 HQU11 IAQ11 IKM11 IUI11 JEE11 JOA11 JXW11 KHS11 KRO11 LBK11 LLG11 LVC11 MEY11 MOU11 MYQ11 NIM11 NSI11 OCE11 OMA11 OVW11 PFS11 PPO11 PZK11 QJG11 QTC11 RCY11 RMU11 RWQ11 SGM11 SQI11 TAE11 TKA11 TTW11 UDS11 UNO11 UXK11 VHG11 VRC11 WAY11 WKU11 WUQ11">
      <formula1>"Caged,Uncaged"</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Inventory Summary</vt:lpstr>
      <vt:lpstr>Facility details </vt:lpstr>
      <vt:lpstr>Customer details</vt:lpstr>
      <vt:lpstr>Disconnection details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Prabakar</dc:creator>
  <cp:keywords/>
  <dc:description/>
  <cp:lastModifiedBy>Tapan Kumar Modak</cp:lastModifiedBy>
  <cp:revision>8</cp:revision>
  <dcterms:created xsi:type="dcterms:W3CDTF">2008-09-01T12:11:01Z</dcterms:created>
  <dcterms:modified xsi:type="dcterms:W3CDTF">2026-03-05T11:17:01Z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