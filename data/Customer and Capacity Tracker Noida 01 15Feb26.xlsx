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https://sify-my.sharepoint.com/personal/ramesh_bhatt_sifycorp_com/Documents/backup/Noida-01/DCCP Capacity/2026/Feb 26/"/>
    </mc:Choice>
  </mc:AlternateContent>
  <xr:revisionPtr revIDLastSave="1083" documentId="13_ncr:1_{7FDA66F5-36EC-4CDD-A6BE-B65B8BF566F6}" xr6:coauthVersionLast="47" xr6:coauthVersionMax="47" xr10:uidLastSave="{A8C02C0A-5E51-4FA8-86CE-0D264618D929}"/>
  <bookViews>
    <workbookView xWindow="-110" yWindow="-110" windowWidth="19420" windowHeight="10300" tabRatio="778" activeTab="2" xr2:uid="{00000000-000D-0000-FFFF-FFFF00000000}"/>
  </bookViews>
  <sheets>
    <sheet name="Summary" sheetId="21" r:id="rId1"/>
    <sheet name="Terminated" sheetId="22" r:id="rId2"/>
    <sheet name="Noida-01" sheetId="20" r:id="rId3"/>
    <sheet name="Noida-02" sheetId="23" r:id="rId4"/>
  </sheets>
  <definedNames>
    <definedName name="_xlnm._FilterDatabase" localSheetId="2" hidden="1">'Noida-01'!$A$3:$CC$120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13" i="23" l="1"/>
  <c r="Y20" i="23" l="1"/>
  <c r="Y21" i="23"/>
  <c r="T21" i="23" s="1"/>
  <c r="Y22" i="23"/>
  <c r="O49" i="22" l="1"/>
  <c r="V49" i="22" s="1"/>
  <c r="W49" i="22"/>
  <c r="R49" i="22" s="1"/>
  <c r="S49" i="22" s="1"/>
  <c r="Y6" i="23"/>
  <c r="Y5" i="23"/>
  <c r="Y4" i="23"/>
  <c r="Y3" i="23"/>
  <c r="Y7" i="23"/>
  <c r="U49" i="22" l="1"/>
  <c r="X49" i="22"/>
  <c r="Z223" i="20"/>
  <c r="Z224" i="20"/>
  <c r="Z225" i="20"/>
  <c r="Z226" i="20"/>
  <c r="Z227" i="20"/>
  <c r="Z214" i="20"/>
  <c r="Z215" i="20"/>
  <c r="Z216" i="20"/>
  <c r="Z217" i="20"/>
  <c r="Z218" i="20"/>
  <c r="Z219" i="20"/>
  <c r="Z220" i="20"/>
  <c r="Z221" i="20"/>
  <c r="Z222" i="20"/>
  <c r="Z213" i="20"/>
  <c r="Z212" i="20"/>
  <c r="Z210" i="20"/>
  <c r="Z208" i="20"/>
  <c r="Z205" i="20"/>
  <c r="Z206" i="20"/>
  <c r="Z207" i="20"/>
  <c r="Z203" i="20"/>
  <c r="Z204" i="20"/>
  <c r="Z201" i="20"/>
  <c r="Z202" i="20"/>
  <c r="Z198" i="20"/>
  <c r="Z199" i="20"/>
  <c r="Z200" i="20"/>
  <c r="Z196" i="20"/>
  <c r="Z197" i="20"/>
  <c r="Z192" i="20"/>
  <c r="Z193" i="20"/>
  <c r="Z194" i="20"/>
  <c r="Z195" i="20"/>
  <c r="Z191" i="20"/>
  <c r="Z188" i="20"/>
  <c r="Z176" i="20"/>
  <c r="Z177" i="20"/>
  <c r="Z178" i="20"/>
  <c r="Z179" i="20"/>
  <c r="Z180" i="20"/>
  <c r="Z175" i="20"/>
  <c r="Z171" i="20"/>
  <c r="Z172" i="20"/>
  <c r="Z170" i="20"/>
  <c r="Z48" i="22"/>
  <c r="S48" i="22"/>
  <c r="X48" i="22" s="1"/>
  <c r="O48" i="22"/>
  <c r="K48" i="22"/>
  <c r="H48" i="22"/>
  <c r="Z155" i="20" l="1"/>
  <c r="Z158" i="20" l="1"/>
  <c r="Z154" i="20"/>
  <c r="Z141" i="20"/>
  <c r="Z142" i="20"/>
  <c r="Z140" i="20"/>
  <c r="Z129" i="20"/>
  <c r="Z130" i="20"/>
  <c r="Z131" i="20"/>
  <c r="Z132" i="20"/>
  <c r="Z133" i="20"/>
  <c r="Z134" i="20"/>
  <c r="Z128" i="20"/>
  <c r="Z93" i="20" l="1"/>
  <c r="Z94" i="20"/>
  <c r="Z95" i="20"/>
  <c r="Z96" i="20"/>
  <c r="Z97" i="20"/>
  <c r="Z98" i="20"/>
  <c r="Z99" i="20"/>
  <c r="Z100" i="20"/>
  <c r="Z101" i="20"/>
  <c r="Z102" i="20"/>
  <c r="Z103" i="20"/>
  <c r="Z104" i="20"/>
  <c r="Z92" i="20"/>
  <c r="Z78" i="20"/>
  <c r="Z79" i="20"/>
  <c r="Z80" i="20"/>
  <c r="Z81" i="20"/>
  <c r="Z82" i="20"/>
  <c r="Z83" i="20"/>
  <c r="Z84" i="20"/>
  <c r="Z85" i="20"/>
  <c r="Z86" i="20"/>
  <c r="Z87" i="20"/>
  <c r="Z77" i="20"/>
  <c r="Z68" i="20" l="1"/>
  <c r="BL17" i="20" l="1"/>
  <c r="Z69" i="20" l="1"/>
  <c r="Z61" i="20"/>
  <c r="Z62" i="20"/>
  <c r="Z63" i="20"/>
  <c r="Z64" i="20"/>
  <c r="Z65" i="20"/>
  <c r="Z66" i="20"/>
  <c r="Z67" i="20"/>
  <c r="Z60" i="20"/>
  <c r="Z57" i="20"/>
  <c r="Z56" i="20"/>
  <c r="Z53" i="20"/>
  <c r="Z54" i="20"/>
  <c r="Z52" i="20"/>
  <c r="Z44" i="20"/>
  <c r="Z42" i="20"/>
  <c r="Z39" i="20"/>
  <c r="Z14" i="20"/>
  <c r="Z15" i="20"/>
  <c r="Z16" i="20"/>
  <c r="Z17" i="20"/>
  <c r="Z18" i="20"/>
  <c r="Z13" i="20"/>
  <c r="Z10" i="20"/>
  <c r="Z9" i="20"/>
  <c r="Z7" i="20"/>
  <c r="Z5" i="20"/>
  <c r="Z6" i="20"/>
  <c r="Z4" i="20"/>
  <c r="M13" i="21"/>
  <c r="M12" i="21"/>
  <c r="X22" i="23"/>
  <c r="AB22" i="23"/>
  <c r="T22" i="23"/>
  <c r="U22" i="23" s="1"/>
  <c r="Z22" i="23" l="1"/>
  <c r="W22" i="23"/>
  <c r="U13" i="20" l="1"/>
  <c r="V139" i="20"/>
  <c r="AA139" i="20" s="1"/>
  <c r="AP139" i="20"/>
  <c r="N139" i="20"/>
  <c r="K139" i="20"/>
  <c r="AC139" i="20"/>
  <c r="R139" i="20"/>
  <c r="Y139" i="20" s="1"/>
  <c r="X139" i="20" l="1"/>
  <c r="S47" i="22"/>
  <c r="X47" i="22" s="1"/>
  <c r="H47" i="22"/>
  <c r="U47" i="22" l="1"/>
  <c r="U21" i="23" l="1"/>
  <c r="H28" i="23"/>
  <c r="K27" i="23"/>
  <c r="H27" i="23"/>
  <c r="K26" i="23"/>
  <c r="H26" i="23"/>
  <c r="S19" i="23"/>
  <c r="AH21" i="23"/>
  <c r="AB21" i="23"/>
  <c r="Q21" i="23"/>
  <c r="X21" i="23" s="1"/>
  <c r="AH20" i="23"/>
  <c r="AB20" i="23"/>
  <c r="Q20" i="23"/>
  <c r="X20" i="23" s="1"/>
  <c r="J20" i="23"/>
  <c r="V8" i="20"/>
  <c r="N8" i="20"/>
  <c r="K8" i="20"/>
  <c r="AC8" i="20"/>
  <c r="R8" i="20"/>
  <c r="Y8" i="20" s="1"/>
  <c r="BT8" i="20" s="1"/>
  <c r="U68" i="20"/>
  <c r="V68" i="20" s="1"/>
  <c r="X68" i="20" s="1"/>
  <c r="Y68" i="20"/>
  <c r="N68" i="20"/>
  <c r="T20" i="23" l="1"/>
  <c r="U20" i="23" s="1"/>
  <c r="W20" i="23" s="1"/>
  <c r="X8" i="20"/>
  <c r="W21" i="23"/>
  <c r="Y19" i="23"/>
  <c r="K29" i="23"/>
  <c r="X19" i="23"/>
  <c r="Z21" i="23"/>
  <c r="AB3" i="23"/>
  <c r="T19" i="23" l="1"/>
  <c r="Z20" i="23"/>
  <c r="W19" i="23"/>
  <c r="BI46" i="22" l="1"/>
  <c r="AP46" i="22"/>
  <c r="AO46" i="22"/>
  <c r="BH46" i="22" s="1"/>
  <c r="AI46" i="22"/>
  <c r="AF46" i="22"/>
  <c r="Z46" i="22"/>
  <c r="W46" i="22"/>
  <c r="R46" i="22" s="1"/>
  <c r="S46" i="22" s="1"/>
  <c r="O46" i="22"/>
  <c r="V46" i="22" s="1"/>
  <c r="K46" i="22"/>
  <c r="H46" i="22"/>
  <c r="Z45" i="22"/>
  <c r="W45" i="22"/>
  <c r="S45" i="22"/>
  <c r="O45" i="22"/>
  <c r="V45" i="22" s="1"/>
  <c r="BQ45" i="22" s="1"/>
  <c r="H45" i="22"/>
  <c r="AQ44" i="22"/>
  <c r="AP44" i="22"/>
  <c r="AO44" i="22"/>
  <c r="AI44" i="22"/>
  <c r="AF44" i="22"/>
  <c r="Z44" i="22"/>
  <c r="Y44" i="22"/>
  <c r="S44" i="22"/>
  <c r="X44" i="22" s="1"/>
  <c r="O44" i="22"/>
  <c r="V44" i="22" s="1"/>
  <c r="BM44" i="22" s="1"/>
  <c r="N44" i="22"/>
  <c r="AM44" i="22" s="1"/>
  <c r="K44" i="22"/>
  <c r="H44" i="22"/>
  <c r="N37" i="20"/>
  <c r="K37" i="20"/>
  <c r="AC37" i="20"/>
  <c r="Y32" i="20"/>
  <c r="N32" i="20"/>
  <c r="K32" i="20"/>
  <c r="AC32" i="20"/>
  <c r="Y26" i="20"/>
  <c r="K26" i="20"/>
  <c r="AC26" i="20"/>
  <c r="V37" i="20"/>
  <c r="AA37" i="20" s="1"/>
  <c r="V32" i="20"/>
  <c r="AA32" i="20" s="1"/>
  <c r="V26" i="20"/>
  <c r="AA26" i="20" s="1"/>
  <c r="Y13" i="20"/>
  <c r="AT13" i="20"/>
  <c r="AS13" i="20"/>
  <c r="AR13" i="20"/>
  <c r="AL13" i="20"/>
  <c r="AI13" i="20"/>
  <c r="AC13" i="20"/>
  <c r="AB13" i="20"/>
  <c r="V13" i="20"/>
  <c r="AA13" i="20" s="1"/>
  <c r="Q13" i="20"/>
  <c r="AP13" i="20" s="1"/>
  <c r="N13" i="20"/>
  <c r="K13" i="20"/>
  <c r="BI43" i="22"/>
  <c r="AQ43" i="22"/>
  <c r="AP43" i="22"/>
  <c r="AO43" i="22"/>
  <c r="AI43" i="22"/>
  <c r="AF43" i="22"/>
  <c r="Z43" i="22"/>
  <c r="Y43" i="22"/>
  <c r="S43" i="22"/>
  <c r="X43" i="22" s="1"/>
  <c r="O43" i="22"/>
  <c r="N43" i="22"/>
  <c r="AM43" i="22" s="1"/>
  <c r="H43" i="22"/>
  <c r="U17" i="20"/>
  <c r="BO46" i="22" l="1"/>
  <c r="X46" i="22"/>
  <c r="AN46" i="22" s="1"/>
  <c r="U46" i="22"/>
  <c r="BM46" i="22"/>
  <c r="BQ46" i="22"/>
  <c r="BS46" i="22"/>
  <c r="U45" i="22"/>
  <c r="X26" i="20"/>
  <c r="X32" i="20"/>
  <c r="AN44" i="22"/>
  <c r="U44" i="22"/>
  <c r="AR44" i="22"/>
  <c r="BF44" i="22"/>
  <c r="BQ44" i="22"/>
  <c r="AN43" i="22"/>
  <c r="BF43" i="22" s="1"/>
  <c r="AQ13" i="20"/>
  <c r="BI13" i="20" s="1"/>
  <c r="BT13" i="20"/>
  <c r="BP13" i="20"/>
  <c r="X13" i="20"/>
  <c r="AR43" i="22"/>
  <c r="U43" i="22"/>
  <c r="BJ43" i="22" s="1"/>
  <c r="BV46" i="22" l="1"/>
  <c r="BF46" i="22"/>
  <c r="BG46" i="22" s="1"/>
  <c r="BN46" i="22" s="1"/>
  <c r="BP46" i="22" s="1"/>
  <c r="BB46" i="22"/>
  <c r="BT46" i="22"/>
  <c r="BW46" i="22" s="1"/>
  <c r="AR46" i="22"/>
  <c r="BA44" i="22"/>
  <c r="AZ44" i="22"/>
  <c r="AU13" i="20"/>
  <c r="BD13" i="20" s="1"/>
  <c r="AZ43" i="22"/>
  <c r="BA46" i="22" l="1"/>
  <c r="AZ46" i="22"/>
  <c r="BR46" i="22"/>
  <c r="BL46" i="22"/>
  <c r="BU46" i="22"/>
  <c r="BX46" i="22" s="1"/>
  <c r="BC13" i="20"/>
  <c r="BL63" i="20"/>
  <c r="U64" i="20"/>
  <c r="U65" i="20"/>
  <c r="AC63" i="20"/>
  <c r="AC64" i="20"/>
  <c r="AC65" i="20"/>
  <c r="N63" i="20"/>
  <c r="N64" i="20"/>
  <c r="N65" i="20"/>
  <c r="U63" i="20"/>
  <c r="R14" i="20"/>
  <c r="R17" i="20"/>
  <c r="Y17" i="20" s="1"/>
  <c r="BT17" i="20" s="1"/>
  <c r="K17" i="20"/>
  <c r="Y84" i="20"/>
  <c r="BJ42" i="22" l="1"/>
  <c r="BI42" i="22"/>
  <c r="AO42" i="22"/>
  <c r="BH42" i="22" s="1"/>
  <c r="AL42" i="22"/>
  <c r="AP42" i="22" s="1"/>
  <c r="AI42" i="22"/>
  <c r="AF42" i="22"/>
  <c r="Z42" i="22"/>
  <c r="W42" i="22"/>
  <c r="S42" i="22"/>
  <c r="O42" i="22"/>
  <c r="V42" i="22" s="1"/>
  <c r="N42" i="22"/>
  <c r="AM42" i="22" s="1"/>
  <c r="K42" i="22"/>
  <c r="H42" i="22"/>
  <c r="H40" i="22"/>
  <c r="K40" i="22"/>
  <c r="N40" i="22"/>
  <c r="AM40" i="22" s="1"/>
  <c r="O40" i="22"/>
  <c r="S40" i="22"/>
  <c r="X40" i="22" s="1"/>
  <c r="AN40" i="22" s="1"/>
  <c r="W40" i="22"/>
  <c r="Z40" i="22"/>
  <c r="AF40" i="22"/>
  <c r="AI40" i="22"/>
  <c r="AL40" i="22"/>
  <c r="AP40" i="22" s="1"/>
  <c r="AO40" i="22"/>
  <c r="BI40" i="22"/>
  <c r="BJ40" i="22"/>
  <c r="H41" i="22"/>
  <c r="K41" i="22"/>
  <c r="N41" i="22"/>
  <c r="AM41" i="22" s="1"/>
  <c r="O41" i="22"/>
  <c r="V41" i="22" s="1"/>
  <c r="S41" i="22"/>
  <c r="U41" i="22" s="1"/>
  <c r="W41" i="22"/>
  <c r="Z41" i="22"/>
  <c r="AF41" i="22"/>
  <c r="AI41" i="22"/>
  <c r="AO41" i="22"/>
  <c r="BH41" i="22" s="1"/>
  <c r="AP41" i="22"/>
  <c r="BI41" i="22"/>
  <c r="BJ41" i="22"/>
  <c r="BS42" i="22" l="1"/>
  <c r="U42" i="22"/>
  <c r="BS40" i="22"/>
  <c r="BO42" i="22"/>
  <c r="BO41" i="22"/>
  <c r="BH40" i="22"/>
  <c r="BO40" i="22" s="1"/>
  <c r="BM42" i="22"/>
  <c r="BQ42" i="22"/>
  <c r="U40" i="22"/>
  <c r="X41" i="22"/>
  <c r="AN41" i="22" s="1"/>
  <c r="BT41" i="22" s="1"/>
  <c r="BS41" i="22"/>
  <c r="X42" i="22"/>
  <c r="AN42" i="22" s="1"/>
  <c r="AR42" i="22" s="1"/>
  <c r="BQ41" i="22"/>
  <c r="BM41" i="22"/>
  <c r="BF40" i="22"/>
  <c r="AR40" i="22"/>
  <c r="V40" i="22"/>
  <c r="BT40" i="22" s="1"/>
  <c r="BG40" i="22" l="1"/>
  <c r="BV42" i="22"/>
  <c r="BW41" i="22"/>
  <c r="BV41" i="22"/>
  <c r="BU40" i="22"/>
  <c r="BC40" i="22"/>
  <c r="BC41" i="22"/>
  <c r="BB41" i="22"/>
  <c r="BR41" i="22" s="1"/>
  <c r="AZ42" i="22"/>
  <c r="BA42" i="22"/>
  <c r="BF42" i="22"/>
  <c r="BG42" i="22" s="1"/>
  <c r="BN42" i="22" s="1"/>
  <c r="BP42" i="22" s="1"/>
  <c r="BU41" i="22"/>
  <c r="BX41" i="22" s="1"/>
  <c r="AR41" i="22"/>
  <c r="AZ41" i="22" s="1"/>
  <c r="BC42" i="22"/>
  <c r="BT42" i="22"/>
  <c r="BB42" i="22"/>
  <c r="BF41" i="22"/>
  <c r="BG41" i="22" s="1"/>
  <c r="BN41" i="22" s="1"/>
  <c r="BP41" i="22" s="1"/>
  <c r="BA40" i="22"/>
  <c r="AZ40" i="22"/>
  <c r="BM40" i="22"/>
  <c r="BQ40" i="22"/>
  <c r="BV40" i="22" s="1"/>
  <c r="BB40" i="22"/>
  <c r="AL34" i="20"/>
  <c r="Y34" i="20"/>
  <c r="V34" i="20"/>
  <c r="AA34" i="20" s="1"/>
  <c r="K34" i="20"/>
  <c r="AC34" i="20"/>
  <c r="K16" i="23"/>
  <c r="H15" i="23"/>
  <c r="H17" i="23"/>
  <c r="H16" i="23"/>
  <c r="S14" i="23"/>
  <c r="T13" i="23"/>
  <c r="U13" i="23" s="1"/>
  <c r="K10" i="23"/>
  <c r="H11" i="23"/>
  <c r="H10" i="23"/>
  <c r="H9" i="23"/>
  <c r="S8" i="23"/>
  <c r="BN40" i="22" l="1"/>
  <c r="BP40" i="22" s="1"/>
  <c r="BA41" i="22"/>
  <c r="BL41" i="22"/>
  <c r="BW42" i="22"/>
  <c r="BU42" i="22"/>
  <c r="BX42" i="22" s="1"/>
  <c r="BL42" i="22"/>
  <c r="BR42" i="22"/>
  <c r="BR40" i="22"/>
  <c r="BL40" i="22"/>
  <c r="BX40" i="22"/>
  <c r="BW40" i="22"/>
  <c r="X34" i="20"/>
  <c r="Z13" i="23"/>
  <c r="Q13" i="23"/>
  <c r="X13" i="23" s="1"/>
  <c r="X14" i="23" s="1"/>
  <c r="W13" i="23" l="1"/>
  <c r="W14" i="23" s="1"/>
  <c r="K15" i="23" l="1"/>
  <c r="K18" i="23" s="1"/>
  <c r="Y14" i="23"/>
  <c r="T14" i="23" l="1"/>
  <c r="AB209" i="20"/>
  <c r="Y209" i="20"/>
  <c r="V209" i="20"/>
  <c r="AA209" i="20" s="1"/>
  <c r="K209" i="20"/>
  <c r="X209" i="20" l="1"/>
  <c r="V144" i="20" l="1"/>
  <c r="N144" i="20"/>
  <c r="K144" i="20"/>
  <c r="AC144" i="20"/>
  <c r="R144" i="20"/>
  <c r="Y144" i="20" s="1"/>
  <c r="X144" i="20" l="1"/>
  <c r="BT144" i="20"/>
  <c r="AS69" i="20" l="1"/>
  <c r="AR69" i="20"/>
  <c r="BK69" i="20" s="1"/>
  <c r="AL69" i="20"/>
  <c r="AI69" i="20"/>
  <c r="AC69" i="20"/>
  <c r="R69" i="20"/>
  <c r="Y69" i="20" s="1"/>
  <c r="BP69" i="20" s="1"/>
  <c r="N69" i="20"/>
  <c r="K69" i="20"/>
  <c r="BL69" i="20" l="1"/>
  <c r="BV69" i="20" s="1"/>
  <c r="U69" i="20"/>
  <c r="V69" i="20" s="1"/>
  <c r="AA69" i="20" s="1"/>
  <c r="AQ69" i="20" s="1"/>
  <c r="BT69" i="20"/>
  <c r="BY69" i="20" l="1"/>
  <c r="X69" i="20"/>
  <c r="BR69" i="20"/>
  <c r="BI69" i="20"/>
  <c r="BJ69" i="20" s="1"/>
  <c r="BQ69" i="20" s="1"/>
  <c r="BE69" i="20"/>
  <c r="BW69" i="20"/>
  <c r="AU69" i="20"/>
  <c r="BS69" i="20" l="1"/>
  <c r="BO69" i="20"/>
  <c r="BU69" i="20"/>
  <c r="BC69" i="20"/>
  <c r="BD69" i="20"/>
  <c r="BZ69" i="20"/>
  <c r="BX69" i="20"/>
  <c r="CA69" i="20" s="1"/>
  <c r="Q5" i="23"/>
  <c r="BI39" i="22" l="1"/>
  <c r="AQ39" i="22"/>
  <c r="AP39" i="22"/>
  <c r="AO39" i="22"/>
  <c r="AI39" i="22"/>
  <c r="AF39" i="22"/>
  <c r="Z39" i="22"/>
  <c r="Y39" i="22"/>
  <c r="S39" i="22"/>
  <c r="O39" i="22"/>
  <c r="V39" i="22" s="1"/>
  <c r="N39" i="22"/>
  <c r="AM39" i="22" s="1"/>
  <c r="K39" i="22"/>
  <c r="H39" i="22"/>
  <c r="Y107" i="20"/>
  <c r="Y113" i="20"/>
  <c r="N113" i="20"/>
  <c r="K113" i="20"/>
  <c r="AC113" i="20"/>
  <c r="N107" i="20"/>
  <c r="K107" i="20"/>
  <c r="AC107" i="20"/>
  <c r="V107" i="20"/>
  <c r="X107" i="20" s="1"/>
  <c r="V113" i="20"/>
  <c r="AA113" i="20" s="1"/>
  <c r="V185" i="20"/>
  <c r="AA185" i="20" s="1"/>
  <c r="Y185" i="20"/>
  <c r="U39" i="22" l="1"/>
  <c r="BJ39" i="22" s="1"/>
  <c r="BM39" i="22"/>
  <c r="BH39" i="22"/>
  <c r="BO39" i="22" s="1"/>
  <c r="BQ39" i="22"/>
  <c r="BK39" i="22"/>
  <c r="BD39" i="22" s="1"/>
  <c r="BT39" i="22" s="1"/>
  <c r="BW39" i="22" s="1"/>
  <c r="X39" i="22"/>
  <c r="AN39" i="22" s="1"/>
  <c r="X113" i="20"/>
  <c r="X185" i="20"/>
  <c r="BL132" i="20"/>
  <c r="AR39" i="22" l="1"/>
  <c r="BF39" i="22"/>
  <c r="BG39" i="22" s="1"/>
  <c r="BN39" i="22" s="1"/>
  <c r="BP39" i="22" s="1"/>
  <c r="BS39" i="22"/>
  <c r="BV39" i="22" s="1"/>
  <c r="Z167" i="20"/>
  <c r="U132" i="20"/>
  <c r="BU39" i="22" l="1"/>
  <c r="BX39" i="22" s="1"/>
  <c r="AZ39" i="22"/>
  <c r="BA39" i="22"/>
  <c r="BC39" i="22"/>
  <c r="BB39" i="22"/>
  <c r="Y8" i="23"/>
  <c r="V11" i="21"/>
  <c r="U101" i="20"/>
  <c r="V101" i="20" s="1"/>
  <c r="BL101" i="20"/>
  <c r="AT101" i="20"/>
  <c r="AR101" i="20"/>
  <c r="AO101" i="20"/>
  <c r="AS101" i="20" s="1"/>
  <c r="AL101" i="20"/>
  <c r="AC101" i="20"/>
  <c r="AB101" i="20"/>
  <c r="R101" i="20"/>
  <c r="Y101" i="20" s="1"/>
  <c r="AP101" i="20"/>
  <c r="N101" i="20"/>
  <c r="K101" i="20"/>
  <c r="BL39" i="22" l="1"/>
  <c r="BR39" i="22"/>
  <c r="X101" i="20"/>
  <c r="BP101" i="20"/>
  <c r="BT101" i="20"/>
  <c r="AQ101" i="20"/>
  <c r="BI101" i="20" s="1"/>
  <c r="BM101" i="20"/>
  <c r="BF101" i="20" l="1"/>
  <c r="BE101" i="20"/>
  <c r="BU101" i="20" s="1"/>
  <c r="AU101" i="20"/>
  <c r="BC101" i="20" s="1"/>
  <c r="V52" i="20"/>
  <c r="N52" i="20"/>
  <c r="K52" i="20"/>
  <c r="AC52" i="20"/>
  <c r="R52" i="20"/>
  <c r="Y52" i="20" s="1"/>
  <c r="BT52" i="20" s="1"/>
  <c r="BI38" i="22"/>
  <c r="AP38" i="22"/>
  <c r="AO38" i="22"/>
  <c r="AI38" i="22"/>
  <c r="AF38" i="22"/>
  <c r="Z38" i="22"/>
  <c r="W38" i="22"/>
  <c r="R38" i="22" s="1"/>
  <c r="S38" i="22" s="1"/>
  <c r="O38" i="22"/>
  <c r="V38" i="22" s="1"/>
  <c r="BM38" i="22" s="1"/>
  <c r="N38" i="22"/>
  <c r="K38" i="22"/>
  <c r="H38" i="22"/>
  <c r="H37" i="22"/>
  <c r="K37" i="22"/>
  <c r="N37" i="22"/>
  <c r="AM37" i="22" s="1"/>
  <c r="O37" i="22"/>
  <c r="V37" i="22" s="1"/>
  <c r="S37" i="22"/>
  <c r="U37" i="22" s="1"/>
  <c r="Z37" i="22"/>
  <c r="AF37" i="22"/>
  <c r="AI37" i="22"/>
  <c r="AO37" i="22"/>
  <c r="AP37" i="22"/>
  <c r="AQ37" i="22"/>
  <c r="V188" i="20"/>
  <c r="X188" i="20" s="1"/>
  <c r="Y188" i="20"/>
  <c r="K188" i="20"/>
  <c r="Y24" i="20"/>
  <c r="V24" i="20"/>
  <c r="AA24" i="20" s="1"/>
  <c r="K24" i="20"/>
  <c r="AC24" i="20"/>
  <c r="BS38" i="22" l="1"/>
  <c r="X52" i="20"/>
  <c r="BO101" i="20"/>
  <c r="BD101" i="20"/>
  <c r="BH38" i="22"/>
  <c r="BO38" i="22" s="1"/>
  <c r="X38" i="22"/>
  <c r="AN38" i="22" s="1"/>
  <c r="U38" i="22"/>
  <c r="BQ38" i="22"/>
  <c r="BM37" i="22"/>
  <c r="BQ37" i="22"/>
  <c r="X37" i="22"/>
  <c r="AN37" i="22" s="1"/>
  <c r="AR37" i="22"/>
  <c r="BF37" i="22"/>
  <c r="AA188" i="20"/>
  <c r="X24" i="20"/>
  <c r="BV38" i="22" l="1"/>
  <c r="BB38" i="22"/>
  <c r="AR38" i="22"/>
  <c r="BF38" i="22"/>
  <c r="BG38" i="22" s="1"/>
  <c r="BN38" i="22" s="1"/>
  <c r="BP38" i="22" s="1"/>
  <c r="BT38" i="22"/>
  <c r="AZ37" i="22"/>
  <c r="BA37" i="22"/>
  <c r="BW38" i="22" l="1"/>
  <c r="BU38" i="22"/>
  <c r="BX38" i="22" s="1"/>
  <c r="BA38" i="22"/>
  <c r="AZ38" i="22"/>
  <c r="BL38" i="22"/>
  <c r="BR38" i="22"/>
  <c r="T7" i="23"/>
  <c r="U7" i="23" s="1"/>
  <c r="U226" i="20"/>
  <c r="V226" i="20" s="1"/>
  <c r="L230" i="20"/>
  <c r="I75" i="20"/>
  <c r="AT226" i="20"/>
  <c r="AS226" i="20"/>
  <c r="AR226" i="20"/>
  <c r="BK226" i="20" s="1"/>
  <c r="AP226" i="20"/>
  <c r="AL226" i="20"/>
  <c r="AI226" i="20"/>
  <c r="AC226" i="20"/>
  <c r="BM226" i="20"/>
  <c r="R226" i="20"/>
  <c r="Y226" i="20" s="1"/>
  <c r="N226" i="20"/>
  <c r="K226" i="20"/>
  <c r="T4" i="23"/>
  <c r="T5" i="23"/>
  <c r="U5" i="23" s="1"/>
  <c r="T6" i="23"/>
  <c r="U6" i="23" s="1"/>
  <c r="T3" i="23"/>
  <c r="K9" i="23"/>
  <c r="T8" i="23" l="1"/>
  <c r="BL226" i="20"/>
  <c r="BV226" i="20" s="1"/>
  <c r="BP226" i="20"/>
  <c r="BT226" i="20"/>
  <c r="X226" i="20"/>
  <c r="AA226" i="20"/>
  <c r="AQ226" i="20" s="1"/>
  <c r="BE226" i="20" l="1"/>
  <c r="BO226" i="20" s="1"/>
  <c r="BY226" i="20"/>
  <c r="BR226" i="20"/>
  <c r="AU226" i="20"/>
  <c r="BC226" i="20" s="1"/>
  <c r="BW226" i="20"/>
  <c r="BF226" i="20"/>
  <c r="BI226" i="20"/>
  <c r="BJ226" i="20" s="1"/>
  <c r="BQ226" i="20" s="1"/>
  <c r="BU226" i="20" l="1"/>
  <c r="BS226" i="20"/>
  <c r="BD226" i="20"/>
  <c r="BZ226" i="20"/>
  <c r="BX226" i="20"/>
  <c r="CA226" i="20" s="1"/>
  <c r="V108" i="20"/>
  <c r="X108" i="20" s="1"/>
  <c r="Y108" i="20"/>
  <c r="N108" i="20"/>
  <c r="K108" i="20"/>
  <c r="AC108" i="20"/>
  <c r="V106" i="20"/>
  <c r="X106" i="20" s="1"/>
  <c r="Y106" i="20"/>
  <c r="N106" i="20"/>
  <c r="K106" i="20"/>
  <c r="AC106" i="20"/>
  <c r="V105" i="20" l="1"/>
  <c r="X105" i="20" s="1"/>
  <c r="Y105" i="20"/>
  <c r="N105" i="20"/>
  <c r="K105" i="20"/>
  <c r="AC105" i="20"/>
  <c r="V119" i="20" l="1"/>
  <c r="AA119" i="20" s="1"/>
  <c r="R119" i="20"/>
  <c r="Y119" i="20" s="1"/>
  <c r="K119" i="20"/>
  <c r="AQ36" i="22"/>
  <c r="AO36" i="22"/>
  <c r="AL36" i="22"/>
  <c r="AP36" i="22" s="1"/>
  <c r="AI36" i="22"/>
  <c r="Z36" i="22"/>
  <c r="Y36" i="22"/>
  <c r="W36" i="22"/>
  <c r="R36" i="22" s="1"/>
  <c r="S36" i="22" s="1"/>
  <c r="O36" i="22"/>
  <c r="V36" i="22" s="1"/>
  <c r="N36" i="22"/>
  <c r="AM36" i="22" s="1"/>
  <c r="K36" i="22"/>
  <c r="H36" i="22"/>
  <c r="BI35" i="22"/>
  <c r="AQ35" i="22"/>
  <c r="AO35" i="22"/>
  <c r="AL35" i="22"/>
  <c r="AP35" i="22" s="1"/>
  <c r="AI35" i="22"/>
  <c r="Z35" i="22"/>
  <c r="Y35" i="22"/>
  <c r="S35" i="22"/>
  <c r="X35" i="22" s="1"/>
  <c r="O35" i="22"/>
  <c r="V35" i="22" s="1"/>
  <c r="BK35" i="22" s="1"/>
  <c r="BS35" i="22" s="1"/>
  <c r="N35" i="22"/>
  <c r="AM35" i="22" s="1"/>
  <c r="K35" i="22"/>
  <c r="H35" i="22"/>
  <c r="AN35" i="22" l="1"/>
  <c r="BF35" i="22" s="1"/>
  <c r="BI36" i="22"/>
  <c r="U35" i="22"/>
  <c r="BJ35" i="22" s="1"/>
  <c r="BC35" i="22" s="1"/>
  <c r="BB35" i="22"/>
  <c r="BL35" i="22" s="1"/>
  <c r="X119" i="20"/>
  <c r="BV35" i="22"/>
  <c r="X36" i="22"/>
  <c r="AN36" i="22" s="1"/>
  <c r="BF36" i="22" s="1"/>
  <c r="U36" i="22"/>
  <c r="BJ36" i="22" s="1"/>
  <c r="BC36" i="22" s="1"/>
  <c r="AR35" i="22"/>
  <c r="BH36" i="22"/>
  <c r="BO36" i="22" s="1"/>
  <c r="BM36" i="22"/>
  <c r="BK36" i="22"/>
  <c r="BS36" i="22" s="1"/>
  <c r="BQ36" i="22"/>
  <c r="BH35" i="22"/>
  <c r="BO35" i="22" s="1"/>
  <c r="BM35" i="22"/>
  <c r="BD35" i="22"/>
  <c r="BT35" i="22" s="1"/>
  <c r="BW35" i="22" s="1"/>
  <c r="BQ35" i="22"/>
  <c r="BR35" i="22" l="1"/>
  <c r="AR36" i="22"/>
  <c r="AZ36" i="22" s="1"/>
  <c r="BU35" i="22"/>
  <c r="BX35" i="22" s="1"/>
  <c r="BB36" i="22"/>
  <c r="BR36" i="22" s="1"/>
  <c r="BA35" i="22"/>
  <c r="AZ35" i="22"/>
  <c r="BV36" i="22"/>
  <c r="BL36" i="22"/>
  <c r="BG35" i="22"/>
  <c r="BN35" i="22" s="1"/>
  <c r="BP35" i="22" s="1"/>
  <c r="BD36" i="22"/>
  <c r="BT36" i="22" s="1"/>
  <c r="BW36" i="22" s="1"/>
  <c r="BG36" i="22"/>
  <c r="BN36" i="22" s="1"/>
  <c r="BP36" i="22" s="1"/>
  <c r="BA36" i="22" l="1"/>
  <c r="BU36" i="22"/>
  <c r="BX36" i="22" s="1"/>
  <c r="W5" i="23" l="1"/>
  <c r="X5" i="23"/>
  <c r="Z5" i="23"/>
  <c r="Z7" i="23"/>
  <c r="BI34" i="22" l="1"/>
  <c r="AP34" i="22"/>
  <c r="AO34" i="22"/>
  <c r="AI34" i="22"/>
  <c r="AF34" i="22"/>
  <c r="Z34" i="22"/>
  <c r="S34" i="22"/>
  <c r="O34" i="22"/>
  <c r="V34" i="22" s="1"/>
  <c r="N34" i="22"/>
  <c r="AM34" i="22" s="1"/>
  <c r="K34" i="22"/>
  <c r="H34" i="22"/>
  <c r="U34" i="22" l="1"/>
  <c r="BJ34" i="22" s="1"/>
  <c r="X34" i="22"/>
  <c r="AN34" i="22" s="1"/>
  <c r="BB34" i="22" s="1"/>
  <c r="BM34" i="22"/>
  <c r="BK34" i="22"/>
  <c r="BS34" i="22" s="1"/>
  <c r="BH34" i="22"/>
  <c r="BO34" i="22" s="1"/>
  <c r="BQ34" i="22"/>
  <c r="BF34" i="22"/>
  <c r="AR34" i="22"/>
  <c r="BC34" i="22" l="1"/>
  <c r="BD34" i="22"/>
  <c r="BT34" i="22" s="1"/>
  <c r="BW34" i="22" s="1"/>
  <c r="BL34" i="22"/>
  <c r="BR34" i="22"/>
  <c r="BA34" i="22"/>
  <c r="AZ34" i="22"/>
  <c r="BG34" i="22"/>
  <c r="BN34" i="22" s="1"/>
  <c r="BP34" i="22" s="1"/>
  <c r="BV34" i="22"/>
  <c r="BU34" i="22" l="1"/>
  <c r="BX34" i="22" s="1"/>
  <c r="Q7" i="23"/>
  <c r="X7" i="23" l="1"/>
  <c r="W7" i="23"/>
  <c r="U131" i="20"/>
  <c r="BI31" i="22" l="1"/>
  <c r="AQ31" i="22"/>
  <c r="AO31" i="22"/>
  <c r="AL31" i="22"/>
  <c r="AP31" i="22" s="1"/>
  <c r="AI31" i="22"/>
  <c r="Z31" i="22"/>
  <c r="Y31" i="22"/>
  <c r="S31" i="22"/>
  <c r="X31" i="22" s="1"/>
  <c r="O31" i="22"/>
  <c r="V31" i="22" s="1"/>
  <c r="BM31" i="22" s="1"/>
  <c r="N31" i="22"/>
  <c r="AM31" i="22" s="1"/>
  <c r="K31" i="22"/>
  <c r="H31" i="22"/>
  <c r="K132" i="20"/>
  <c r="R132" i="20"/>
  <c r="Y132" i="20" s="1"/>
  <c r="V131" i="20"/>
  <c r="R131" i="20"/>
  <c r="Y131" i="20" s="1"/>
  <c r="K131" i="20"/>
  <c r="AQ33" i="22"/>
  <c r="AO33" i="22"/>
  <c r="AL33" i="22"/>
  <c r="AP33" i="22" s="1"/>
  <c r="AI33" i="22"/>
  <c r="Z33" i="22"/>
  <c r="W33" i="22"/>
  <c r="R33" i="22" s="1"/>
  <c r="S33" i="22" s="1"/>
  <c r="O33" i="22"/>
  <c r="V33" i="22" s="1"/>
  <c r="N33" i="22"/>
  <c r="AM33" i="22" s="1"/>
  <c r="K33" i="22"/>
  <c r="H33" i="22"/>
  <c r="AC224" i="20"/>
  <c r="V224" i="20"/>
  <c r="R224" i="20"/>
  <c r="Y224" i="20" s="1"/>
  <c r="N224" i="20"/>
  <c r="K224" i="20"/>
  <c r="AN31" i="22" l="1"/>
  <c r="BF31" i="22" s="1"/>
  <c r="BH31" i="22"/>
  <c r="BO31" i="22" s="1"/>
  <c r="BQ31" i="22"/>
  <c r="BK31" i="22"/>
  <c r="BS31" i="22" s="1"/>
  <c r="U31" i="22"/>
  <c r="BJ31" i="22" s="1"/>
  <c r="X131" i="20"/>
  <c r="BM33" i="22"/>
  <c r="BQ33" i="22"/>
  <c r="X33" i="22"/>
  <c r="AN33" i="22" s="1"/>
  <c r="AR33" i="22" s="1"/>
  <c r="U33" i="22"/>
  <c r="AA224" i="20"/>
  <c r="X224" i="20"/>
  <c r="AR31" i="22" l="1"/>
  <c r="BA31" i="22" s="1"/>
  <c r="BC31" i="22"/>
  <c r="BB31" i="22"/>
  <c r="BL31" i="22" s="1"/>
  <c r="BV31" i="22"/>
  <c r="BR31" i="22"/>
  <c r="BD31" i="22"/>
  <c r="BT31" i="22" s="1"/>
  <c r="BW31" i="22" s="1"/>
  <c r="BG31" i="22"/>
  <c r="BN31" i="22" s="1"/>
  <c r="BP31" i="22" s="1"/>
  <c r="BA33" i="22"/>
  <c r="AZ33" i="22"/>
  <c r="BF33" i="22"/>
  <c r="J5" i="23"/>
  <c r="AH6" i="23"/>
  <c r="AB6" i="23"/>
  <c r="Q6" i="23"/>
  <c r="X6" i="23" s="1"/>
  <c r="M6" i="23"/>
  <c r="J6" i="23"/>
  <c r="AH4" i="23"/>
  <c r="AB4" i="23"/>
  <c r="U4" i="23"/>
  <c r="Q4" i="23"/>
  <c r="X4" i="23" s="1"/>
  <c r="J4" i="23"/>
  <c r="AH3" i="23"/>
  <c r="U3" i="23"/>
  <c r="Q3" i="23"/>
  <c r="X3" i="23" s="1"/>
  <c r="J3" i="23"/>
  <c r="X8" i="23" l="1"/>
  <c r="AZ31" i="22"/>
  <c r="W6" i="23"/>
  <c r="Z6" i="23"/>
  <c r="Z4" i="23"/>
  <c r="W4" i="23"/>
  <c r="BU31" i="22"/>
  <c r="BX31" i="22" s="1"/>
  <c r="K12" i="23"/>
  <c r="Z3" i="23"/>
  <c r="W3" i="23"/>
  <c r="U201" i="20"/>
  <c r="BL201" i="20"/>
  <c r="W8" i="23" l="1"/>
  <c r="BI32" i="22"/>
  <c r="AQ32" i="22"/>
  <c r="AO32" i="22"/>
  <c r="AL32" i="22"/>
  <c r="AP32" i="22" s="1"/>
  <c r="AI32" i="22"/>
  <c r="Z32" i="22"/>
  <c r="S32" i="22"/>
  <c r="X32" i="22" s="1"/>
  <c r="AN32" i="22" s="1"/>
  <c r="O32" i="22"/>
  <c r="V32" i="22" s="1"/>
  <c r="N32" i="22"/>
  <c r="K32" i="22"/>
  <c r="H32" i="22"/>
  <c r="AR32" i="22" l="1"/>
  <c r="BF32" i="22"/>
  <c r="BB32" i="22"/>
  <c r="BH32" i="22"/>
  <c r="BO32" i="22" s="1"/>
  <c r="BM32" i="22"/>
  <c r="BK32" i="22"/>
  <c r="BS32" i="22" s="1"/>
  <c r="BQ32" i="22"/>
  <c r="U32" i="22"/>
  <c r="BJ32" i="22" s="1"/>
  <c r="BC32" i="22" s="1"/>
  <c r="U134" i="20"/>
  <c r="BL32" i="22" l="1"/>
  <c r="BR32" i="22"/>
  <c r="BV32" i="22"/>
  <c r="BD32" i="22"/>
  <c r="BT32" i="22" s="1"/>
  <c r="BW32" i="22" s="1"/>
  <c r="BG32" i="22"/>
  <c r="BN32" i="22" s="1"/>
  <c r="BP32" i="22" s="1"/>
  <c r="BA32" i="22"/>
  <c r="AZ32" i="22"/>
  <c r="BU32" i="22" l="1"/>
  <c r="BX32" i="22" s="1"/>
  <c r="U225" i="20" l="1"/>
  <c r="U217" i="20"/>
  <c r="K81" i="20"/>
  <c r="AT138" i="20"/>
  <c r="AR138" i="20"/>
  <c r="AP138" i="20"/>
  <c r="AO138" i="20"/>
  <c r="AS138" i="20" s="1"/>
  <c r="AL138" i="20"/>
  <c r="AC138" i="20"/>
  <c r="AB138" i="20"/>
  <c r="V138" i="20"/>
  <c r="R138" i="20"/>
  <c r="Y138" i="20" s="1"/>
  <c r="N138" i="20"/>
  <c r="K138" i="20"/>
  <c r="X138" i="20" l="1"/>
  <c r="AA138" i="20"/>
  <c r="AQ138" i="20" s="1"/>
  <c r="BP138" i="20"/>
  <c r="BT138" i="20"/>
  <c r="AU138" i="20" l="1"/>
  <c r="BD138" i="20" s="1"/>
  <c r="BI138" i="20"/>
  <c r="U130" i="20"/>
  <c r="V13" i="21"/>
  <c r="L161" i="20"/>
  <c r="I123" i="20"/>
  <c r="L123" i="20"/>
  <c r="L74" i="20"/>
  <c r="BC138" i="20" l="1"/>
  <c r="V211" i="20"/>
  <c r="AA211" i="20" s="1"/>
  <c r="V210" i="20"/>
  <c r="X210" i="20" s="1"/>
  <c r="Y210" i="20"/>
  <c r="K211" i="20"/>
  <c r="K210" i="20"/>
  <c r="AC201" i="20"/>
  <c r="R201" i="20"/>
  <c r="Y201" i="20" s="1"/>
  <c r="T228" i="20"/>
  <c r="T160" i="20"/>
  <c r="U223" i="20"/>
  <c r="V223" i="20" s="1"/>
  <c r="U57" i="20"/>
  <c r="U54" i="20"/>
  <c r="V38" i="20"/>
  <c r="N38" i="20"/>
  <c r="K38" i="20"/>
  <c r="AC38" i="20"/>
  <c r="R38" i="20"/>
  <c r="Y38" i="20" s="1"/>
  <c r="BT38" i="20" s="1"/>
  <c r="BI30" i="22"/>
  <c r="AQ30" i="22"/>
  <c r="AP30" i="22"/>
  <c r="AO30" i="22"/>
  <c r="AI30" i="22"/>
  <c r="AF30" i="22"/>
  <c r="Z30" i="22"/>
  <c r="Y30" i="22"/>
  <c r="S30" i="22"/>
  <c r="X30" i="22" s="1"/>
  <c r="O30" i="22"/>
  <c r="V30" i="22" s="1"/>
  <c r="BH30" i="22" s="1"/>
  <c r="N30" i="22"/>
  <c r="AM30" i="22" s="1"/>
  <c r="K30" i="22"/>
  <c r="H30" i="22"/>
  <c r="V25" i="20"/>
  <c r="K25" i="20"/>
  <c r="R25" i="20"/>
  <c r="Y25" i="20" s="1"/>
  <c r="BI29" i="22"/>
  <c r="AQ29" i="22"/>
  <c r="AP29" i="22"/>
  <c r="AO29" i="22"/>
  <c r="AI29" i="22"/>
  <c r="AF29" i="22"/>
  <c r="Z29" i="22"/>
  <c r="Y29" i="22"/>
  <c r="S29" i="22"/>
  <c r="X29" i="22" s="1"/>
  <c r="O29" i="22"/>
  <c r="V29" i="22" s="1"/>
  <c r="BK29" i="22" s="1"/>
  <c r="N29" i="22"/>
  <c r="AM29" i="22" s="1"/>
  <c r="K29" i="22"/>
  <c r="H29" i="22"/>
  <c r="AC223" i="20"/>
  <c r="R223" i="20"/>
  <c r="Y223" i="20" s="1"/>
  <c r="Q223" i="20"/>
  <c r="N223" i="20"/>
  <c r="K223" i="20"/>
  <c r="BO30" i="22" l="1"/>
  <c r="AN30" i="22"/>
  <c r="BS29" i="22"/>
  <c r="U29" i="22"/>
  <c r="BJ29" i="22" s="1"/>
  <c r="AA210" i="20"/>
  <c r="X25" i="20"/>
  <c r="Z160" i="20"/>
  <c r="Z228" i="20"/>
  <c r="BT201" i="20"/>
  <c r="X38" i="20"/>
  <c r="AA38" i="20"/>
  <c r="U30" i="22"/>
  <c r="BJ30" i="22" s="1"/>
  <c r="BC30" i="22" s="1"/>
  <c r="AR30" i="22"/>
  <c r="BF30" i="22"/>
  <c r="BG30" i="22" s="1"/>
  <c r="BB30" i="22"/>
  <c r="BQ30" i="22"/>
  <c r="BK30" i="22"/>
  <c r="BS30" i="22" s="1"/>
  <c r="BM30" i="22"/>
  <c r="AN29" i="22"/>
  <c r="BB29" i="22" s="1"/>
  <c r="BQ29" i="22"/>
  <c r="BV29" i="22" s="1"/>
  <c r="BM29" i="22"/>
  <c r="BH29" i="22"/>
  <c r="BO29" i="22" s="1"/>
  <c r="AA223" i="20"/>
  <c r="X223" i="20"/>
  <c r="Z28" i="22"/>
  <c r="W28" i="22"/>
  <c r="S28" i="22"/>
  <c r="X28" i="22" s="1"/>
  <c r="O28" i="22"/>
  <c r="V28" i="22" s="1"/>
  <c r="K28" i="22"/>
  <c r="H28" i="22"/>
  <c r="V15" i="21"/>
  <c r="N91" i="20"/>
  <c r="AB208" i="20"/>
  <c r="V208" i="20"/>
  <c r="Y208" i="20"/>
  <c r="K208" i="20"/>
  <c r="N83" i="20"/>
  <c r="N90" i="20"/>
  <c r="N89" i="20"/>
  <c r="L124" i="20"/>
  <c r="AQ27" i="22"/>
  <c r="AO27" i="22"/>
  <c r="AL27" i="22"/>
  <c r="AP27" i="22" s="1"/>
  <c r="AI27" i="22"/>
  <c r="Z27" i="22"/>
  <c r="Y27" i="22"/>
  <c r="S27" i="22"/>
  <c r="X27" i="22" s="1"/>
  <c r="O27" i="22"/>
  <c r="V27" i="22" s="1"/>
  <c r="N27" i="22"/>
  <c r="AM27" i="22" s="1"/>
  <c r="K27" i="22"/>
  <c r="H27" i="22"/>
  <c r="I162" i="20"/>
  <c r="I231" i="20"/>
  <c r="L162" i="20"/>
  <c r="AC217" i="20"/>
  <c r="V217" i="20"/>
  <c r="R217" i="20"/>
  <c r="Y217" i="20" s="1"/>
  <c r="N217" i="20"/>
  <c r="K217" i="20"/>
  <c r="AT134" i="20"/>
  <c r="AR134" i="20"/>
  <c r="BK134" i="20" s="1"/>
  <c r="AO134" i="20"/>
  <c r="AS134" i="20" s="1"/>
  <c r="AL134" i="20"/>
  <c r="AC134" i="20"/>
  <c r="V134" i="20"/>
  <c r="R134" i="20"/>
  <c r="Y134" i="20" s="1"/>
  <c r="Q134" i="20"/>
  <c r="AP134" i="20" s="1"/>
  <c r="N134" i="20"/>
  <c r="K175" i="20"/>
  <c r="AS141" i="20"/>
  <c r="AR141" i="20"/>
  <c r="AP141" i="20"/>
  <c r="AL141" i="20"/>
  <c r="AC141" i="20"/>
  <c r="Y141" i="20"/>
  <c r="N141" i="20"/>
  <c r="K141" i="20"/>
  <c r="V130" i="20"/>
  <c r="R130" i="20"/>
  <c r="Y130" i="20" s="1"/>
  <c r="K130" i="20"/>
  <c r="T15" i="21"/>
  <c r="T17" i="21" s="1"/>
  <c r="V118" i="20"/>
  <c r="AA118" i="20" s="1"/>
  <c r="K118" i="20"/>
  <c r="AC118" i="20"/>
  <c r="R118" i="20"/>
  <c r="Y118" i="20" s="1"/>
  <c r="AT227" i="20"/>
  <c r="AR227" i="20"/>
  <c r="AO227" i="20"/>
  <c r="AS227" i="20" s="1"/>
  <c r="AL227" i="20"/>
  <c r="AC227" i="20"/>
  <c r="V227" i="20"/>
  <c r="AA227" i="20" s="1"/>
  <c r="AQ227" i="20" s="1"/>
  <c r="R227" i="20"/>
  <c r="Y227" i="20" s="1"/>
  <c r="Q227" i="20"/>
  <c r="AP227" i="20" s="1"/>
  <c r="N227" i="20"/>
  <c r="K227" i="20"/>
  <c r="AT159" i="20"/>
  <c r="AR159" i="20"/>
  <c r="AO159" i="20"/>
  <c r="AS159" i="20" s="1"/>
  <c r="AL159" i="20"/>
  <c r="AC159" i="20"/>
  <c r="V159" i="20"/>
  <c r="AA159" i="20" s="1"/>
  <c r="AQ159" i="20" s="1"/>
  <c r="R159" i="20"/>
  <c r="Y159" i="20" s="1"/>
  <c r="Q159" i="20"/>
  <c r="AP159" i="20" s="1"/>
  <c r="N159" i="20"/>
  <c r="K159" i="20"/>
  <c r="AR29" i="22" l="1"/>
  <c r="BA29" i="22" s="1"/>
  <c r="BF29" i="22"/>
  <c r="BG29" i="22" s="1"/>
  <c r="BN29" i="22" s="1"/>
  <c r="BP29" i="22" s="1"/>
  <c r="BD29" i="22"/>
  <c r="BT29" i="22" s="1"/>
  <c r="BU29" i="22" s="1"/>
  <c r="BX29" i="22" s="1"/>
  <c r="AN27" i="22"/>
  <c r="AR27" i="22" s="1"/>
  <c r="BC29" i="22"/>
  <c r="BV30" i="22"/>
  <c r="BD30" i="22"/>
  <c r="BT30" i="22" s="1"/>
  <c r="BW30" i="22" s="1"/>
  <c r="BL30" i="22"/>
  <c r="BR30" i="22"/>
  <c r="BN30" i="22"/>
  <c r="BP30" i="22" s="1"/>
  <c r="AZ30" i="22"/>
  <c r="BA30" i="22"/>
  <c r="BR29" i="22"/>
  <c r="BL29" i="22"/>
  <c r="U28" i="22"/>
  <c r="AA208" i="20"/>
  <c r="X208" i="20"/>
  <c r="BM27" i="22"/>
  <c r="BQ27" i="22"/>
  <c r="BF27" i="22"/>
  <c r="U27" i="22"/>
  <c r="AA217" i="20"/>
  <c r="X217" i="20"/>
  <c r="BP134" i="20"/>
  <c r="BT134" i="20"/>
  <c r="X134" i="20"/>
  <c r="AA134" i="20"/>
  <c r="AQ134" i="20" s="1"/>
  <c r="AU134" i="20" s="1"/>
  <c r="BK141" i="20"/>
  <c r="BP141" i="20"/>
  <c r="BT141" i="20"/>
  <c r="U141" i="20"/>
  <c r="V141" i="20" s="1"/>
  <c r="X130" i="20"/>
  <c r="X118" i="20"/>
  <c r="BP227" i="20"/>
  <c r="BT227" i="20"/>
  <c r="AU227" i="20"/>
  <c r="BI227" i="20"/>
  <c r="X227" i="20"/>
  <c r="BT159" i="20"/>
  <c r="BP159" i="20"/>
  <c r="AU159" i="20"/>
  <c r="BI159" i="20"/>
  <c r="X159" i="20"/>
  <c r="BJ26" i="22"/>
  <c r="BI26" i="22"/>
  <c r="AQ26" i="22"/>
  <c r="AO26" i="22"/>
  <c r="BH26" i="22" s="1"/>
  <c r="AL26" i="22"/>
  <c r="AP26" i="22" s="1"/>
  <c r="AI26" i="22"/>
  <c r="Z26" i="22"/>
  <c r="Y26" i="22"/>
  <c r="W26" i="22"/>
  <c r="R26" i="22" s="1"/>
  <c r="S26" i="22" s="1"/>
  <c r="O26" i="22"/>
  <c r="V26" i="22" s="1"/>
  <c r="N26" i="22"/>
  <c r="AM26" i="22" s="1"/>
  <c r="K26" i="22"/>
  <c r="H26" i="22"/>
  <c r="AQ25" i="22"/>
  <c r="AP25" i="22"/>
  <c r="AO25" i="22"/>
  <c r="BH25" i="22" s="1"/>
  <c r="AI25" i="22"/>
  <c r="AF25" i="22"/>
  <c r="Z25" i="22"/>
  <c r="Y25" i="22"/>
  <c r="W25" i="22"/>
  <c r="S25" i="22"/>
  <c r="U25" i="22" s="1"/>
  <c r="O25" i="22"/>
  <c r="V25" i="22" s="1"/>
  <c r="N25" i="22"/>
  <c r="AM25" i="22" s="1"/>
  <c r="H25" i="22"/>
  <c r="AQ24" i="22"/>
  <c r="AP24" i="22"/>
  <c r="AO24" i="22"/>
  <c r="BH24" i="22" s="1"/>
  <c r="AI24" i="22"/>
  <c r="AF24" i="22"/>
  <c r="Z24" i="22"/>
  <c r="W24" i="22"/>
  <c r="S24" i="22"/>
  <c r="X24" i="22" s="1"/>
  <c r="AN24" i="22" s="1"/>
  <c r="O24" i="22"/>
  <c r="V24" i="22" s="1"/>
  <c r="N24" i="22"/>
  <c r="AM24" i="22" s="1"/>
  <c r="K24" i="22"/>
  <c r="H24" i="22"/>
  <c r="AP23" i="22"/>
  <c r="AO23" i="22"/>
  <c r="AM23" i="22"/>
  <c r="AI23" i="22"/>
  <c r="Z23" i="22"/>
  <c r="W23" i="22"/>
  <c r="R23" i="22" s="1"/>
  <c r="S23" i="22" s="1"/>
  <c r="O23" i="22"/>
  <c r="V23" i="22" s="1"/>
  <c r="K23" i="22"/>
  <c r="H23" i="22"/>
  <c r="AP22" i="22"/>
  <c r="AO22" i="22"/>
  <c r="AM22" i="22"/>
  <c r="AI22" i="22"/>
  <c r="Z22" i="22"/>
  <c r="W22" i="22"/>
  <c r="R22" i="22" s="1"/>
  <c r="S22" i="22" s="1"/>
  <c r="O22" i="22"/>
  <c r="V22" i="22" s="1"/>
  <c r="K22" i="22"/>
  <c r="H22" i="22"/>
  <c r="BI21" i="22"/>
  <c r="AP21" i="22"/>
  <c r="AO21" i="22"/>
  <c r="AI21" i="22"/>
  <c r="AF21" i="22"/>
  <c r="Z21" i="22"/>
  <c r="Y21" i="22"/>
  <c r="S21" i="22"/>
  <c r="X21" i="22" s="1"/>
  <c r="O21" i="22"/>
  <c r="N21" i="22"/>
  <c r="AM21" i="22" s="1"/>
  <c r="K21" i="22"/>
  <c r="H21" i="22"/>
  <c r="BW29" i="22" l="1"/>
  <c r="AZ29" i="22"/>
  <c r="BU30" i="22"/>
  <c r="BX30" i="22" s="1"/>
  <c r="BA27" i="22"/>
  <c r="AZ27" i="22"/>
  <c r="BI134" i="20"/>
  <c r="BJ134" i="20" s="1"/>
  <c r="BQ134" i="20" s="1"/>
  <c r="BW134" i="20"/>
  <c r="BD134" i="20"/>
  <c r="BC134" i="20"/>
  <c r="X141" i="20"/>
  <c r="AA141" i="20"/>
  <c r="AQ141" i="20" s="1"/>
  <c r="BD227" i="20"/>
  <c r="BC227" i="20"/>
  <c r="BO26" i="22"/>
  <c r="BD159" i="20"/>
  <c r="BC159" i="20"/>
  <c r="BS26" i="22"/>
  <c r="X26" i="22"/>
  <c r="AN26" i="22" s="1"/>
  <c r="BC26" i="22" s="1"/>
  <c r="U26" i="22"/>
  <c r="BQ26" i="22"/>
  <c r="BM26" i="22"/>
  <c r="U24" i="22"/>
  <c r="X25" i="22"/>
  <c r="AN25" i="22" s="1"/>
  <c r="BM25" i="22"/>
  <c r="BK25" i="22"/>
  <c r="BQ25" i="22"/>
  <c r="AR24" i="22"/>
  <c r="BT24" i="22"/>
  <c r="BF24" i="22"/>
  <c r="BG24" i="22" s="1"/>
  <c r="BQ24" i="22"/>
  <c r="BM24" i="22"/>
  <c r="BK24" i="22"/>
  <c r="BD24" i="22" s="1"/>
  <c r="BH23" i="22"/>
  <c r="BQ23" i="22"/>
  <c r="BM23" i="22"/>
  <c r="BK23" i="22"/>
  <c r="U23" i="22"/>
  <c r="BJ23" i="22" s="1"/>
  <c r="X23" i="22"/>
  <c r="AN23" i="22" s="1"/>
  <c r="BF23" i="22" s="1"/>
  <c r="BI23" i="22"/>
  <c r="BH22" i="22"/>
  <c r="BM22" i="22"/>
  <c r="BK22" i="22"/>
  <c r="BQ22" i="22"/>
  <c r="U22" i="22"/>
  <c r="BJ22" i="22" s="1"/>
  <c r="X22" i="22"/>
  <c r="AN22" i="22" s="1"/>
  <c r="BF22" i="22" s="1"/>
  <c r="BI22" i="22"/>
  <c r="AN21" i="22"/>
  <c r="AR21" i="22" s="1"/>
  <c r="BB21" i="22"/>
  <c r="BG23" i="22" l="1"/>
  <c r="BN23" i="22" s="1"/>
  <c r="BS22" i="22"/>
  <c r="AR26" i="22"/>
  <c r="AZ26" i="22" s="1"/>
  <c r="BF26" i="22"/>
  <c r="BG26" i="22" s="1"/>
  <c r="BN26" i="22" s="1"/>
  <c r="BP26" i="22" s="1"/>
  <c r="BB26" i="22"/>
  <c r="BR26" i="22" s="1"/>
  <c r="BZ134" i="20"/>
  <c r="AU141" i="20"/>
  <c r="BI141" i="20"/>
  <c r="BJ141" i="20" s="1"/>
  <c r="BQ141" i="20" s="1"/>
  <c r="BV26" i="22"/>
  <c r="BT26" i="22"/>
  <c r="BO22" i="22"/>
  <c r="BA26" i="22"/>
  <c r="BF25" i="22"/>
  <c r="BG25" i="22" s="1"/>
  <c r="BN25" i="22" s="1"/>
  <c r="BT25" i="22"/>
  <c r="AR25" i="22"/>
  <c r="BA25" i="22" s="1"/>
  <c r="BD25" i="22"/>
  <c r="BN24" i="22"/>
  <c r="BW24" i="22"/>
  <c r="AZ24" i="22"/>
  <c r="BA24" i="22"/>
  <c r="BS23" i="22"/>
  <c r="AR23" i="22"/>
  <c r="BD23" i="22"/>
  <c r="BT23" i="22" s="1"/>
  <c r="BC23" i="22"/>
  <c r="BB23" i="22"/>
  <c r="BO23" i="22"/>
  <c r="AR22" i="22"/>
  <c r="BD22" i="22"/>
  <c r="BT22" i="22" s="1"/>
  <c r="BB22" i="22"/>
  <c r="BC22" i="22"/>
  <c r="BG22" i="22"/>
  <c r="BN22" i="22" s="1"/>
  <c r="BF21" i="22"/>
  <c r="BR21" i="22"/>
  <c r="AZ21" i="22"/>
  <c r="BP23" i="22" l="1"/>
  <c r="BP22" i="22"/>
  <c r="BL26" i="22"/>
  <c r="BD141" i="20"/>
  <c r="BC141" i="20"/>
  <c r="BW26" i="22"/>
  <c r="BU26" i="22"/>
  <c r="BX26" i="22" s="1"/>
  <c r="BW25" i="22"/>
  <c r="AZ25" i="22"/>
  <c r="BR23" i="22"/>
  <c r="BW23" i="22" s="1"/>
  <c r="BL23" i="22"/>
  <c r="BA23" i="22"/>
  <c r="AZ23" i="22"/>
  <c r="BU23" i="22"/>
  <c r="BA22" i="22"/>
  <c r="AZ22" i="22"/>
  <c r="BU22" i="22"/>
  <c r="BR22" i="22"/>
  <c r="BV22" i="22" s="1"/>
  <c r="BL22" i="22"/>
  <c r="BX23" i="22" l="1"/>
  <c r="BV23" i="22"/>
  <c r="BX22" i="22"/>
  <c r="BW22" i="22"/>
  <c r="BL199" i="20" l="1"/>
  <c r="U199" i="20"/>
  <c r="AC199" i="20"/>
  <c r="R199" i="20"/>
  <c r="Y199" i="20" s="1"/>
  <c r="BT199" i="20" l="1"/>
  <c r="Z122" i="20" l="1"/>
  <c r="AB99" i="20" l="1"/>
  <c r="BJ20" i="22" l="1"/>
  <c r="BI20" i="22"/>
  <c r="AQ20" i="22"/>
  <c r="AO20" i="22"/>
  <c r="BH20" i="22" s="1"/>
  <c r="AL20" i="22"/>
  <c r="AP20" i="22" s="1"/>
  <c r="AI20" i="22"/>
  <c r="Z20" i="22"/>
  <c r="Y20" i="22"/>
  <c r="W20" i="22"/>
  <c r="R20" i="22" s="1"/>
  <c r="S20" i="22" s="1"/>
  <c r="O20" i="22"/>
  <c r="V20" i="22" s="1"/>
  <c r="BM20" i="22" s="1"/>
  <c r="N20" i="22"/>
  <c r="AM20" i="22" s="1"/>
  <c r="K20" i="22"/>
  <c r="H20" i="22"/>
  <c r="BS20" i="22" l="1"/>
  <c r="U21" i="22"/>
  <c r="BJ21" i="22" s="1"/>
  <c r="BC21" i="22" s="1"/>
  <c r="V21" i="22"/>
  <c r="BO20" i="22"/>
  <c r="BQ20" i="22"/>
  <c r="X20" i="22"/>
  <c r="AN20" i="22" s="1"/>
  <c r="BB20" i="22" s="1"/>
  <c r="U20" i="22"/>
  <c r="AR20" i="22"/>
  <c r="BV20" i="22" l="1"/>
  <c r="BF20" i="22"/>
  <c r="BG20" i="22" s="1"/>
  <c r="BN20" i="22" s="1"/>
  <c r="BP20" i="22" s="1"/>
  <c r="BC20" i="22"/>
  <c r="BT20" i="22"/>
  <c r="BW20" i="22" s="1"/>
  <c r="BH21" i="22"/>
  <c r="BM21" i="22"/>
  <c r="BK21" i="22"/>
  <c r="BQ21" i="22"/>
  <c r="BL21" i="22"/>
  <c r="BA21" i="22"/>
  <c r="BA20" i="22"/>
  <c r="AZ20" i="22"/>
  <c r="BL20" i="22"/>
  <c r="BR20" i="22"/>
  <c r="BU20" i="22" l="1"/>
  <c r="BX20" i="22" s="1"/>
  <c r="BO21" i="22"/>
  <c r="BG21" i="22"/>
  <c r="BN21" i="22" s="1"/>
  <c r="BS21" i="22"/>
  <c r="BD21" i="22"/>
  <c r="BT21" i="22" s="1"/>
  <c r="V117" i="20"/>
  <c r="AA117" i="20" s="1"/>
  <c r="N117" i="20"/>
  <c r="K117" i="20"/>
  <c r="AC117" i="20"/>
  <c r="R117" i="20"/>
  <c r="Y117" i="20" s="1"/>
  <c r="U91" i="20"/>
  <c r="U90" i="20"/>
  <c r="BW21" i="22" l="1"/>
  <c r="BP21" i="22"/>
  <c r="BV21" i="22"/>
  <c r="BU21" i="22"/>
  <c r="BX21" i="22" s="1"/>
  <c r="X117" i="20"/>
  <c r="BL67" i="20" l="1"/>
  <c r="U67" i="20" l="1"/>
  <c r="V67" i="20" s="1"/>
  <c r="N67" i="20"/>
  <c r="K67" i="20"/>
  <c r="R67" i="20"/>
  <c r="X67" i="20" l="1"/>
  <c r="BM67" i="20" s="1"/>
  <c r="Y67" i="20"/>
  <c r="V221" i="20"/>
  <c r="N221" i="20"/>
  <c r="K221" i="20"/>
  <c r="AC221" i="20"/>
  <c r="R221" i="20"/>
  <c r="Y221" i="20" s="1"/>
  <c r="V220" i="20"/>
  <c r="N220" i="20"/>
  <c r="K220" i="20"/>
  <c r="AC220" i="20"/>
  <c r="R220" i="20"/>
  <c r="Y220" i="20" s="1"/>
  <c r="AT137" i="20"/>
  <c r="AR137" i="20"/>
  <c r="AP137" i="20"/>
  <c r="AO137" i="20"/>
  <c r="AS137" i="20" s="1"/>
  <c r="AL137" i="20"/>
  <c r="AC137" i="20"/>
  <c r="AB137" i="20"/>
  <c r="V137" i="20"/>
  <c r="R137" i="20"/>
  <c r="Y137" i="20" s="1"/>
  <c r="N137" i="20"/>
  <c r="K137" i="20"/>
  <c r="BJ19" i="22"/>
  <c r="BI19" i="22"/>
  <c r="AQ19" i="22"/>
  <c r="AO19" i="22"/>
  <c r="BH19" i="22" s="1"/>
  <c r="AL19" i="22"/>
  <c r="AP19" i="22" s="1"/>
  <c r="AI19" i="22"/>
  <c r="Z19" i="22"/>
  <c r="Y19" i="22"/>
  <c r="W19" i="22"/>
  <c r="R19" i="22" s="1"/>
  <c r="S19" i="22" s="1"/>
  <c r="O19" i="22"/>
  <c r="V19" i="22" s="1"/>
  <c r="N19" i="22"/>
  <c r="AM19" i="22" s="1"/>
  <c r="K19" i="22"/>
  <c r="H19" i="22"/>
  <c r="V225" i="20"/>
  <c r="N225" i="20"/>
  <c r="K225" i="20"/>
  <c r="AC225" i="20"/>
  <c r="R225" i="20"/>
  <c r="Y225" i="20" s="1"/>
  <c r="AP18" i="22"/>
  <c r="AO18" i="22"/>
  <c r="AI18" i="22"/>
  <c r="AF18" i="22"/>
  <c r="Z18" i="22"/>
  <c r="Y18" i="22"/>
  <c r="S18" i="22"/>
  <c r="X18" i="22" s="1"/>
  <c r="O18" i="22"/>
  <c r="N18" i="22"/>
  <c r="AM18" i="22" s="1"/>
  <c r="K18" i="22"/>
  <c r="H18" i="22"/>
  <c r="AT80" i="20"/>
  <c r="AS80" i="20"/>
  <c r="AR80" i="20"/>
  <c r="BK80" i="20" s="1"/>
  <c r="AL80" i="20"/>
  <c r="AI80" i="20"/>
  <c r="AC80" i="20"/>
  <c r="V80" i="20"/>
  <c r="X80" i="20" s="1"/>
  <c r="R80" i="20"/>
  <c r="Y80" i="20" s="1"/>
  <c r="AP80" i="20"/>
  <c r="N80" i="20"/>
  <c r="K80" i="20"/>
  <c r="H17" i="22"/>
  <c r="K17" i="22"/>
  <c r="N17" i="22"/>
  <c r="AM17" i="22" s="1"/>
  <c r="O17" i="22"/>
  <c r="V17" i="22" s="1"/>
  <c r="S17" i="22"/>
  <c r="U17" i="22" s="1"/>
  <c r="Y17" i="22"/>
  <c r="Z17" i="22"/>
  <c r="AF17" i="22"/>
  <c r="AI17" i="22"/>
  <c r="AO17" i="22"/>
  <c r="AP17" i="22"/>
  <c r="U18" i="22" l="1"/>
  <c r="X221" i="20"/>
  <c r="X220" i="20"/>
  <c r="X137" i="20"/>
  <c r="BT137" i="20"/>
  <c r="BP137" i="20"/>
  <c r="AA137" i="20"/>
  <c r="AQ137" i="20" s="1"/>
  <c r="AU137" i="20" s="1"/>
  <c r="BS19" i="22"/>
  <c r="X225" i="20"/>
  <c r="BO19" i="22"/>
  <c r="BM19" i="22"/>
  <c r="BQ19" i="22"/>
  <c r="X19" i="22"/>
  <c r="AN19" i="22" s="1"/>
  <c r="U19" i="22"/>
  <c r="AA225" i="20"/>
  <c r="AN18" i="22"/>
  <c r="BF18" i="22" s="1"/>
  <c r="V18" i="22"/>
  <c r="BP80" i="20"/>
  <c r="BT80" i="20"/>
  <c r="AA80" i="20"/>
  <c r="AQ80" i="20" s="1"/>
  <c r="AU80" i="20" s="1"/>
  <c r="X17" i="22"/>
  <c r="AN17" i="22" s="1"/>
  <c r="BQ17" i="22"/>
  <c r="BM17" i="22"/>
  <c r="AR19" i="22" l="1"/>
  <c r="BA19" i="22" s="1"/>
  <c r="BT19" i="22"/>
  <c r="BU19" i="22" s="1"/>
  <c r="BX19" i="22" s="1"/>
  <c r="BV19" i="22"/>
  <c r="BI137" i="20"/>
  <c r="BD137" i="20"/>
  <c r="BC137" i="20"/>
  <c r="BF19" i="22"/>
  <c r="BG19" i="22" s="1"/>
  <c r="BN19" i="22" s="1"/>
  <c r="BP19" i="22" s="1"/>
  <c r="BC19" i="22"/>
  <c r="BB19" i="22"/>
  <c r="AR18" i="22"/>
  <c r="AZ18" i="22" s="1"/>
  <c r="BF17" i="22"/>
  <c r="AR17" i="22"/>
  <c r="AZ17" i="22" s="1"/>
  <c r="BM18" i="22"/>
  <c r="BQ18" i="22"/>
  <c r="BW80" i="20"/>
  <c r="BZ80" i="20" s="1"/>
  <c r="BI80" i="20"/>
  <c r="BJ80" i="20" s="1"/>
  <c r="BQ80" i="20" s="1"/>
  <c r="BD80" i="20"/>
  <c r="BC80" i="20"/>
  <c r="AQ16" i="22"/>
  <c r="AO16" i="22"/>
  <c r="AL16" i="22"/>
  <c r="AP16" i="22" s="1"/>
  <c r="AI16" i="22"/>
  <c r="Z16" i="22"/>
  <c r="W16" i="22"/>
  <c r="S16" i="22"/>
  <c r="X16" i="22" s="1"/>
  <c r="AN16" i="22" s="1"/>
  <c r="O16" i="22"/>
  <c r="V16" i="22" s="1"/>
  <c r="N16" i="22"/>
  <c r="AM16" i="22" s="1"/>
  <c r="K16" i="22"/>
  <c r="H16" i="22"/>
  <c r="BW19" i="22" l="1"/>
  <c r="AZ19" i="22"/>
  <c r="BL19" i="22"/>
  <c r="BR19" i="22"/>
  <c r="BA18" i="22"/>
  <c r="BA17" i="22"/>
  <c r="AR16" i="22"/>
  <c r="BF16" i="22"/>
  <c r="BQ16" i="22"/>
  <c r="BM16" i="22"/>
  <c r="U16" i="22"/>
  <c r="U218" i="20"/>
  <c r="V218" i="20" s="1"/>
  <c r="U216" i="20"/>
  <c r="BA16" i="22" l="1"/>
  <c r="AZ16" i="22"/>
  <c r="BL84" i="20" l="1"/>
  <c r="U84" i="20"/>
  <c r="V84" i="20" s="1"/>
  <c r="N84" i="20"/>
  <c r="K84" i="20"/>
  <c r="AC84" i="20"/>
  <c r="AA84" i="20" l="1"/>
  <c r="X84" i="20"/>
  <c r="U62" i="20"/>
  <c r="V62" i="20" s="1"/>
  <c r="U61" i="20"/>
  <c r="V61" i="20" s="1"/>
  <c r="U60" i="20"/>
  <c r="V60" i="20" s="1"/>
  <c r="U56" i="20"/>
  <c r="V56" i="20" s="1"/>
  <c r="U53" i="20"/>
  <c r="V53" i="20" s="1"/>
  <c r="U44" i="20"/>
  <c r="V44" i="20" s="1"/>
  <c r="AA44" i="20" s="1"/>
  <c r="U42" i="20"/>
  <c r="V42" i="20" s="1"/>
  <c r="U18" i="20"/>
  <c r="V18" i="20" s="1"/>
  <c r="U16" i="20"/>
  <c r="V16" i="20" s="1"/>
  <c r="U15" i="20"/>
  <c r="V15" i="20" s="1"/>
  <c r="U14" i="20"/>
  <c r="V14" i="20" s="1"/>
  <c r="U10" i="20"/>
  <c r="V10" i="20" s="1"/>
  <c r="U7" i="20"/>
  <c r="V7" i="20" s="1"/>
  <c r="O15" i="22"/>
  <c r="V15" i="22" s="1"/>
  <c r="BQ15" i="22" s="1"/>
  <c r="Z15" i="22"/>
  <c r="S15" i="22"/>
  <c r="N15" i="22"/>
  <c r="K15" i="22"/>
  <c r="H15" i="22"/>
  <c r="R218" i="20"/>
  <c r="AC218" i="20"/>
  <c r="N218" i="20"/>
  <c r="K218" i="20"/>
  <c r="O14" i="22"/>
  <c r="V14" i="22" s="1"/>
  <c r="BK14" i="22" s="1"/>
  <c r="BI14" i="22"/>
  <c r="N14" i="22"/>
  <c r="AM14" i="22" s="1"/>
  <c r="Y14" i="22"/>
  <c r="S14" i="22"/>
  <c r="X14" i="22" s="1"/>
  <c r="AO14" i="22"/>
  <c r="AL14" i="22"/>
  <c r="AP14" i="22" s="1"/>
  <c r="AQ14" i="22"/>
  <c r="AI14" i="22"/>
  <c r="Z14" i="22"/>
  <c r="K14" i="22"/>
  <c r="H14" i="22"/>
  <c r="U222" i="20"/>
  <c r="V222" i="20" s="1"/>
  <c r="U215" i="20"/>
  <c r="V215" i="20" s="1"/>
  <c r="U207" i="20"/>
  <c r="V207" i="20" s="1"/>
  <c r="AA207" i="20" s="1"/>
  <c r="U202" i="20"/>
  <c r="V202" i="20" s="1"/>
  <c r="U195" i="20"/>
  <c r="V195" i="20" s="1"/>
  <c r="U194" i="20"/>
  <c r="V194" i="20" s="1"/>
  <c r="AA194" i="20" s="1"/>
  <c r="U192" i="20"/>
  <c r="V192" i="20" s="1"/>
  <c r="U179" i="20"/>
  <c r="V179" i="20" s="1"/>
  <c r="AA179" i="20" s="1"/>
  <c r="U178" i="20"/>
  <c r="V178" i="20" s="1"/>
  <c r="U175" i="20"/>
  <c r="U172" i="20"/>
  <c r="U170" i="20"/>
  <c r="V170" i="20" s="1"/>
  <c r="U155" i="20"/>
  <c r="V155" i="20" s="1"/>
  <c r="U142" i="20"/>
  <c r="V142" i="20" s="1"/>
  <c r="U129" i="20"/>
  <c r="O13" i="22"/>
  <c r="V13" i="22" s="1"/>
  <c r="BK13" i="22" s="1"/>
  <c r="BI13" i="22"/>
  <c r="N13" i="22"/>
  <c r="AM13" i="22" s="1"/>
  <c r="S13" i="22"/>
  <c r="AO13" i="22"/>
  <c r="AP13" i="22"/>
  <c r="AI13" i="22"/>
  <c r="AF13" i="22"/>
  <c r="Z13" i="22"/>
  <c r="K13" i="22"/>
  <c r="H13" i="22"/>
  <c r="P13" i="21"/>
  <c r="Q13" i="21" s="1"/>
  <c r="T59" i="20"/>
  <c r="T72" i="20" s="1"/>
  <c r="N12" i="21" s="1"/>
  <c r="N13" i="21"/>
  <c r="R13" i="21" s="1"/>
  <c r="R77" i="20"/>
  <c r="Y77" i="20" s="1"/>
  <c r="R78" i="20"/>
  <c r="Y78" i="20" s="1"/>
  <c r="R79" i="20"/>
  <c r="Y79" i="20" s="1"/>
  <c r="R81" i="20"/>
  <c r="Y81" i="20" s="1"/>
  <c r="BT81" i="20" s="1"/>
  <c r="R82" i="20"/>
  <c r="Y82" i="20" s="1"/>
  <c r="R83" i="20"/>
  <c r="Y83" i="20" s="1"/>
  <c r="R85" i="20"/>
  <c r="R86" i="20"/>
  <c r="Y86" i="20" s="1"/>
  <c r="R87" i="20"/>
  <c r="Y87" i="20" s="1"/>
  <c r="BP87" i="20" s="1"/>
  <c r="R88" i="20"/>
  <c r="Y88" i="20" s="1"/>
  <c r="R89" i="20"/>
  <c r="Y89" i="20" s="1"/>
  <c r="R90" i="20"/>
  <c r="Y90" i="20" s="1"/>
  <c r="R91" i="20"/>
  <c r="R92" i="20"/>
  <c r="Y92" i="20" s="1"/>
  <c r="BT92" i="20" s="1"/>
  <c r="R93" i="20"/>
  <c r="Y93" i="20" s="1"/>
  <c r="BT93" i="20" s="1"/>
  <c r="R94" i="20"/>
  <c r="Y94" i="20" s="1"/>
  <c r="R95" i="20"/>
  <c r="Y95" i="20" s="1"/>
  <c r="R96" i="20"/>
  <c r="Y96" i="20" s="1"/>
  <c r="BP96" i="20" s="1"/>
  <c r="R97" i="20"/>
  <c r="Y97" i="20" s="1"/>
  <c r="BP97" i="20" s="1"/>
  <c r="R98" i="20"/>
  <c r="Y98" i="20" s="1"/>
  <c r="R99" i="20"/>
  <c r="Y99" i="20" s="1"/>
  <c r="R100" i="20"/>
  <c r="Y100" i="20" s="1"/>
  <c r="BT100" i="20" s="1"/>
  <c r="R102" i="20"/>
  <c r="Y102" i="20" s="1"/>
  <c r="BP102" i="20" s="1"/>
  <c r="R4" i="20"/>
  <c r="Y4" i="20" s="1"/>
  <c r="R5" i="20"/>
  <c r="Y5" i="20" s="1"/>
  <c r="R6" i="20"/>
  <c r="Y6" i="20" s="1"/>
  <c r="R7" i="20"/>
  <c r="Y7" i="20" s="1"/>
  <c r="R9" i="20"/>
  <c r="Y9" i="20" s="1"/>
  <c r="R10" i="20"/>
  <c r="Y10" i="20" s="1"/>
  <c r="BT10" i="20" s="1"/>
  <c r="R11" i="20"/>
  <c r="Y11" i="20" s="1"/>
  <c r="R12" i="20"/>
  <c r="Y12" i="20" s="1"/>
  <c r="Y14" i="20"/>
  <c r="BT14" i="20" s="1"/>
  <c r="R15" i="20"/>
  <c r="Y15" i="20" s="1"/>
  <c r="BP15" i="20" s="1"/>
  <c r="R16" i="20"/>
  <c r="Y16" i="20" s="1"/>
  <c r="BT16" i="20" s="1"/>
  <c r="R18" i="20"/>
  <c r="Y18" i="20" s="1"/>
  <c r="BP18" i="20" s="1"/>
  <c r="R19" i="20"/>
  <c r="Y19" i="20" s="1"/>
  <c r="BP19" i="20" s="1"/>
  <c r="R20" i="20"/>
  <c r="Y20" i="20" s="1"/>
  <c r="R21" i="20"/>
  <c r="Y21" i="20" s="1"/>
  <c r="BT21" i="20" s="1"/>
  <c r="R22" i="20"/>
  <c r="Y22" i="20" s="1"/>
  <c r="BP22" i="20" s="1"/>
  <c r="R23" i="20"/>
  <c r="Y23" i="20" s="1"/>
  <c r="R27" i="20"/>
  <c r="R28" i="20"/>
  <c r="Y28" i="20" s="1"/>
  <c r="BT28" i="20" s="1"/>
  <c r="R29" i="20"/>
  <c r="Y29" i="20" s="1"/>
  <c r="R30" i="20"/>
  <c r="Y30" i="20" s="1"/>
  <c r="BP30" i="20" s="1"/>
  <c r="R31" i="20"/>
  <c r="Y31" i="20" s="1"/>
  <c r="R33" i="20"/>
  <c r="R35" i="20"/>
  <c r="Y35" i="20" s="1"/>
  <c r="BT35" i="20" s="1"/>
  <c r="R36" i="20"/>
  <c r="Y36" i="20" s="1"/>
  <c r="BP36" i="20" s="1"/>
  <c r="R39" i="20"/>
  <c r="R40" i="20"/>
  <c r="Y40" i="20" s="1"/>
  <c r="BT40" i="20" s="1"/>
  <c r="R41" i="20"/>
  <c r="Y41" i="20" s="1"/>
  <c r="R42" i="20"/>
  <c r="Y42" i="20" s="1"/>
  <c r="BP42" i="20" s="1"/>
  <c r="R43" i="20"/>
  <c r="Y43" i="20" s="1"/>
  <c r="R44" i="20"/>
  <c r="Y44" i="20" s="1"/>
  <c r="R45" i="20"/>
  <c r="Y45" i="20" s="1"/>
  <c r="BT45" i="20" s="1"/>
  <c r="R46" i="20"/>
  <c r="Y46" i="20" s="1"/>
  <c r="BT46" i="20" s="1"/>
  <c r="R47" i="20"/>
  <c r="Y47" i="20" s="1"/>
  <c r="BT47" i="20" s="1"/>
  <c r="R48" i="20"/>
  <c r="R49" i="20"/>
  <c r="Y49" i="20" s="1"/>
  <c r="BT49" i="20" s="1"/>
  <c r="R50" i="20"/>
  <c r="Y50" i="20" s="1"/>
  <c r="R51" i="20"/>
  <c r="Y51" i="20" s="1"/>
  <c r="R53" i="20"/>
  <c r="Y53" i="20" s="1"/>
  <c r="R54" i="20"/>
  <c r="Y54" i="20" s="1"/>
  <c r="BP54" i="20" s="1"/>
  <c r="R55" i="20"/>
  <c r="Y55" i="20" s="1"/>
  <c r="BP55" i="20" s="1"/>
  <c r="R56" i="20"/>
  <c r="Y56" i="20" s="1"/>
  <c r="BT56" i="20" s="1"/>
  <c r="R57" i="20"/>
  <c r="Y57" i="20" s="1"/>
  <c r="R58" i="20"/>
  <c r="Y58" i="20" s="1"/>
  <c r="BP58" i="20" s="1"/>
  <c r="R59" i="20"/>
  <c r="R60" i="20"/>
  <c r="Y60" i="20" s="1"/>
  <c r="R61" i="20"/>
  <c r="Y61" i="20" s="1"/>
  <c r="R62" i="20"/>
  <c r="Y62" i="20" s="1"/>
  <c r="BT62" i="20" s="1"/>
  <c r="R66" i="20"/>
  <c r="Y66" i="20" s="1"/>
  <c r="BP66" i="20" s="1"/>
  <c r="R70" i="20"/>
  <c r="Y70" i="20" s="1"/>
  <c r="BT70" i="20" s="1"/>
  <c r="R71" i="20"/>
  <c r="Y71" i="20" s="1"/>
  <c r="BT71" i="20" s="1"/>
  <c r="R128" i="20"/>
  <c r="Y128" i="20" s="1"/>
  <c r="R129" i="20"/>
  <c r="Y129" i="20" s="1"/>
  <c r="BP129" i="20" s="1"/>
  <c r="R133" i="20"/>
  <c r="Y133" i="20" s="1"/>
  <c r="R135" i="20"/>
  <c r="Y135" i="20" s="1"/>
  <c r="R136" i="20"/>
  <c r="R140" i="20"/>
  <c r="Y140" i="20" s="1"/>
  <c r="BP140" i="20" s="1"/>
  <c r="R142" i="20"/>
  <c r="Y142" i="20" s="1"/>
  <c r="BT142" i="20" s="1"/>
  <c r="R143" i="20"/>
  <c r="Y143" i="20" s="1"/>
  <c r="BP143" i="20" s="1"/>
  <c r="R145" i="20"/>
  <c r="Y145" i="20" s="1"/>
  <c r="BP145" i="20" s="1"/>
  <c r="R146" i="20"/>
  <c r="Y146" i="20" s="1"/>
  <c r="R147" i="20"/>
  <c r="Y147" i="20" s="1"/>
  <c r="R148" i="20"/>
  <c r="Y148" i="20" s="1"/>
  <c r="BP148" i="20" s="1"/>
  <c r="R149" i="20"/>
  <c r="Y149" i="20" s="1"/>
  <c r="R150" i="20"/>
  <c r="Y150" i="20" s="1"/>
  <c r="BP150" i="20" s="1"/>
  <c r="R151" i="20"/>
  <c r="Y151" i="20" s="1"/>
  <c r="R152" i="20"/>
  <c r="R153" i="20"/>
  <c r="Y153" i="20" s="1"/>
  <c r="BT153" i="20" s="1"/>
  <c r="R154" i="20"/>
  <c r="Y154" i="20" s="1"/>
  <c r="BT154" i="20" s="1"/>
  <c r="R155" i="20"/>
  <c r="Y155" i="20" s="1"/>
  <c r="R156" i="20"/>
  <c r="Y156" i="20" s="1"/>
  <c r="BT156" i="20" s="1"/>
  <c r="R157" i="20"/>
  <c r="Y157" i="20" s="1"/>
  <c r="BT157" i="20" s="1"/>
  <c r="R158" i="20"/>
  <c r="Y158" i="20" s="1"/>
  <c r="R175" i="20"/>
  <c r="Y175" i="20" s="1"/>
  <c r="R176" i="20"/>
  <c r="Y176" i="20" s="1"/>
  <c r="BT176" i="20" s="1"/>
  <c r="R177" i="20"/>
  <c r="Y177" i="20" s="1"/>
  <c r="R178" i="20"/>
  <c r="Y178" i="20" s="1"/>
  <c r="R179" i="20"/>
  <c r="Y179" i="20" s="1"/>
  <c r="R180" i="20"/>
  <c r="Y180" i="20" s="1"/>
  <c r="BT180" i="20" s="1"/>
  <c r="R181" i="20"/>
  <c r="Y181" i="20" s="1"/>
  <c r="R182" i="20"/>
  <c r="Y182" i="20" s="1"/>
  <c r="Y183" i="20"/>
  <c r="Y184" i="20"/>
  <c r="Y186" i="20"/>
  <c r="Y187" i="20"/>
  <c r="R189" i="20"/>
  <c r="Y189" i="20" s="1"/>
  <c r="R190" i="20"/>
  <c r="Y190" i="20" s="1"/>
  <c r="BP190" i="20" s="1"/>
  <c r="R191" i="20"/>
  <c r="Y191" i="20" s="1"/>
  <c r="R192" i="20"/>
  <c r="Y192" i="20" s="1"/>
  <c r="BP192" i="20" s="1"/>
  <c r="R193" i="20"/>
  <c r="Y193" i="20" s="1"/>
  <c r="BP193" i="20" s="1"/>
  <c r="R194" i="20"/>
  <c r="R195" i="20"/>
  <c r="Y195" i="20" s="1"/>
  <c r="R196" i="20"/>
  <c r="Y196" i="20" s="1"/>
  <c r="BP196" i="20" s="1"/>
  <c r="R197" i="20"/>
  <c r="R198" i="20"/>
  <c r="Y198" i="20" s="1"/>
  <c r="R200" i="20"/>
  <c r="Y200" i="20" s="1"/>
  <c r="BT200" i="20" s="1"/>
  <c r="R202" i="20"/>
  <c r="Y202" i="20" s="1"/>
  <c r="R203" i="20"/>
  <c r="Y203" i="20" s="1"/>
  <c r="BT203" i="20" s="1"/>
  <c r="R204" i="20"/>
  <c r="Y204" i="20" s="1"/>
  <c r="R205" i="20"/>
  <c r="Y205" i="20" s="1"/>
  <c r="R206" i="20"/>
  <c r="Y206" i="20" s="1"/>
  <c r="BT206" i="20" s="1"/>
  <c r="R207" i="20"/>
  <c r="Y207" i="20" s="1"/>
  <c r="BT207" i="20" s="1"/>
  <c r="R212" i="20"/>
  <c r="Y212" i="20" s="1"/>
  <c r="U171" i="20"/>
  <c r="P9" i="21" s="1"/>
  <c r="Q9" i="21" s="1"/>
  <c r="U219" i="20"/>
  <c r="V219" i="20" s="1"/>
  <c r="AA219" i="20" s="1"/>
  <c r="U176" i="20"/>
  <c r="V176" i="20" s="1"/>
  <c r="U180" i="20"/>
  <c r="V180" i="20" s="1"/>
  <c r="AA180" i="20" s="1"/>
  <c r="U193" i="20"/>
  <c r="V193" i="20" s="1"/>
  <c r="U198" i="20"/>
  <c r="V198" i="20" s="1"/>
  <c r="AA198" i="20" s="1"/>
  <c r="U200" i="20"/>
  <c r="V200" i="20" s="1"/>
  <c r="U205" i="20"/>
  <c r="V205" i="20" s="1"/>
  <c r="U213" i="20"/>
  <c r="V213" i="20" s="1"/>
  <c r="AA213" i="20" s="1"/>
  <c r="U214" i="20"/>
  <c r="V214" i="20" s="1"/>
  <c r="O12" i="22"/>
  <c r="V12" i="22" s="1"/>
  <c r="BI12" i="22"/>
  <c r="N12" i="22"/>
  <c r="AM12" i="22" s="1"/>
  <c r="Y12" i="22"/>
  <c r="S12" i="22"/>
  <c r="U12" i="22" s="1"/>
  <c r="BJ12" i="22" s="1"/>
  <c r="AO12" i="22"/>
  <c r="AP12" i="22"/>
  <c r="AI12" i="22"/>
  <c r="AF12" i="22"/>
  <c r="Z12" i="22"/>
  <c r="K12" i="22"/>
  <c r="H12" i="22"/>
  <c r="O11" i="22"/>
  <c r="Q11" i="22"/>
  <c r="S11" i="22" s="1"/>
  <c r="BI11" i="22"/>
  <c r="N11" i="22"/>
  <c r="AM11" i="22" s="1"/>
  <c r="Y11" i="22"/>
  <c r="AO11" i="22"/>
  <c r="AL11" i="22"/>
  <c r="AP11" i="22" s="1"/>
  <c r="AQ11" i="22"/>
  <c r="AI11" i="22"/>
  <c r="Z11" i="22"/>
  <c r="K11" i="22"/>
  <c r="H11" i="22"/>
  <c r="O10" i="22"/>
  <c r="V10" i="22" s="1"/>
  <c r="BK10" i="22" s="1"/>
  <c r="BI10" i="22"/>
  <c r="N10" i="22"/>
  <c r="AM10" i="22" s="1"/>
  <c r="Y10" i="22"/>
  <c r="S10" i="22"/>
  <c r="AO10" i="22"/>
  <c r="AP10" i="22"/>
  <c r="AQ10" i="22"/>
  <c r="AI10" i="22"/>
  <c r="AF10" i="22"/>
  <c r="Z10" i="22"/>
  <c r="K10" i="22"/>
  <c r="H10" i="22"/>
  <c r="R116" i="20"/>
  <c r="Y116" i="20" s="1"/>
  <c r="AG1" i="20"/>
  <c r="Q116" i="20"/>
  <c r="AP116" i="20" s="1"/>
  <c r="V116" i="20"/>
  <c r="AA116" i="20" s="1"/>
  <c r="AQ116" i="20" s="1"/>
  <c r="AR116" i="20"/>
  <c r="AO116" i="20"/>
  <c r="AS116" i="20" s="1"/>
  <c r="AT116" i="20"/>
  <c r="AL116" i="20"/>
  <c r="AC116" i="20"/>
  <c r="N116" i="20"/>
  <c r="K116" i="20"/>
  <c r="V183" i="20"/>
  <c r="V184" i="20"/>
  <c r="AA184" i="20" s="1"/>
  <c r="R213" i="20"/>
  <c r="Y213" i="20" s="1"/>
  <c r="R214" i="20"/>
  <c r="Y214" i="20" s="1"/>
  <c r="R215" i="20"/>
  <c r="Y215" i="20" s="1"/>
  <c r="R216" i="20"/>
  <c r="Y216" i="20" s="1"/>
  <c r="R219" i="20"/>
  <c r="Y219" i="20" s="1"/>
  <c r="R222" i="20"/>
  <c r="Y222" i="20" s="1"/>
  <c r="V206" i="20"/>
  <c r="AA206" i="20" s="1"/>
  <c r="V212" i="20"/>
  <c r="V216" i="20"/>
  <c r="V187" i="20"/>
  <c r="K183" i="20"/>
  <c r="Q151" i="20"/>
  <c r="AP151" i="20" s="1"/>
  <c r="V151" i="20"/>
  <c r="AA151" i="20" s="1"/>
  <c r="AQ151" i="20" s="1"/>
  <c r="AR151" i="20"/>
  <c r="AS151" i="20"/>
  <c r="AL151" i="20"/>
  <c r="AI151" i="20"/>
  <c r="AC151" i="20"/>
  <c r="N151" i="20"/>
  <c r="K151" i="20"/>
  <c r="AC48" i="20"/>
  <c r="V48" i="20"/>
  <c r="AA48" i="20" s="1"/>
  <c r="N48" i="20"/>
  <c r="K48" i="20"/>
  <c r="AC46" i="20"/>
  <c r="V46" i="20"/>
  <c r="N46" i="20"/>
  <c r="K46" i="20"/>
  <c r="AC47" i="20"/>
  <c r="V47" i="20"/>
  <c r="N47" i="20"/>
  <c r="K47" i="20"/>
  <c r="K187" i="20"/>
  <c r="AC219" i="20"/>
  <c r="N219" i="20"/>
  <c r="K219" i="20"/>
  <c r="V49" i="20"/>
  <c r="X49" i="20" s="1"/>
  <c r="N49" i="20"/>
  <c r="K49" i="20"/>
  <c r="AC49" i="20"/>
  <c r="AC216" i="20"/>
  <c r="N216" i="20"/>
  <c r="K216" i="20"/>
  <c r="BM195" i="20"/>
  <c r="BL195" i="20"/>
  <c r="AT195" i="20"/>
  <c r="AR195" i="20"/>
  <c r="BK195" i="20" s="1"/>
  <c r="AP195" i="20"/>
  <c r="AO195" i="20"/>
  <c r="AS195" i="20" s="1"/>
  <c r="AL195" i="20"/>
  <c r="AC195" i="20"/>
  <c r="AB195" i="20"/>
  <c r="N195" i="20"/>
  <c r="K195" i="20"/>
  <c r="AS150" i="20"/>
  <c r="AR150" i="20"/>
  <c r="AL150" i="20"/>
  <c r="AI150" i="20"/>
  <c r="AC150" i="20"/>
  <c r="V150" i="20"/>
  <c r="AP150" i="20"/>
  <c r="N150" i="20"/>
  <c r="K150" i="20"/>
  <c r="AC215" i="20"/>
  <c r="N215" i="20"/>
  <c r="K215" i="20"/>
  <c r="AT194" i="20"/>
  <c r="AR194" i="20"/>
  <c r="BK194" i="20" s="1"/>
  <c r="AO194" i="20"/>
  <c r="AS194" i="20" s="1"/>
  <c r="AL194" i="20"/>
  <c r="AC194" i="20"/>
  <c r="AB194" i="20"/>
  <c r="AP194" i="20"/>
  <c r="N194" i="20"/>
  <c r="K194" i="20"/>
  <c r="AC214" i="20"/>
  <c r="N214" i="20"/>
  <c r="K214" i="20"/>
  <c r="V186" i="20"/>
  <c r="K186" i="20"/>
  <c r="AS178" i="20"/>
  <c r="AR178" i="20"/>
  <c r="BK178" i="20" s="1"/>
  <c r="AL178" i="20"/>
  <c r="AI178" i="20"/>
  <c r="AC178" i="20"/>
  <c r="AB178" i="20"/>
  <c r="Q178" i="20"/>
  <c r="AP178" i="20" s="1"/>
  <c r="N178" i="20"/>
  <c r="K178" i="20"/>
  <c r="AQ9" i="22"/>
  <c r="AO9" i="22"/>
  <c r="AL9" i="22"/>
  <c r="AP9" i="22" s="1"/>
  <c r="AI9" i="22"/>
  <c r="Z9" i="22"/>
  <c r="Y9" i="22"/>
  <c r="S9" i="22"/>
  <c r="X9" i="22" s="1"/>
  <c r="O9" i="22"/>
  <c r="V9" i="22" s="1"/>
  <c r="N9" i="22"/>
  <c r="AM9" i="22" s="1"/>
  <c r="K9" i="22"/>
  <c r="H9" i="22"/>
  <c r="AP8" i="22"/>
  <c r="AO8" i="22"/>
  <c r="AI8" i="22"/>
  <c r="AF8" i="22"/>
  <c r="Z8" i="22"/>
  <c r="Y8" i="22"/>
  <c r="S8" i="22"/>
  <c r="X8" i="22" s="1"/>
  <c r="O8" i="22"/>
  <c r="V8" i="22" s="1"/>
  <c r="N8" i="22"/>
  <c r="AM8" i="22" s="1"/>
  <c r="K8" i="22"/>
  <c r="H8" i="22"/>
  <c r="AQ7" i="22"/>
  <c r="AO7" i="22"/>
  <c r="AL7" i="22"/>
  <c r="AP7" i="22" s="1"/>
  <c r="AI7" i="22"/>
  <c r="Z7" i="22"/>
  <c r="Y7" i="22"/>
  <c r="S7" i="22"/>
  <c r="U7" i="22" s="1"/>
  <c r="O7" i="22"/>
  <c r="V7" i="22" s="1"/>
  <c r="N7" i="22"/>
  <c r="AM7" i="22" s="1"/>
  <c r="K7" i="22"/>
  <c r="H7" i="22"/>
  <c r="AP6" i="22"/>
  <c r="AO6" i="22"/>
  <c r="AI6" i="22"/>
  <c r="AF6" i="22"/>
  <c r="Z6" i="22"/>
  <c r="Y6" i="22"/>
  <c r="S6" i="22"/>
  <c r="X6" i="22" s="1"/>
  <c r="O6" i="22"/>
  <c r="V6" i="22" s="1"/>
  <c r="N6" i="22"/>
  <c r="AM6" i="22" s="1"/>
  <c r="H6" i="22"/>
  <c r="AQ5" i="22"/>
  <c r="AO5" i="22"/>
  <c r="AL5" i="22"/>
  <c r="AP5" i="22" s="1"/>
  <c r="AI5" i="22"/>
  <c r="Z5" i="22"/>
  <c r="Y5" i="22"/>
  <c r="S5" i="22"/>
  <c r="O5" i="22"/>
  <c r="V5" i="22" s="1"/>
  <c r="BM5" i="22" s="1"/>
  <c r="N5" i="22"/>
  <c r="AM5" i="22" s="1"/>
  <c r="H5" i="22"/>
  <c r="AQ4" i="22"/>
  <c r="AP4" i="22"/>
  <c r="AO4" i="22"/>
  <c r="AI4" i="22"/>
  <c r="AF4" i="22"/>
  <c r="Z4" i="22"/>
  <c r="S4" i="22"/>
  <c r="X4" i="22" s="1"/>
  <c r="AN4" i="22" s="1"/>
  <c r="O4" i="22"/>
  <c r="V4" i="22" s="1"/>
  <c r="N4" i="22"/>
  <c r="AM4" i="22" s="1"/>
  <c r="K4" i="22"/>
  <c r="H4" i="22"/>
  <c r="AD1" i="22"/>
  <c r="X1" i="22"/>
  <c r="U154" i="20"/>
  <c r="V154" i="20" s="1"/>
  <c r="U133" i="20"/>
  <c r="U104" i="20"/>
  <c r="V104" i="20" s="1"/>
  <c r="X104" i="20" s="1"/>
  <c r="U103" i="20"/>
  <c r="V103" i="20" s="1"/>
  <c r="U99" i="20"/>
  <c r="V99" i="20" s="1"/>
  <c r="AA99" i="20" s="1"/>
  <c r="U98" i="20"/>
  <c r="V98" i="20" s="1"/>
  <c r="U97" i="20"/>
  <c r="V97" i="20" s="1"/>
  <c r="AA97" i="20" s="1"/>
  <c r="AQ97" i="20" s="1"/>
  <c r="U96" i="20"/>
  <c r="V96" i="20" s="1"/>
  <c r="U94" i="20"/>
  <c r="V94" i="20" s="1"/>
  <c r="U93" i="20"/>
  <c r="V93" i="20" s="1"/>
  <c r="U92" i="20"/>
  <c r="V92" i="20" s="1"/>
  <c r="U87" i="20"/>
  <c r="V87" i="20" s="1"/>
  <c r="U86" i="20"/>
  <c r="V86" i="20" s="1"/>
  <c r="U85" i="20"/>
  <c r="V85" i="20" s="1"/>
  <c r="AA85" i="20" s="1"/>
  <c r="U83" i="20"/>
  <c r="V83" i="20" s="1"/>
  <c r="U78" i="20"/>
  <c r="U77" i="20"/>
  <c r="V77" i="20" s="1"/>
  <c r="V20" i="20"/>
  <c r="AC222" i="20"/>
  <c r="Q222" i="20"/>
  <c r="N222" i="20"/>
  <c r="K222" i="20"/>
  <c r="AC213" i="20"/>
  <c r="Q213" i="20"/>
  <c r="N213" i="20"/>
  <c r="K213" i="20"/>
  <c r="AC149" i="20"/>
  <c r="V149" i="20"/>
  <c r="N149" i="20"/>
  <c r="K149" i="20"/>
  <c r="AT70" i="20"/>
  <c r="AS70" i="20"/>
  <c r="AR70" i="20"/>
  <c r="AL70" i="20"/>
  <c r="AI70" i="20"/>
  <c r="AC70" i="20"/>
  <c r="AB70" i="20"/>
  <c r="V70" i="20"/>
  <c r="Q70" i="20"/>
  <c r="AP70" i="20" s="1"/>
  <c r="N70" i="20"/>
  <c r="K70" i="20"/>
  <c r="I230" i="20"/>
  <c r="I232" i="20"/>
  <c r="L231" i="20"/>
  <c r="AI160" i="20"/>
  <c r="AJ160" i="20"/>
  <c r="AK160" i="20"/>
  <c r="AM160" i="20"/>
  <c r="K166" i="20"/>
  <c r="N166" i="20"/>
  <c r="Q166" i="20"/>
  <c r="AP166" i="20" s="1"/>
  <c r="R166" i="20"/>
  <c r="Y166" i="20" s="1"/>
  <c r="BT166" i="20" s="1"/>
  <c r="V166" i="20"/>
  <c r="AA166" i="20" s="1"/>
  <c r="AB166" i="20"/>
  <c r="AC166" i="20"/>
  <c r="AI166" i="20"/>
  <c r="AL166" i="20"/>
  <c r="AR166" i="20"/>
  <c r="AS166" i="20"/>
  <c r="K167" i="20"/>
  <c r="N167" i="20"/>
  <c r="Q167" i="20"/>
  <c r="AP167" i="20" s="1"/>
  <c r="R167" i="20"/>
  <c r="Y167" i="20" s="1"/>
  <c r="BT167" i="20" s="1"/>
  <c r="AB167" i="20"/>
  <c r="AC167" i="20"/>
  <c r="AL167" i="20"/>
  <c r="AO167" i="20"/>
  <c r="AS167" i="20" s="1"/>
  <c r="AR167" i="20"/>
  <c r="BK167" i="20" s="1"/>
  <c r="AT167" i="20"/>
  <c r="T168" i="20"/>
  <c r="AI168" i="20"/>
  <c r="AJ168" i="20"/>
  <c r="AK168" i="20"/>
  <c r="AM168" i="20"/>
  <c r="I163" i="20"/>
  <c r="I161" i="20"/>
  <c r="I125" i="20"/>
  <c r="I124" i="20"/>
  <c r="I74" i="20"/>
  <c r="L73" i="20"/>
  <c r="L76" i="20" s="1"/>
  <c r="U12" i="21" s="1"/>
  <c r="W12" i="21" s="1"/>
  <c r="I73" i="20"/>
  <c r="M11" i="21"/>
  <c r="M15" i="21" s="1"/>
  <c r="Q206" i="20"/>
  <c r="AP206" i="20" s="1"/>
  <c r="Q212" i="20"/>
  <c r="K212" i="20"/>
  <c r="Q20" i="20"/>
  <c r="Q21" i="20"/>
  <c r="K20" i="20"/>
  <c r="AC20" i="20"/>
  <c r="BL171" i="20"/>
  <c r="AT171" i="20"/>
  <c r="AR171" i="20"/>
  <c r="BK171" i="20" s="1"/>
  <c r="AO171" i="20"/>
  <c r="AS171" i="20" s="1"/>
  <c r="AL171" i="20"/>
  <c r="AC171" i="20"/>
  <c r="AB171" i="20"/>
  <c r="R171" i="20"/>
  <c r="Y171" i="20" s="1"/>
  <c r="Q171" i="20"/>
  <c r="AP171" i="20" s="1"/>
  <c r="N171" i="20"/>
  <c r="K171" i="20"/>
  <c r="BL170" i="20"/>
  <c r="AT170" i="20"/>
  <c r="AR170" i="20"/>
  <c r="BK170" i="20" s="1"/>
  <c r="AO170" i="20"/>
  <c r="AS170" i="20" s="1"/>
  <c r="AL170" i="20"/>
  <c r="AC170" i="20"/>
  <c r="AB170" i="20"/>
  <c r="R170" i="20"/>
  <c r="Y170" i="20" s="1"/>
  <c r="Q170" i="20"/>
  <c r="AP170" i="20" s="1"/>
  <c r="N170" i="20"/>
  <c r="K170" i="20"/>
  <c r="Z9" i="21"/>
  <c r="Z10" i="21"/>
  <c r="Z11" i="21"/>
  <c r="Z12" i="21"/>
  <c r="Z13" i="21"/>
  <c r="Z14" i="21"/>
  <c r="Z8" i="21"/>
  <c r="S9" i="21"/>
  <c r="S10" i="21"/>
  <c r="S8" i="21"/>
  <c r="AC212" i="20"/>
  <c r="D11" i="21"/>
  <c r="D8" i="21"/>
  <c r="G11" i="21"/>
  <c r="I11" i="21"/>
  <c r="I8" i="21"/>
  <c r="G14" i="21"/>
  <c r="G12" i="21"/>
  <c r="G9" i="21"/>
  <c r="G10" i="21"/>
  <c r="G8" i="21"/>
  <c r="B14" i="21"/>
  <c r="B12" i="21"/>
  <c r="B11" i="21"/>
  <c r="B9" i="21"/>
  <c r="B10" i="21"/>
  <c r="B8" i="21"/>
  <c r="R9" i="21"/>
  <c r="R10" i="21"/>
  <c r="R8" i="21"/>
  <c r="K15" i="21"/>
  <c r="N212" i="20"/>
  <c r="V21" i="20"/>
  <c r="AA21" i="20" s="1"/>
  <c r="K21" i="20"/>
  <c r="AC21" i="20"/>
  <c r="AT207" i="20"/>
  <c r="AR207" i="20"/>
  <c r="BK207" i="20" s="1"/>
  <c r="AO207" i="20"/>
  <c r="AS207" i="20" s="1"/>
  <c r="AL207" i="20"/>
  <c r="AC207" i="20"/>
  <c r="AB207" i="20"/>
  <c r="Q207" i="20"/>
  <c r="AP207" i="20" s="1"/>
  <c r="N207" i="20"/>
  <c r="K207" i="20"/>
  <c r="AT206" i="20"/>
  <c r="AR206" i="20"/>
  <c r="AO206" i="20"/>
  <c r="AS206" i="20" s="1"/>
  <c r="AL206" i="20"/>
  <c r="AC206" i="20"/>
  <c r="AB206" i="20"/>
  <c r="K206" i="20"/>
  <c r="AT204" i="20"/>
  <c r="AR204" i="20"/>
  <c r="AO204" i="20"/>
  <c r="AS204" i="20" s="1"/>
  <c r="AL204" i="20"/>
  <c r="AC204" i="20"/>
  <c r="AB204" i="20"/>
  <c r="V204" i="20"/>
  <c r="Q204" i="20"/>
  <c r="AP204" i="20" s="1"/>
  <c r="K204" i="20"/>
  <c r="AT203" i="20"/>
  <c r="AR203" i="20"/>
  <c r="AO203" i="20"/>
  <c r="AS203" i="20" s="1"/>
  <c r="AL203" i="20"/>
  <c r="AC203" i="20"/>
  <c r="AB203" i="20"/>
  <c r="Q203" i="20"/>
  <c r="AP203" i="20" s="1"/>
  <c r="N203" i="20"/>
  <c r="K203" i="20"/>
  <c r="BL202" i="20"/>
  <c r="AT202" i="20"/>
  <c r="AR202" i="20"/>
  <c r="BK202" i="20" s="1"/>
  <c r="AO202" i="20"/>
  <c r="AS202" i="20" s="1"/>
  <c r="AL202" i="20"/>
  <c r="AC202" i="20"/>
  <c r="AB202" i="20"/>
  <c r="Q202" i="20"/>
  <c r="AP202" i="20" s="1"/>
  <c r="K202" i="20"/>
  <c r="V203" i="20"/>
  <c r="BM202" i="20"/>
  <c r="N79" i="20"/>
  <c r="Q197" i="20"/>
  <c r="AP197" i="20" s="1"/>
  <c r="N197" i="20"/>
  <c r="AT158" i="20"/>
  <c r="AR158" i="20"/>
  <c r="AO158" i="20"/>
  <c r="AS158" i="20" s="1"/>
  <c r="AL158" i="20"/>
  <c r="AC158" i="20"/>
  <c r="AB158" i="20"/>
  <c r="V158" i="20"/>
  <c r="AA158" i="20" s="1"/>
  <c r="Q158" i="20"/>
  <c r="AP158" i="20" s="1"/>
  <c r="Q190" i="20"/>
  <c r="AP190" i="20" s="1"/>
  <c r="AB189" i="20"/>
  <c r="Q189" i="20"/>
  <c r="AP189" i="20" s="1"/>
  <c r="Q182" i="20"/>
  <c r="AP182" i="20" s="1"/>
  <c r="Q181" i="20"/>
  <c r="AP181" i="20" s="1"/>
  <c r="AB182" i="20"/>
  <c r="AT200" i="20"/>
  <c r="AR200" i="20"/>
  <c r="BK200" i="20" s="1"/>
  <c r="AO200" i="20"/>
  <c r="AS200" i="20" s="1"/>
  <c r="AL200" i="20"/>
  <c r="AC200" i="20"/>
  <c r="AB200" i="20"/>
  <c r="Q200" i="20"/>
  <c r="AP200" i="20" s="1"/>
  <c r="N200" i="20"/>
  <c r="AT198" i="20"/>
  <c r="AR198" i="20"/>
  <c r="BK198" i="20" s="1"/>
  <c r="AO198" i="20"/>
  <c r="AS198" i="20" s="1"/>
  <c r="AL198" i="20"/>
  <c r="AC198" i="20"/>
  <c r="AB198" i="20"/>
  <c r="Q198" i="20"/>
  <c r="AP198" i="20" s="1"/>
  <c r="K198" i="20"/>
  <c r="AT197" i="20"/>
  <c r="AR197" i="20"/>
  <c r="AO197" i="20"/>
  <c r="AS197" i="20" s="1"/>
  <c r="AL197" i="20"/>
  <c r="AC197" i="20"/>
  <c r="AB197" i="20"/>
  <c r="V197" i="20"/>
  <c r="AA197" i="20" s="1"/>
  <c r="K197" i="20"/>
  <c r="AM228" i="20"/>
  <c r="AK228" i="20"/>
  <c r="AJ228" i="20"/>
  <c r="Q193" i="20"/>
  <c r="AP193" i="20" s="1"/>
  <c r="Q192" i="20"/>
  <c r="AP192" i="20" s="1"/>
  <c r="Q196" i="20"/>
  <c r="AP196" i="20" s="1"/>
  <c r="AT196" i="20"/>
  <c r="AR196" i="20"/>
  <c r="AO196" i="20"/>
  <c r="AS196" i="20" s="1"/>
  <c r="AL196" i="20"/>
  <c r="AC196" i="20"/>
  <c r="AB196" i="20"/>
  <c r="V196" i="20"/>
  <c r="X196" i="20" s="1"/>
  <c r="N196" i="20"/>
  <c r="K196" i="20"/>
  <c r="AT192" i="20"/>
  <c r="AR192" i="20"/>
  <c r="BK192" i="20" s="1"/>
  <c r="AO192" i="20"/>
  <c r="AS192" i="20" s="1"/>
  <c r="AL192" i="20"/>
  <c r="AC192" i="20"/>
  <c r="AB192" i="20"/>
  <c r="N192" i="20"/>
  <c r="K192" i="20"/>
  <c r="N190" i="20"/>
  <c r="N14" i="20"/>
  <c r="N12" i="20"/>
  <c r="N10" i="20"/>
  <c r="AB175" i="20"/>
  <c r="Q191" i="20"/>
  <c r="AP191" i="20" s="1"/>
  <c r="AC191" i="20"/>
  <c r="AB191" i="20"/>
  <c r="V191" i="20"/>
  <c r="N191" i="20"/>
  <c r="K191" i="20"/>
  <c r="AT193" i="20"/>
  <c r="AR193" i="20"/>
  <c r="BK193" i="20" s="1"/>
  <c r="AO193" i="20"/>
  <c r="AS193" i="20" s="1"/>
  <c r="AL193" i="20"/>
  <c r="AC193" i="20"/>
  <c r="AB193" i="20"/>
  <c r="N193" i="20"/>
  <c r="K193" i="20"/>
  <c r="AT191" i="20"/>
  <c r="AR191" i="20"/>
  <c r="BK191" i="20" s="1"/>
  <c r="AO191" i="20"/>
  <c r="AS191" i="20" s="1"/>
  <c r="AL191" i="20"/>
  <c r="Q177" i="20"/>
  <c r="AP177" i="20" s="1"/>
  <c r="Q179" i="20"/>
  <c r="AP179" i="20" s="1"/>
  <c r="AB181" i="20"/>
  <c r="AT190" i="20"/>
  <c r="AR190" i="20"/>
  <c r="AO190" i="20"/>
  <c r="AS190" i="20" s="1"/>
  <c r="AL190" i="20"/>
  <c r="AC190" i="20"/>
  <c r="AB190" i="20"/>
  <c r="V190" i="20"/>
  <c r="AA190" i="20" s="1"/>
  <c r="K190" i="20"/>
  <c r="AT189" i="20"/>
  <c r="AR189" i="20"/>
  <c r="AO189" i="20"/>
  <c r="AS189" i="20" s="1"/>
  <c r="AL189" i="20"/>
  <c r="AC189" i="20"/>
  <c r="V189" i="20"/>
  <c r="AA189" i="20" s="1"/>
  <c r="N189" i="20"/>
  <c r="K189" i="20"/>
  <c r="K182" i="20"/>
  <c r="K181" i="20"/>
  <c r="Q180" i="20"/>
  <c r="AP180" i="20" s="1"/>
  <c r="AB179" i="20"/>
  <c r="AT182" i="20"/>
  <c r="AR182" i="20"/>
  <c r="AO182" i="20"/>
  <c r="AS182" i="20" s="1"/>
  <c r="AL182" i="20"/>
  <c r="AC182" i="20"/>
  <c r="N182" i="20"/>
  <c r="AT181" i="20"/>
  <c r="AR181" i="20"/>
  <c r="AO181" i="20"/>
  <c r="AS181" i="20" s="1"/>
  <c r="AL181" i="20"/>
  <c r="AC181" i="20"/>
  <c r="V181" i="20"/>
  <c r="N181" i="20"/>
  <c r="AT180" i="20"/>
  <c r="AR180" i="20"/>
  <c r="BK180" i="20" s="1"/>
  <c r="AO180" i="20"/>
  <c r="AS180" i="20" s="1"/>
  <c r="AL180" i="20"/>
  <c r="AC180" i="20"/>
  <c r="AB180" i="20"/>
  <c r="N180" i="20"/>
  <c r="K180" i="20"/>
  <c r="AT179" i="20"/>
  <c r="AR179" i="20"/>
  <c r="AO179" i="20"/>
  <c r="AS179" i="20" s="1"/>
  <c r="AL179" i="20"/>
  <c r="AC179" i="20"/>
  <c r="N179" i="20"/>
  <c r="K179" i="20"/>
  <c r="AT154" i="20"/>
  <c r="AR154" i="20"/>
  <c r="BK154" i="20" s="1"/>
  <c r="AO154" i="20"/>
  <c r="AS154" i="20" s="1"/>
  <c r="AL154" i="20"/>
  <c r="AC154" i="20"/>
  <c r="AB154" i="20"/>
  <c r="Q154" i="20"/>
  <c r="AP154" i="20" s="1"/>
  <c r="N154" i="20"/>
  <c r="K154" i="20"/>
  <c r="N155" i="20"/>
  <c r="AP152" i="20"/>
  <c r="Q148" i="20"/>
  <c r="AP148" i="20" s="1"/>
  <c r="Q95" i="20"/>
  <c r="AP95" i="20" s="1"/>
  <c r="V182" i="20"/>
  <c r="AB177" i="20"/>
  <c r="AB176" i="20"/>
  <c r="Q175" i="20"/>
  <c r="AP175" i="20" s="1"/>
  <c r="AS177" i="20"/>
  <c r="AR177" i="20"/>
  <c r="BK177" i="20" s="1"/>
  <c r="AL177" i="20"/>
  <c r="AI177" i="20"/>
  <c r="AC177" i="20"/>
  <c r="N177" i="20"/>
  <c r="K177" i="20"/>
  <c r="AS152" i="20"/>
  <c r="AR152" i="20"/>
  <c r="AL152" i="20"/>
  <c r="AI152" i="20"/>
  <c r="AC152" i="20"/>
  <c r="V152" i="20"/>
  <c r="AA152" i="20" s="1"/>
  <c r="AQ152" i="20" s="1"/>
  <c r="N152" i="20"/>
  <c r="K152" i="20"/>
  <c r="AT136" i="20"/>
  <c r="AR136" i="20"/>
  <c r="AO136" i="20"/>
  <c r="AS136" i="20" s="1"/>
  <c r="AL136" i="20"/>
  <c r="AC136" i="20"/>
  <c r="AB136" i="20"/>
  <c r="V136" i="20"/>
  <c r="AA136" i="20" s="1"/>
  <c r="AP136" i="20"/>
  <c r="N136" i="20"/>
  <c r="K136" i="20"/>
  <c r="AS176" i="20"/>
  <c r="AR176" i="20"/>
  <c r="AL176" i="20"/>
  <c r="AI176" i="20"/>
  <c r="AC176" i="20"/>
  <c r="AP176" i="20"/>
  <c r="N176" i="20"/>
  <c r="AI228" i="20"/>
  <c r="AT205" i="20"/>
  <c r="AR205" i="20"/>
  <c r="BK205" i="20" s="1"/>
  <c r="AO205" i="20"/>
  <c r="AS205" i="20" s="1"/>
  <c r="AL205" i="20"/>
  <c r="AC205" i="20"/>
  <c r="AB205" i="20"/>
  <c r="Q205" i="20"/>
  <c r="AP205" i="20" s="1"/>
  <c r="K205" i="20"/>
  <c r="AS175" i="20"/>
  <c r="AR175" i="20"/>
  <c r="BK175" i="20" s="1"/>
  <c r="AC175" i="20"/>
  <c r="N175" i="20"/>
  <c r="AB156" i="20"/>
  <c r="Q156" i="20"/>
  <c r="AP156" i="20" s="1"/>
  <c r="AS156" i="20"/>
  <c r="AR156" i="20"/>
  <c r="AL156" i="20"/>
  <c r="AI156" i="20"/>
  <c r="AC156" i="20"/>
  <c r="V156" i="20"/>
  <c r="AA156" i="20" s="1"/>
  <c r="N156" i="20"/>
  <c r="K156" i="20"/>
  <c r="AB157" i="20"/>
  <c r="Q157" i="20"/>
  <c r="AP157" i="20" s="1"/>
  <c r="AS157" i="20"/>
  <c r="AR157" i="20"/>
  <c r="AL157" i="20"/>
  <c r="AI157" i="20"/>
  <c r="AC157" i="20"/>
  <c r="V157" i="20"/>
  <c r="AA157" i="20" s="1"/>
  <c r="N157" i="20"/>
  <c r="K157" i="20"/>
  <c r="AS148" i="20"/>
  <c r="AR148" i="20"/>
  <c r="AL148" i="20"/>
  <c r="AI148" i="20"/>
  <c r="AC148" i="20"/>
  <c r="V148" i="20"/>
  <c r="N148" i="20"/>
  <c r="K148" i="20"/>
  <c r="K5" i="20"/>
  <c r="N5" i="20"/>
  <c r="Q5" i="20"/>
  <c r="AP5" i="20" s="1"/>
  <c r="V5" i="20"/>
  <c r="AB5" i="20"/>
  <c r="AC5" i="20"/>
  <c r="AI5" i="20"/>
  <c r="AL5" i="20"/>
  <c r="AR5" i="20"/>
  <c r="AS5" i="20"/>
  <c r="AB114" i="20"/>
  <c r="AB111" i="20"/>
  <c r="AT120" i="20"/>
  <c r="AR120" i="20"/>
  <c r="AO120" i="20"/>
  <c r="AS120" i="20" s="1"/>
  <c r="AL120" i="20"/>
  <c r="AC120" i="20"/>
  <c r="AB120" i="20"/>
  <c r="V120" i="20"/>
  <c r="AA120" i="20" s="1"/>
  <c r="R120" i="20"/>
  <c r="Q120" i="20"/>
  <c r="AP120" i="20" s="1"/>
  <c r="N120" i="20"/>
  <c r="K120" i="20"/>
  <c r="Q147" i="20"/>
  <c r="AP147" i="20" s="1"/>
  <c r="V147" i="20"/>
  <c r="N147" i="20"/>
  <c r="K147" i="20"/>
  <c r="AS147" i="20"/>
  <c r="AR147" i="20"/>
  <c r="AL147" i="20"/>
  <c r="AI147" i="20"/>
  <c r="AC147" i="20"/>
  <c r="Q146" i="20"/>
  <c r="AP146" i="20" s="1"/>
  <c r="AB145" i="20"/>
  <c r="Q145" i="20"/>
  <c r="AP145" i="20" s="1"/>
  <c r="AB133" i="20"/>
  <c r="AB155" i="20"/>
  <c r="Q155" i="20"/>
  <c r="AP155" i="20" s="1"/>
  <c r="AT155" i="20"/>
  <c r="AR155" i="20"/>
  <c r="AO155" i="20"/>
  <c r="AS155" i="20" s="1"/>
  <c r="AL155" i="20"/>
  <c r="AC155" i="20"/>
  <c r="K155" i="20"/>
  <c r="AS146" i="20"/>
  <c r="AR146" i="20"/>
  <c r="AL146" i="20"/>
  <c r="AI146" i="20"/>
  <c r="AC146" i="20"/>
  <c r="V146" i="20"/>
  <c r="N146" i="20"/>
  <c r="K146" i="20"/>
  <c r="AS145" i="20"/>
  <c r="AR145" i="20"/>
  <c r="AL145" i="20"/>
  <c r="AI145" i="20"/>
  <c r="AC145" i="20"/>
  <c r="V145" i="20"/>
  <c r="N145" i="20"/>
  <c r="K145" i="20"/>
  <c r="AB153" i="20"/>
  <c r="AC153" i="20"/>
  <c r="V153" i="20"/>
  <c r="AA153" i="20" s="1"/>
  <c r="Q153" i="20"/>
  <c r="AP153" i="20" s="1"/>
  <c r="AB143" i="20"/>
  <c r="Q143" i="20"/>
  <c r="AP143" i="20" s="1"/>
  <c r="V91" i="20"/>
  <c r="AA91" i="20" s="1"/>
  <c r="AB54" i="20"/>
  <c r="Q54" i="20"/>
  <c r="AP54" i="20" s="1"/>
  <c r="AT153" i="20"/>
  <c r="AR153" i="20"/>
  <c r="AO153" i="20"/>
  <c r="AS153" i="20" s="1"/>
  <c r="AL153" i="20"/>
  <c r="N153" i="20"/>
  <c r="K153" i="20"/>
  <c r="AS143" i="20"/>
  <c r="AR143" i="20"/>
  <c r="AL143" i="20"/>
  <c r="AI143" i="20"/>
  <c r="AC143" i="20"/>
  <c r="V143" i="20"/>
  <c r="N143" i="20"/>
  <c r="K143" i="20"/>
  <c r="Q115" i="20"/>
  <c r="AP115" i="20" s="1"/>
  <c r="AT28" i="20"/>
  <c r="AT29" i="20"/>
  <c r="AB29" i="20"/>
  <c r="Q29" i="20"/>
  <c r="AP29" i="20" s="1"/>
  <c r="AB28" i="20"/>
  <c r="Q28" i="20"/>
  <c r="AP28" i="20" s="1"/>
  <c r="V90" i="20"/>
  <c r="AB115" i="20"/>
  <c r="Q97" i="20"/>
  <c r="AP97" i="20" s="1"/>
  <c r="AT97" i="20"/>
  <c r="AR97" i="20"/>
  <c r="BK97" i="20" s="1"/>
  <c r="AO97" i="20"/>
  <c r="AS97" i="20" s="1"/>
  <c r="AL97" i="20"/>
  <c r="AC97" i="20"/>
  <c r="N97" i="20"/>
  <c r="K97" i="20"/>
  <c r="Q140" i="20"/>
  <c r="AP140" i="20" s="1"/>
  <c r="Q142" i="20"/>
  <c r="AP142" i="20" s="1"/>
  <c r="N142" i="20"/>
  <c r="AO11" i="20"/>
  <c r="AS11" i="20" s="1"/>
  <c r="AT11" i="20"/>
  <c r="Q11" i="20"/>
  <c r="AP11" i="20" s="1"/>
  <c r="K142" i="20"/>
  <c r="AB36" i="20"/>
  <c r="AS36" i="20"/>
  <c r="AR36" i="20"/>
  <c r="AL36" i="20"/>
  <c r="AI36" i="20"/>
  <c r="AC36" i="20"/>
  <c r="Q36" i="20"/>
  <c r="AP36" i="20" s="1"/>
  <c r="V36" i="20"/>
  <c r="X36" i="20" s="1"/>
  <c r="N36" i="20"/>
  <c r="K36" i="20"/>
  <c r="Q111" i="20"/>
  <c r="AP111" i="20" s="1"/>
  <c r="AF53" i="20"/>
  <c r="AR53" i="20" s="1"/>
  <c r="Q53" i="20"/>
  <c r="AP53" i="20" s="1"/>
  <c r="AS53" i="20"/>
  <c r="AL53" i="20"/>
  <c r="AC53" i="20"/>
  <c r="AB53" i="20"/>
  <c r="N53" i="20"/>
  <c r="K53" i="20"/>
  <c r="AM173" i="20"/>
  <c r="AK173" i="20"/>
  <c r="AJ173" i="20"/>
  <c r="AS29" i="20"/>
  <c r="AR29" i="20"/>
  <c r="AL29" i="20"/>
  <c r="AI29" i="20"/>
  <c r="AC29" i="20"/>
  <c r="AS28" i="20"/>
  <c r="AR28" i="20"/>
  <c r="AL28" i="20"/>
  <c r="AI28" i="20"/>
  <c r="AC28" i="20"/>
  <c r="V29" i="20"/>
  <c r="N29" i="20"/>
  <c r="K29" i="20"/>
  <c r="V28" i="20"/>
  <c r="AA28" i="20" s="1"/>
  <c r="N28" i="20"/>
  <c r="K28" i="20"/>
  <c r="Q51" i="20"/>
  <c r="AP51" i="20" s="1"/>
  <c r="AS51" i="20"/>
  <c r="AR51" i="20"/>
  <c r="AL51" i="20"/>
  <c r="AB51" i="20"/>
  <c r="V51" i="20"/>
  <c r="AA51" i="20" s="1"/>
  <c r="AB140" i="20"/>
  <c r="AT142" i="20"/>
  <c r="AR142" i="20"/>
  <c r="AO142" i="20"/>
  <c r="AS142" i="20" s="1"/>
  <c r="AL142" i="20"/>
  <c r="AC142" i="20"/>
  <c r="AB142" i="20"/>
  <c r="AT140" i="20"/>
  <c r="AR140" i="20"/>
  <c r="BK140" i="20" s="1"/>
  <c r="AO140" i="20"/>
  <c r="AS140" i="20" s="1"/>
  <c r="AL140" i="20"/>
  <c r="AC140" i="20"/>
  <c r="N140" i="20"/>
  <c r="K140" i="20"/>
  <c r="N51" i="20"/>
  <c r="K51" i="20"/>
  <c r="AC51" i="20"/>
  <c r="AB18" i="20"/>
  <c r="Q18" i="20"/>
  <c r="AP18" i="20" s="1"/>
  <c r="AT91" i="20"/>
  <c r="AR91" i="20"/>
  <c r="AO91" i="20"/>
  <c r="AS91" i="20" s="1"/>
  <c r="AI91" i="20"/>
  <c r="AC91" i="20"/>
  <c r="AB91" i="20"/>
  <c r="Q91" i="20"/>
  <c r="AP91" i="20" s="1"/>
  <c r="AT90" i="20"/>
  <c r="AR90" i="20"/>
  <c r="AO90" i="20"/>
  <c r="AS90" i="20" s="1"/>
  <c r="AC90" i="20"/>
  <c r="AB90" i="20"/>
  <c r="Q90" i="20"/>
  <c r="AP90" i="20" s="1"/>
  <c r="AB135" i="20"/>
  <c r="Q135" i="20"/>
  <c r="AP135" i="20" s="1"/>
  <c r="AT135" i="20"/>
  <c r="AR135" i="20"/>
  <c r="AO135" i="20"/>
  <c r="AS135" i="20" s="1"/>
  <c r="AL135" i="20"/>
  <c r="AC135" i="20"/>
  <c r="V135" i="20"/>
  <c r="AA135" i="20" s="1"/>
  <c r="N135" i="20"/>
  <c r="K135" i="20"/>
  <c r="Q66" i="20"/>
  <c r="AP66" i="20" s="1"/>
  <c r="AF85" i="20"/>
  <c r="AR85" i="20" s="1"/>
  <c r="BK85" i="20" s="1"/>
  <c r="AB85" i="20"/>
  <c r="AB121" i="20"/>
  <c r="Q121" i="20"/>
  <c r="AP121" i="20" s="1"/>
  <c r="Q114" i="20"/>
  <c r="AP114" i="20" s="1"/>
  <c r="Q112" i="20"/>
  <c r="AP112" i="20" s="1"/>
  <c r="Q110" i="20"/>
  <c r="AP110" i="20" s="1"/>
  <c r="AT121" i="20"/>
  <c r="AR121" i="20"/>
  <c r="AO121" i="20"/>
  <c r="AS121" i="20" s="1"/>
  <c r="AL121" i="20"/>
  <c r="AC121" i="20"/>
  <c r="V121" i="20"/>
  <c r="R121" i="20"/>
  <c r="Y121" i="20" s="1"/>
  <c r="BP121" i="20" s="1"/>
  <c r="N121" i="20"/>
  <c r="K121" i="20"/>
  <c r="AB112" i="20"/>
  <c r="AT114" i="20"/>
  <c r="AR114" i="20"/>
  <c r="AO114" i="20"/>
  <c r="AS114" i="20" s="1"/>
  <c r="AL114" i="20"/>
  <c r="AC114" i="20"/>
  <c r="AT112" i="20"/>
  <c r="AR112" i="20"/>
  <c r="AO112" i="20"/>
  <c r="AS112" i="20" s="1"/>
  <c r="AL112" i="20"/>
  <c r="AC112" i="20"/>
  <c r="V114" i="20"/>
  <c r="R114" i="20"/>
  <c r="Y114" i="20" s="1"/>
  <c r="N114" i="20"/>
  <c r="K114" i="20"/>
  <c r="V112" i="20"/>
  <c r="R112" i="20"/>
  <c r="Y112" i="20" s="1"/>
  <c r="BT112" i="20" s="1"/>
  <c r="N112" i="20"/>
  <c r="K112" i="20"/>
  <c r="AT115" i="20"/>
  <c r="AR115" i="20"/>
  <c r="AO115" i="20"/>
  <c r="AS115" i="20" s="1"/>
  <c r="AL115" i="20"/>
  <c r="AC115" i="20"/>
  <c r="V115" i="20"/>
  <c r="R115" i="20"/>
  <c r="Y115" i="20" s="1"/>
  <c r="N115" i="20"/>
  <c r="K115" i="20"/>
  <c r="AT111" i="20"/>
  <c r="AR111" i="20"/>
  <c r="AO111" i="20"/>
  <c r="AS111" i="20" s="1"/>
  <c r="AL111" i="20"/>
  <c r="AC111" i="20"/>
  <c r="V111" i="20"/>
  <c r="AA111" i="20" s="1"/>
  <c r="R111" i="20"/>
  <c r="Y111" i="20" s="1"/>
  <c r="BT111" i="20" s="1"/>
  <c r="N111" i="20"/>
  <c r="K111" i="20"/>
  <c r="AO133" i="20"/>
  <c r="AS133" i="20" s="1"/>
  <c r="Q133" i="20"/>
  <c r="AP133" i="20" s="1"/>
  <c r="AT110" i="20"/>
  <c r="AR110" i="20"/>
  <c r="AO110" i="20"/>
  <c r="AS110" i="20" s="1"/>
  <c r="AL110" i="20"/>
  <c r="AC110" i="20"/>
  <c r="AB110" i="20"/>
  <c r="R110" i="20"/>
  <c r="N110" i="20"/>
  <c r="K110" i="20"/>
  <c r="AT109" i="20"/>
  <c r="Q109" i="20"/>
  <c r="AP109" i="20" s="1"/>
  <c r="AT104" i="20"/>
  <c r="AB104" i="20"/>
  <c r="Q104" i="20"/>
  <c r="AP104" i="20" s="1"/>
  <c r="AT103" i="20"/>
  <c r="AB103" i="20"/>
  <c r="Q103" i="20"/>
  <c r="AP103" i="20" s="1"/>
  <c r="N133" i="20"/>
  <c r="AR109" i="20"/>
  <c r="AO109" i="20"/>
  <c r="AS109" i="20" s="1"/>
  <c r="AL109" i="20"/>
  <c r="AC109" i="20"/>
  <c r="AB109" i="20"/>
  <c r="V109" i="20"/>
  <c r="R109" i="20"/>
  <c r="Y109" i="20" s="1"/>
  <c r="BT109" i="20" s="1"/>
  <c r="N109" i="20"/>
  <c r="K109" i="20"/>
  <c r="AR104" i="20"/>
  <c r="BK104" i="20" s="1"/>
  <c r="AO104" i="20"/>
  <c r="AS104" i="20" s="1"/>
  <c r="AL104" i="20"/>
  <c r="AC104" i="20"/>
  <c r="R104" i="20"/>
  <c r="Y104" i="20" s="1"/>
  <c r="BT104" i="20" s="1"/>
  <c r="N104" i="20"/>
  <c r="K104" i="20"/>
  <c r="AR103" i="20"/>
  <c r="BK103" i="20" s="1"/>
  <c r="AO103" i="20"/>
  <c r="AS103" i="20" s="1"/>
  <c r="AL103" i="20"/>
  <c r="AC103" i="20"/>
  <c r="R103" i="20"/>
  <c r="Y103" i="20" s="1"/>
  <c r="N103" i="20"/>
  <c r="K103" i="20"/>
  <c r="AT133" i="20"/>
  <c r="AR133" i="20"/>
  <c r="AL133" i="20"/>
  <c r="AC133" i="20"/>
  <c r="BL133" i="20"/>
  <c r="BL172" i="20"/>
  <c r="AT172" i="20"/>
  <c r="AR172" i="20"/>
  <c r="BK172" i="20" s="1"/>
  <c r="AO172" i="20"/>
  <c r="AS172" i="20" s="1"/>
  <c r="AL172" i="20"/>
  <c r="AL173" i="20" s="1"/>
  <c r="AC172" i="20"/>
  <c r="AB172" i="20"/>
  <c r="R172" i="20"/>
  <c r="Y172" i="20" s="1"/>
  <c r="BT172" i="20" s="1"/>
  <c r="Q172" i="20"/>
  <c r="AP172" i="20" s="1"/>
  <c r="N172" i="20"/>
  <c r="AI173" i="20"/>
  <c r="K172" i="20"/>
  <c r="K133" i="20"/>
  <c r="AS83" i="20"/>
  <c r="AR83" i="20"/>
  <c r="BK83" i="20" s="1"/>
  <c r="AL83" i="20"/>
  <c r="AC83" i="20"/>
  <c r="Q83" i="20"/>
  <c r="AP83" i="20" s="1"/>
  <c r="K83" i="20"/>
  <c r="AB50" i="20"/>
  <c r="Q50" i="20"/>
  <c r="AP50" i="20" s="1"/>
  <c r="AB14" i="20"/>
  <c r="Q9" i="20"/>
  <c r="AP9" i="20" s="1"/>
  <c r="AB9" i="20"/>
  <c r="Q7" i="20"/>
  <c r="AP7" i="20" s="1"/>
  <c r="AT66" i="20"/>
  <c r="AB66" i="20"/>
  <c r="Q14" i="20"/>
  <c r="AP14" i="20" s="1"/>
  <c r="AS50" i="20"/>
  <c r="AR50" i="20"/>
  <c r="AL50" i="20"/>
  <c r="AC50" i="20"/>
  <c r="V50" i="20"/>
  <c r="N50" i="20"/>
  <c r="K50" i="20"/>
  <c r="N92" i="20"/>
  <c r="N87" i="20"/>
  <c r="N86" i="20"/>
  <c r="AL59" i="20"/>
  <c r="AI59" i="20"/>
  <c r="AI57" i="20"/>
  <c r="AM72" i="20"/>
  <c r="AK72" i="20"/>
  <c r="AJ72" i="20"/>
  <c r="AM122" i="20"/>
  <c r="AK122" i="20"/>
  <c r="AJ122" i="20"/>
  <c r="AI122" i="20"/>
  <c r="AI72" i="20"/>
  <c r="Q15" i="20"/>
  <c r="AP15" i="20" s="1"/>
  <c r="AO128" i="20"/>
  <c r="AS128" i="20" s="1"/>
  <c r="AO88" i="20"/>
  <c r="AS88" i="20" s="1"/>
  <c r="AO71" i="20"/>
  <c r="AS71" i="20" s="1"/>
  <c r="AO129" i="20"/>
  <c r="AS129" i="20" s="1"/>
  <c r="AO102" i="20"/>
  <c r="AS102" i="20" s="1"/>
  <c r="AO100" i="20"/>
  <c r="AS100" i="20" s="1"/>
  <c r="AO99" i="20"/>
  <c r="AS99" i="20" s="1"/>
  <c r="AO98" i="20"/>
  <c r="AS98" i="20" s="1"/>
  <c r="AO96" i="20"/>
  <c r="AS96" i="20" s="1"/>
  <c r="AO95" i="20"/>
  <c r="AS95" i="20" s="1"/>
  <c r="AO94" i="20"/>
  <c r="AS94" i="20" s="1"/>
  <c r="AO93" i="20"/>
  <c r="AS93" i="20" s="1"/>
  <c r="AO92" i="20"/>
  <c r="AS92" i="20" s="1"/>
  <c r="AI128" i="20"/>
  <c r="Q128" i="20"/>
  <c r="AP128" i="20" s="1"/>
  <c r="AT88" i="20"/>
  <c r="AT71" i="20"/>
  <c r="AT93" i="20"/>
  <c r="AT94" i="20"/>
  <c r="AT95" i="20"/>
  <c r="AT96" i="20"/>
  <c r="AT128" i="20"/>
  <c r="AT99" i="20"/>
  <c r="AT98" i="20"/>
  <c r="AT129" i="20"/>
  <c r="AB129" i="20"/>
  <c r="Q129" i="20"/>
  <c r="AP129" i="20" s="1"/>
  <c r="AR128" i="20"/>
  <c r="BK128" i="20" s="1"/>
  <c r="AL128" i="20"/>
  <c r="AC128" i="20"/>
  <c r="AB128" i="20"/>
  <c r="N128" i="20"/>
  <c r="K128" i="20"/>
  <c r="AR129" i="20"/>
  <c r="BK129" i="20" s="1"/>
  <c r="AL129" i="20"/>
  <c r="AC129" i="20"/>
  <c r="N129" i="20"/>
  <c r="K129" i="20"/>
  <c r="AB22" i="20"/>
  <c r="V128" i="20"/>
  <c r="AT31" i="20"/>
  <c r="AB31" i="20"/>
  <c r="AS31" i="20"/>
  <c r="AR31" i="20"/>
  <c r="AL31" i="20"/>
  <c r="AI31" i="20"/>
  <c r="AC31" i="20"/>
  <c r="Q31" i="20"/>
  <c r="AP31" i="20" s="1"/>
  <c r="V31" i="20"/>
  <c r="N31" i="20"/>
  <c r="K31" i="20"/>
  <c r="Q99" i="20"/>
  <c r="AP99" i="20" s="1"/>
  <c r="Q89" i="20"/>
  <c r="AP89" i="20" s="1"/>
  <c r="Q87" i="20"/>
  <c r="AP87" i="20" s="1"/>
  <c r="Q98" i="20"/>
  <c r="AP98" i="20" s="1"/>
  <c r="AT22" i="20"/>
  <c r="AS22" i="20"/>
  <c r="AR22" i="20"/>
  <c r="AL22" i="20"/>
  <c r="AI22" i="20"/>
  <c r="AC22" i="20"/>
  <c r="Q22" i="20"/>
  <c r="AP22" i="20" s="1"/>
  <c r="AT102" i="20"/>
  <c r="Q102" i="20"/>
  <c r="AP102" i="20" s="1"/>
  <c r="AR102" i="20"/>
  <c r="AL102" i="20"/>
  <c r="AC102" i="20"/>
  <c r="AB102" i="20"/>
  <c r="V102" i="20"/>
  <c r="N102" i="20"/>
  <c r="K102" i="20"/>
  <c r="V22" i="20"/>
  <c r="N22" i="20"/>
  <c r="K22" i="20"/>
  <c r="AB77" i="20"/>
  <c r="AB78" i="20"/>
  <c r="AC96" i="20"/>
  <c r="AT100" i="20"/>
  <c r="AB100" i="20"/>
  <c r="Q100" i="20"/>
  <c r="AP100" i="20" s="1"/>
  <c r="AR100" i="20"/>
  <c r="AL100" i="20"/>
  <c r="AC100" i="20"/>
  <c r="V100" i="20"/>
  <c r="AA100" i="20" s="1"/>
  <c r="N100" i="20"/>
  <c r="K100" i="20"/>
  <c r="AT45" i="20"/>
  <c r="AB45" i="20"/>
  <c r="Q45" i="20"/>
  <c r="AP45" i="20" s="1"/>
  <c r="AR45" i="20"/>
  <c r="AS45" i="20"/>
  <c r="AL45" i="20"/>
  <c r="AC45" i="20"/>
  <c r="V45" i="20"/>
  <c r="N45" i="20"/>
  <c r="K45" i="20"/>
  <c r="AL78" i="20"/>
  <c r="AI78" i="20"/>
  <c r="Q78" i="20"/>
  <c r="AP78" i="20" s="1"/>
  <c r="AR78" i="20"/>
  <c r="BK78" i="20" s="1"/>
  <c r="AS78" i="20"/>
  <c r="AC78" i="20"/>
  <c r="BL78" i="20"/>
  <c r="N78" i="20"/>
  <c r="AS25" i="20"/>
  <c r="AR25" i="20"/>
  <c r="AL25" i="20"/>
  <c r="AI25" i="20"/>
  <c r="AC25" i="20"/>
  <c r="AP25" i="20"/>
  <c r="AA25" i="20"/>
  <c r="BM78" i="20"/>
  <c r="AI16" i="20"/>
  <c r="AI15" i="20"/>
  <c r="AP93" i="20"/>
  <c r="AR93" i="20"/>
  <c r="BK93" i="20" s="1"/>
  <c r="AB11" i="20"/>
  <c r="AT15" i="20"/>
  <c r="AB15" i="20"/>
  <c r="Q57" i="20"/>
  <c r="AP57" i="20" s="1"/>
  <c r="AT19" i="20"/>
  <c r="Q19" i="20"/>
  <c r="AP19" i="20" s="1"/>
  <c r="AT18" i="20"/>
  <c r="AT12" i="20"/>
  <c r="AT10" i="20"/>
  <c r="Q10" i="20"/>
  <c r="AP10" i="20" s="1"/>
  <c r="AT9" i="20"/>
  <c r="Q94" i="20"/>
  <c r="AP94" i="20" s="1"/>
  <c r="AR95" i="20"/>
  <c r="BK95" i="20" s="1"/>
  <c r="AL95" i="20"/>
  <c r="AC95" i="20"/>
  <c r="N95" i="20"/>
  <c r="K95" i="20"/>
  <c r="AR98" i="20"/>
  <c r="AL98" i="20"/>
  <c r="AC98" i="20"/>
  <c r="AB98" i="20"/>
  <c r="N98" i="20"/>
  <c r="K98" i="20"/>
  <c r="N96" i="20"/>
  <c r="K96" i="20"/>
  <c r="N94" i="20"/>
  <c r="K94" i="20"/>
  <c r="AR96" i="20"/>
  <c r="BK96" i="20" s="1"/>
  <c r="AP96" i="20"/>
  <c r="AL96" i="20"/>
  <c r="AR94" i="20"/>
  <c r="BK94" i="20" s="1"/>
  <c r="AL94" i="20"/>
  <c r="AC94" i="20"/>
  <c r="AL93" i="20"/>
  <c r="AC93" i="20"/>
  <c r="N93" i="20"/>
  <c r="K93" i="20"/>
  <c r="BL93" i="20"/>
  <c r="AT44" i="20"/>
  <c r="AB44" i="20"/>
  <c r="Q44" i="20"/>
  <c r="AP44" i="20" s="1"/>
  <c r="AR44" i="20"/>
  <c r="BK44" i="20" s="1"/>
  <c r="AS44" i="20"/>
  <c r="AL44" i="20"/>
  <c r="AC44" i="20"/>
  <c r="N44" i="20"/>
  <c r="K44" i="20"/>
  <c r="AT85" i="20"/>
  <c r="Q85" i="20"/>
  <c r="AP85" i="20" s="1"/>
  <c r="AT56" i="20"/>
  <c r="Q56" i="20"/>
  <c r="AP56" i="20" s="1"/>
  <c r="AB89" i="20"/>
  <c r="AT89" i="20"/>
  <c r="AT4" i="20"/>
  <c r="Q4" i="20"/>
  <c r="AP4" i="20" s="1"/>
  <c r="AT92" i="20"/>
  <c r="Q92" i="20"/>
  <c r="AP92" i="20" s="1"/>
  <c r="AL92" i="20"/>
  <c r="AB92" i="20"/>
  <c r="AR99" i="20"/>
  <c r="BK99" i="20" s="1"/>
  <c r="AL99" i="20"/>
  <c r="AC99" i="20"/>
  <c r="N99" i="20"/>
  <c r="K99" i="20"/>
  <c r="AR92" i="20"/>
  <c r="BK92" i="20" s="1"/>
  <c r="AC92" i="20"/>
  <c r="K92" i="20"/>
  <c r="AT43" i="20"/>
  <c r="AB43" i="20"/>
  <c r="Q43" i="20"/>
  <c r="AP43" i="20" s="1"/>
  <c r="AB30" i="20"/>
  <c r="Q30" i="20"/>
  <c r="AP30" i="20" s="1"/>
  <c r="AB42" i="20"/>
  <c r="Q42" i="20"/>
  <c r="AP42" i="20" s="1"/>
  <c r="AR43" i="20"/>
  <c r="AS43" i="20"/>
  <c r="AR42" i="20"/>
  <c r="AS42" i="20"/>
  <c r="AO89" i="20"/>
  <c r="AS89" i="20" s="1"/>
  <c r="AL43" i="20"/>
  <c r="AL42" i="20"/>
  <c r="AL88" i="20"/>
  <c r="AC43" i="20"/>
  <c r="V43" i="20"/>
  <c r="N43" i="20"/>
  <c r="K43" i="20"/>
  <c r="AC42" i="20"/>
  <c r="N42" i="20"/>
  <c r="K42" i="20"/>
  <c r="BL87" i="20"/>
  <c r="BL86" i="20"/>
  <c r="AR89" i="20"/>
  <c r="AL89" i="20"/>
  <c r="AI89" i="20"/>
  <c r="AC89" i="20"/>
  <c r="V89" i="20"/>
  <c r="K89" i="20"/>
  <c r="AT62" i="20"/>
  <c r="Q62" i="20"/>
  <c r="AP62" i="20" s="1"/>
  <c r="AT35" i="20"/>
  <c r="AS35" i="20"/>
  <c r="AR35" i="20"/>
  <c r="AL35" i="20"/>
  <c r="AI35" i="20"/>
  <c r="AC35" i="20"/>
  <c r="AB35" i="20"/>
  <c r="Q35" i="20"/>
  <c r="AP35" i="20" s="1"/>
  <c r="V35" i="20"/>
  <c r="N35" i="20"/>
  <c r="K35" i="20"/>
  <c r="AR61" i="20"/>
  <c r="BK61" i="20" s="1"/>
  <c r="AR88" i="20"/>
  <c r="AC88" i="20"/>
  <c r="V88" i="20"/>
  <c r="Q88" i="20"/>
  <c r="AP88" i="20" s="1"/>
  <c r="K88" i="20"/>
  <c r="AR71" i="20"/>
  <c r="AL71" i="20"/>
  <c r="AC71" i="20"/>
  <c r="V71" i="20"/>
  <c r="Q71" i="20"/>
  <c r="AP71" i="20" s="1"/>
  <c r="N71" i="20"/>
  <c r="K71" i="20"/>
  <c r="AB87" i="20"/>
  <c r="AB86" i="20"/>
  <c r="AT86" i="20"/>
  <c r="Q86" i="20"/>
  <c r="AP86" i="20" s="1"/>
  <c r="AT7" i="20"/>
  <c r="AB7" i="20"/>
  <c r="Q39" i="20"/>
  <c r="AP39" i="20" s="1"/>
  <c r="AS85" i="20"/>
  <c r="AL85" i="20"/>
  <c r="AI85" i="20"/>
  <c r="AC85" i="20"/>
  <c r="N85" i="20"/>
  <c r="K85" i="20"/>
  <c r="AR86" i="20"/>
  <c r="AS86" i="20"/>
  <c r="AL86" i="20"/>
  <c r="AI86" i="20"/>
  <c r="AC86" i="20"/>
  <c r="K86" i="20"/>
  <c r="AT87" i="20"/>
  <c r="AS39" i="20"/>
  <c r="AS87" i="20"/>
  <c r="AR87" i="20"/>
  <c r="AL87" i="20"/>
  <c r="AI87" i="20"/>
  <c r="AC87" i="20"/>
  <c r="K87" i="20"/>
  <c r="AT82" i="20"/>
  <c r="AO82" i="20"/>
  <c r="AS82" i="20" s="1"/>
  <c r="AI33" i="20"/>
  <c r="AI27" i="20"/>
  <c r="AI23" i="20"/>
  <c r="AI30" i="20"/>
  <c r="AI19" i="20"/>
  <c r="AI18" i="20"/>
  <c r="AI14" i="20"/>
  <c r="AI12" i="20"/>
  <c r="AI11" i="20"/>
  <c r="AI10" i="20"/>
  <c r="AI9" i="20"/>
  <c r="AI7" i="20"/>
  <c r="AI6" i="20"/>
  <c r="AI4" i="20"/>
  <c r="AI82" i="20"/>
  <c r="AI81" i="20"/>
  <c r="AI41" i="20"/>
  <c r="AI40" i="20"/>
  <c r="AI66" i="20"/>
  <c r="AI79" i="20"/>
  <c r="AI77" i="20"/>
  <c r="AI39" i="20"/>
  <c r="AI62" i="20"/>
  <c r="AI61" i="20"/>
  <c r="AI60" i="20"/>
  <c r="AI58" i="20"/>
  <c r="AI56" i="20"/>
  <c r="AI55" i="20"/>
  <c r="AI54" i="20"/>
  <c r="Q82" i="20"/>
  <c r="AP82" i="20" s="1"/>
  <c r="K82" i="20"/>
  <c r="K41" i="20"/>
  <c r="K40" i="20"/>
  <c r="K66" i="20"/>
  <c r="K79" i="20"/>
  <c r="K77" i="20"/>
  <c r="K39" i="20"/>
  <c r="K62" i="20"/>
  <c r="K57" i="20"/>
  <c r="AR82" i="20"/>
  <c r="AL82" i="20"/>
  <c r="AC82" i="20"/>
  <c r="V82" i="20"/>
  <c r="N82" i="20"/>
  <c r="AT27" i="20"/>
  <c r="AB27" i="20"/>
  <c r="AS27" i="20"/>
  <c r="AR27" i="20"/>
  <c r="AL27" i="20"/>
  <c r="AC27" i="20"/>
  <c r="V27" i="20"/>
  <c r="AA27" i="20" s="1"/>
  <c r="Q27" i="20"/>
  <c r="AP27" i="20" s="1"/>
  <c r="N27" i="20"/>
  <c r="K27" i="20"/>
  <c r="Q81" i="20"/>
  <c r="AP81" i="20" s="1"/>
  <c r="AS81" i="20"/>
  <c r="AR81" i="20"/>
  <c r="AL81" i="20"/>
  <c r="AC81" i="20"/>
  <c r="V81" i="20"/>
  <c r="AA81" i="20" s="1"/>
  <c r="AQ81" i="20" s="1"/>
  <c r="N81" i="20"/>
  <c r="AP41" i="20"/>
  <c r="Q40" i="20"/>
  <c r="AP40" i="20" s="1"/>
  <c r="AS41" i="20"/>
  <c r="AR41" i="20"/>
  <c r="AL41" i="20"/>
  <c r="AC41" i="20"/>
  <c r="AB41" i="20"/>
  <c r="V41" i="20"/>
  <c r="AA41" i="20" s="1"/>
  <c r="AS40" i="20"/>
  <c r="AR40" i="20"/>
  <c r="AL40" i="20"/>
  <c r="AC40" i="20"/>
  <c r="AB40" i="20"/>
  <c r="V40" i="20"/>
  <c r="X40" i="20" s="1"/>
  <c r="N40" i="20"/>
  <c r="BL79" i="20"/>
  <c r="BL77" i="20"/>
  <c r="AS66" i="20"/>
  <c r="AR66" i="20"/>
  <c r="AL66" i="20"/>
  <c r="AC66" i="20"/>
  <c r="V66" i="20"/>
  <c r="N66" i="20"/>
  <c r="AT57" i="20"/>
  <c r="AB57" i="20"/>
  <c r="AT79" i="20"/>
  <c r="AS79" i="20"/>
  <c r="AR79" i="20"/>
  <c r="AL79" i="20"/>
  <c r="AC79" i="20"/>
  <c r="AB79" i="20"/>
  <c r="V79" i="20"/>
  <c r="AA79" i="20" s="1"/>
  <c r="Q79" i="20"/>
  <c r="AP79" i="20" s="1"/>
  <c r="AT39" i="20"/>
  <c r="AR39" i="20"/>
  <c r="BK39" i="20" s="1"/>
  <c r="AL39" i="20"/>
  <c r="AC39" i="20"/>
  <c r="V39" i="20"/>
  <c r="AA39" i="20" s="1"/>
  <c r="AQ39" i="20" s="1"/>
  <c r="N39" i="20"/>
  <c r="N77" i="20"/>
  <c r="Q77" i="20"/>
  <c r="AP77" i="20" s="1"/>
  <c r="AC77" i="20"/>
  <c r="AL77" i="20"/>
  <c r="AO77" i="20"/>
  <c r="AS77" i="20" s="1"/>
  <c r="AR77" i="20"/>
  <c r="BK77" i="20" s="1"/>
  <c r="Q59" i="20"/>
  <c r="AP59" i="20" s="1"/>
  <c r="AS62" i="20"/>
  <c r="AR62" i="20"/>
  <c r="BK62" i="20" s="1"/>
  <c r="AL62" i="20"/>
  <c r="AC62" i="20"/>
  <c r="AB62" i="20"/>
  <c r="N62" i="20"/>
  <c r="AS61" i="20"/>
  <c r="AL61" i="20"/>
  <c r="AC61" i="20"/>
  <c r="Q61" i="20"/>
  <c r="AP61" i="20" s="1"/>
  <c r="N61" i="20"/>
  <c r="AT60" i="20"/>
  <c r="AR60" i="20"/>
  <c r="BK60" i="20" s="1"/>
  <c r="AO60" i="20"/>
  <c r="AS60" i="20" s="1"/>
  <c r="AL60" i="20"/>
  <c r="AC60" i="20"/>
  <c r="AB60" i="20"/>
  <c r="Q60" i="20"/>
  <c r="AP60" i="20" s="1"/>
  <c r="N60" i="20"/>
  <c r="AR59" i="20"/>
  <c r="AO59" i="20"/>
  <c r="AS59" i="20" s="1"/>
  <c r="AC59" i="20"/>
  <c r="AB59" i="20"/>
  <c r="AS58" i="20"/>
  <c r="AR58" i="20"/>
  <c r="AL58" i="20"/>
  <c r="AC58" i="20"/>
  <c r="V58" i="20"/>
  <c r="AA58" i="20" s="1"/>
  <c r="AQ58" i="20" s="1"/>
  <c r="Q58" i="20"/>
  <c r="AP58" i="20" s="1"/>
  <c r="N58" i="20"/>
  <c r="AR57" i="20"/>
  <c r="BK57" i="20" s="1"/>
  <c r="AS57" i="20"/>
  <c r="AL57" i="20"/>
  <c r="AC57" i="20"/>
  <c r="V57" i="20"/>
  <c r="N57" i="20"/>
  <c r="AS56" i="20"/>
  <c r="AR56" i="20"/>
  <c r="BK56" i="20" s="1"/>
  <c r="AL56" i="20"/>
  <c r="AC56" i="20"/>
  <c r="N56" i="20"/>
  <c r="K56" i="20"/>
  <c r="AS55" i="20"/>
  <c r="AR55" i="20"/>
  <c r="AL55" i="20"/>
  <c r="AC55" i="20"/>
  <c r="V55" i="20"/>
  <c r="Q55" i="20"/>
  <c r="AP55" i="20" s="1"/>
  <c r="N55" i="20"/>
  <c r="K55" i="20"/>
  <c r="AS54" i="20"/>
  <c r="AR54" i="20"/>
  <c r="BK54" i="20" s="1"/>
  <c r="AL54" i="20"/>
  <c r="AC54" i="20"/>
  <c r="V54" i="20"/>
  <c r="N54" i="20"/>
  <c r="K54" i="20"/>
  <c r="AT33" i="20"/>
  <c r="AS33" i="20"/>
  <c r="AR33" i="20"/>
  <c r="AL33" i="20"/>
  <c r="AC33" i="20"/>
  <c r="AB33" i="20"/>
  <c r="V33" i="20"/>
  <c r="AA33" i="20" s="1"/>
  <c r="Q33" i="20"/>
  <c r="AP33" i="20" s="1"/>
  <c r="N33" i="20"/>
  <c r="K33" i="20"/>
  <c r="AT23" i="20"/>
  <c r="AS23" i="20"/>
  <c r="AR23" i="20"/>
  <c r="AL23" i="20"/>
  <c r="AC23" i="20"/>
  <c r="V23" i="20"/>
  <c r="Q23" i="20"/>
  <c r="AP23" i="20" s="1"/>
  <c r="N23" i="20"/>
  <c r="K23" i="20"/>
  <c r="AT30" i="20"/>
  <c r="AS30" i="20"/>
  <c r="AR30" i="20"/>
  <c r="AL30" i="20"/>
  <c r="AC30" i="20"/>
  <c r="V30" i="20"/>
  <c r="N30" i="20"/>
  <c r="K30" i="20"/>
  <c r="AS19" i="20"/>
  <c r="AR19" i="20"/>
  <c r="AL19" i="20"/>
  <c r="AC19" i="20"/>
  <c r="AB19" i="20"/>
  <c r="V19" i="20"/>
  <c r="N19" i="20"/>
  <c r="K19" i="20"/>
  <c r="AS18" i="20"/>
  <c r="AR18" i="20"/>
  <c r="BK18" i="20" s="1"/>
  <c r="AL18" i="20"/>
  <c r="AC18" i="20"/>
  <c r="N18" i="20"/>
  <c r="K18" i="20"/>
  <c r="AT16" i="20"/>
  <c r="AR16" i="20"/>
  <c r="BK16" i="20" s="1"/>
  <c r="AO16" i="20"/>
  <c r="AS16" i="20" s="1"/>
  <c r="AL16" i="20"/>
  <c r="AC16" i="20"/>
  <c r="Q16" i="20"/>
  <c r="AP16" i="20" s="1"/>
  <c r="N16" i="20"/>
  <c r="K16" i="20"/>
  <c r="AS15" i="20"/>
  <c r="AR15" i="20"/>
  <c r="AL15" i="20"/>
  <c r="AC15" i="20"/>
  <c r="N15" i="20"/>
  <c r="AT14" i="20"/>
  <c r="AR14" i="20"/>
  <c r="AO14" i="20"/>
  <c r="AS14" i="20" s="1"/>
  <c r="AL14" i="20"/>
  <c r="AC14" i="20"/>
  <c r="K14" i="20"/>
  <c r="AS12" i="20"/>
  <c r="AR12" i="20"/>
  <c r="AL12" i="20"/>
  <c r="AC12" i="20"/>
  <c r="AB12" i="20"/>
  <c r="V12" i="20"/>
  <c r="Q12" i="20"/>
  <c r="AP12" i="20" s="1"/>
  <c r="K12" i="20"/>
  <c r="AR11" i="20"/>
  <c r="AL11" i="20"/>
  <c r="AC11" i="20"/>
  <c r="BL10" i="20"/>
  <c r="AS10" i="20"/>
  <c r="AR10" i="20"/>
  <c r="AL10" i="20"/>
  <c r="AC10" i="20"/>
  <c r="AB10" i="20"/>
  <c r="K10" i="20"/>
  <c r="AS9" i="20"/>
  <c r="AR9" i="20"/>
  <c r="BK9" i="20" s="1"/>
  <c r="AL9" i="20"/>
  <c r="AC9" i="20"/>
  <c r="N9" i="20"/>
  <c r="K9" i="20"/>
  <c r="AS7" i="20"/>
  <c r="AR7" i="20"/>
  <c r="BK7" i="20" s="1"/>
  <c r="AL7" i="20"/>
  <c r="AC7" i="20"/>
  <c r="N7" i="20"/>
  <c r="K7" i="20"/>
  <c r="BL6" i="20"/>
  <c r="AS6" i="20"/>
  <c r="AR6" i="20"/>
  <c r="BK6" i="20" s="1"/>
  <c r="AL6" i="20"/>
  <c r="AC6" i="20"/>
  <c r="V6" i="20"/>
  <c r="AA6" i="20" s="1"/>
  <c r="AQ6" i="20" s="1"/>
  <c r="Q6" i="20"/>
  <c r="AP6" i="20" s="1"/>
  <c r="N6" i="20"/>
  <c r="K6" i="20"/>
  <c r="AS4" i="20"/>
  <c r="AR4" i="20"/>
  <c r="AL4" i="20"/>
  <c r="AC4" i="20"/>
  <c r="AB4" i="20"/>
  <c r="V4" i="20"/>
  <c r="N4" i="20"/>
  <c r="K4" i="20"/>
  <c r="BL92" i="20"/>
  <c r="BL85" i="20"/>
  <c r="BL82" i="20"/>
  <c r="V11" i="20"/>
  <c r="BL66" i="20"/>
  <c r="BL203" i="20"/>
  <c r="BM203" i="20"/>
  <c r="BL200" i="20"/>
  <c r="BM200" i="20"/>
  <c r="BL197" i="20"/>
  <c r="BM197" i="20"/>
  <c r="BL196" i="20"/>
  <c r="BM196" i="20"/>
  <c r="BL61" i="20"/>
  <c r="BL192" i="20"/>
  <c r="BL191" i="20"/>
  <c r="BL193" i="20"/>
  <c r="BM191" i="20"/>
  <c r="BM193" i="20"/>
  <c r="BL180" i="20"/>
  <c r="BL179" i="20"/>
  <c r="BM180" i="20"/>
  <c r="BM179" i="20"/>
  <c r="BL154" i="20"/>
  <c r="BL177" i="20"/>
  <c r="BM176" i="20"/>
  <c r="BL176" i="20"/>
  <c r="BM175" i="20"/>
  <c r="BL175" i="20"/>
  <c r="BL205" i="20"/>
  <c r="BL155" i="20"/>
  <c r="BL97" i="20"/>
  <c r="BM97" i="20"/>
  <c r="BL53" i="20"/>
  <c r="BM53" i="20"/>
  <c r="BL142" i="20"/>
  <c r="BL140" i="20"/>
  <c r="BM140" i="20"/>
  <c r="BL16" i="20"/>
  <c r="BM14" i="20"/>
  <c r="BL39" i="20"/>
  <c r="BL103" i="20"/>
  <c r="BL104" i="20"/>
  <c r="BM103" i="20"/>
  <c r="BM104" i="20"/>
  <c r="BL83" i="20"/>
  <c r="BL42" i="20"/>
  <c r="BL62" i="20"/>
  <c r="BL44" i="20"/>
  <c r="BL56" i="20"/>
  <c r="BL15" i="20"/>
  <c r="BL57" i="20"/>
  <c r="BL60" i="20"/>
  <c r="BL129" i="20"/>
  <c r="BL128" i="20"/>
  <c r="BM128" i="20"/>
  <c r="BM129" i="20"/>
  <c r="BM98" i="20"/>
  <c r="BL18" i="20"/>
  <c r="BL14" i="20"/>
  <c r="BM85" i="20"/>
  <c r="BL7" i="20"/>
  <c r="BM87" i="20"/>
  <c r="BL94" i="20"/>
  <c r="BM7" i="20"/>
  <c r="BL99" i="20"/>
  <c r="BL9" i="20"/>
  <c r="BL98" i="20"/>
  <c r="BM94" i="20"/>
  <c r="BM10" i="20"/>
  <c r="BM18" i="20"/>
  <c r="BM39" i="20"/>
  <c r="BM57" i="20"/>
  <c r="BM6" i="20"/>
  <c r="BM44" i="20"/>
  <c r="BM77" i="20"/>
  <c r="BM56" i="20"/>
  <c r="BM93" i="20"/>
  <c r="BM16" i="20"/>
  <c r="BM66" i="20"/>
  <c r="BM82" i="20"/>
  <c r="BM99" i="20"/>
  <c r="BM60" i="20"/>
  <c r="BL96" i="20"/>
  <c r="BM92" i="20"/>
  <c r="BM79" i="20"/>
  <c r="BM62" i="20"/>
  <c r="BM15" i="20"/>
  <c r="BM96" i="20"/>
  <c r="BM9" i="20"/>
  <c r="AA1" i="20"/>
  <c r="BL178" i="20"/>
  <c r="BM178" i="20"/>
  <c r="BL194" i="20"/>
  <c r="BM194" i="20"/>
  <c r="BL198" i="20"/>
  <c r="BL158" i="20"/>
  <c r="U140" i="20"/>
  <c r="V140" i="20" s="1"/>
  <c r="BM170" i="20"/>
  <c r="BM207" i="20"/>
  <c r="BL207" i="20"/>
  <c r="BL54" i="20"/>
  <c r="BM158" i="20"/>
  <c r="BM198" i="20"/>
  <c r="V43" i="22" l="1"/>
  <c r="V48" i="22"/>
  <c r="U48" i="22"/>
  <c r="V47" i="22"/>
  <c r="BK45" i="22"/>
  <c r="BN8" i="20"/>
  <c r="BK44" i="22"/>
  <c r="BJ44" i="22"/>
  <c r="BC44" i="22" s="1"/>
  <c r="BI44" i="22"/>
  <c r="BB44" i="22" s="1"/>
  <c r="BH44" i="22"/>
  <c r="BM43" i="22"/>
  <c r="BK43" i="22"/>
  <c r="BQ43" i="22"/>
  <c r="BH43" i="22"/>
  <c r="BB43" i="22"/>
  <c r="BA43" i="22"/>
  <c r="BC43" i="22"/>
  <c r="BL13" i="20"/>
  <c r="BE13" i="20" s="1"/>
  <c r="BK13" i="20"/>
  <c r="BN13" i="20"/>
  <c r="BM13" i="20"/>
  <c r="BF13" i="20" s="1"/>
  <c r="BK42" i="22"/>
  <c r="BD42" i="22" s="1"/>
  <c r="BN17" i="20"/>
  <c r="U9" i="22"/>
  <c r="BJ9" i="22" s="1"/>
  <c r="BN144" i="20"/>
  <c r="BK41" i="22"/>
  <c r="BD41" i="22" s="1"/>
  <c r="BK40" i="22"/>
  <c r="BD40" i="22" s="1"/>
  <c r="BN52" i="20"/>
  <c r="BN101" i="20"/>
  <c r="BK101" i="20"/>
  <c r="X203" i="20"/>
  <c r="BI37" i="22"/>
  <c r="BB37" i="22" s="1"/>
  <c r="BJ37" i="22"/>
  <c r="BC37" i="22" s="1"/>
  <c r="BK37" i="22"/>
  <c r="BH37" i="22"/>
  <c r="BL131" i="20"/>
  <c r="BN226" i="20"/>
  <c r="BG226" i="20" s="1"/>
  <c r="X18" i="20"/>
  <c r="BJ33" i="22"/>
  <c r="BC33" i="22" s="1"/>
  <c r="BK33" i="22"/>
  <c r="BI33" i="22"/>
  <c r="BB33" i="22" s="1"/>
  <c r="BH33" i="22"/>
  <c r="X112" i="20"/>
  <c r="BM112" i="20" s="1"/>
  <c r="BL138" i="20"/>
  <c r="BE138" i="20" s="1"/>
  <c r="BM138" i="20"/>
  <c r="BF138" i="20" s="1"/>
  <c r="BK138" i="20"/>
  <c r="BN138" i="20"/>
  <c r="BN201" i="20"/>
  <c r="BN38" i="20"/>
  <c r="U160" i="20"/>
  <c r="U4" i="22"/>
  <c r="BJ4" i="22" s="1"/>
  <c r="BC4" i="22" s="1"/>
  <c r="BK27" i="22"/>
  <c r="BJ27" i="22"/>
  <c r="BC27" i="22" s="1"/>
  <c r="BI27" i="22"/>
  <c r="BB27" i="22" s="1"/>
  <c r="BH27" i="22"/>
  <c r="BL134" i="20"/>
  <c r="BN134" i="20"/>
  <c r="BG134" i="20" s="1"/>
  <c r="BM134" i="20"/>
  <c r="BF134" i="20" s="1"/>
  <c r="BL141" i="20"/>
  <c r="BN141" i="20"/>
  <c r="BM141" i="20"/>
  <c r="BF141" i="20" s="1"/>
  <c r="BN130" i="20"/>
  <c r="BL130" i="20"/>
  <c r="BM130" i="20"/>
  <c r="BL227" i="20"/>
  <c r="BE227" i="20" s="1"/>
  <c r="BK227" i="20"/>
  <c r="BN227" i="20"/>
  <c r="BM227" i="20"/>
  <c r="BF227" i="20" s="1"/>
  <c r="BK26" i="22"/>
  <c r="BD26" i="22" s="1"/>
  <c r="BL159" i="20"/>
  <c r="BE159" i="20" s="1"/>
  <c r="BK159" i="20"/>
  <c r="BN159" i="20"/>
  <c r="BM159" i="20"/>
  <c r="BF159" i="20" s="1"/>
  <c r="BI9" i="22"/>
  <c r="BJ24" i="22"/>
  <c r="BC24" i="22" s="1"/>
  <c r="BI24" i="22"/>
  <c r="BI25" i="22"/>
  <c r="BJ25" i="22"/>
  <c r="BC25" i="22" s="1"/>
  <c r="AN8" i="22"/>
  <c r="BF8" i="22" s="1"/>
  <c r="V110" i="20"/>
  <c r="X110" i="20" s="1"/>
  <c r="BM110" i="20" s="1"/>
  <c r="T122" i="20"/>
  <c r="N11" i="21" s="1"/>
  <c r="R11" i="21" s="1"/>
  <c r="BN199" i="20"/>
  <c r="V78" i="20"/>
  <c r="AA78" i="20" s="1"/>
  <c r="AQ78" i="20" s="1"/>
  <c r="AU78" i="20" s="1"/>
  <c r="AA19" i="20"/>
  <c r="AQ19" i="20" s="1"/>
  <c r="BI19" i="20" s="1"/>
  <c r="V129" i="20"/>
  <c r="X129" i="20" s="1"/>
  <c r="BK20" i="22"/>
  <c r="BD20" i="22" s="1"/>
  <c r="U10" i="22"/>
  <c r="BJ10" i="22" s="1"/>
  <c r="X89" i="20"/>
  <c r="BM89" i="20" s="1"/>
  <c r="BN67" i="20"/>
  <c r="BK19" i="22"/>
  <c r="BD19" i="22" s="1"/>
  <c r="BL137" i="20"/>
  <c r="BE137" i="20" s="1"/>
  <c r="BK137" i="20"/>
  <c r="BN137" i="20"/>
  <c r="BM137" i="20"/>
  <c r="BF137" i="20" s="1"/>
  <c r="BT42" i="20"/>
  <c r="BT22" i="20"/>
  <c r="BP70" i="20"/>
  <c r="AQ189" i="20"/>
  <c r="AU189" i="20" s="1"/>
  <c r="BP100" i="20"/>
  <c r="BL23" i="20"/>
  <c r="AQ190" i="20"/>
  <c r="AU190" i="20" s="1"/>
  <c r="BP154" i="20"/>
  <c r="BV198" i="20"/>
  <c r="BP35" i="20"/>
  <c r="BK42" i="20"/>
  <c r="BR42" i="20" s="1"/>
  <c r="BP28" i="20"/>
  <c r="X204" i="20"/>
  <c r="BM204" i="20" s="1"/>
  <c r="BL100" i="20"/>
  <c r="BL28" i="20"/>
  <c r="BK176" i="20"/>
  <c r="BR176" i="20" s="1"/>
  <c r="BP206" i="20"/>
  <c r="BT55" i="20"/>
  <c r="BL102" i="20"/>
  <c r="BL181" i="20"/>
  <c r="X111" i="20"/>
  <c r="BM111" i="20" s="1"/>
  <c r="BL91" i="20"/>
  <c r="BL115" i="20"/>
  <c r="BT66" i="20"/>
  <c r="BT192" i="20"/>
  <c r="BL153" i="20"/>
  <c r="BL95" i="20"/>
  <c r="BV95" i="20" s="1"/>
  <c r="BN195" i="20"/>
  <c r="BV92" i="20"/>
  <c r="BY92" i="20" s="1"/>
  <c r="BT36" i="20"/>
  <c r="BP207" i="20"/>
  <c r="BN92" i="20"/>
  <c r="BL204" i="20"/>
  <c r="BL146" i="20"/>
  <c r="BT190" i="20"/>
  <c r="BH6" i="22"/>
  <c r="BI6" i="22"/>
  <c r="BS13" i="22"/>
  <c r="X12" i="22"/>
  <c r="AN12" i="22" s="1"/>
  <c r="AR12" i="22" s="1"/>
  <c r="BN182" i="20"/>
  <c r="BK15" i="22"/>
  <c r="X156" i="20"/>
  <c r="BM156" i="20" s="1"/>
  <c r="AQ197" i="20"/>
  <c r="BI197" i="20" s="1"/>
  <c r="AA203" i="20"/>
  <c r="AQ203" i="20" s="1"/>
  <c r="BP104" i="20"/>
  <c r="AN6" i="22"/>
  <c r="AR6" i="22" s="1"/>
  <c r="AZ6" i="22" s="1"/>
  <c r="BN149" i="20"/>
  <c r="BP112" i="20"/>
  <c r="BP109" i="20"/>
  <c r="AQ135" i="20"/>
  <c r="BI135" i="20" s="1"/>
  <c r="AQ51" i="20"/>
  <c r="BI51" i="20" s="1"/>
  <c r="AN9" i="22"/>
  <c r="BN155" i="20"/>
  <c r="BV155" i="20" s="1"/>
  <c r="BI18" i="22"/>
  <c r="BB18" i="22" s="1"/>
  <c r="BJ18" i="22"/>
  <c r="BC18" i="22" s="1"/>
  <c r="BK18" i="22"/>
  <c r="BL80" i="20"/>
  <c r="BM80" i="20"/>
  <c r="BF80" i="20" s="1"/>
  <c r="BN80" i="20"/>
  <c r="BG80" i="20" s="1"/>
  <c r="BH18" i="22"/>
  <c r="BN135" i="20"/>
  <c r="BP200" i="20"/>
  <c r="AQ99" i="20"/>
  <c r="AU99" i="20" s="1"/>
  <c r="BT182" i="20"/>
  <c r="BT121" i="20"/>
  <c r="BN15" i="20"/>
  <c r="X153" i="20"/>
  <c r="BM153" i="20" s="1"/>
  <c r="BT30" i="20"/>
  <c r="BP93" i="20"/>
  <c r="AA104" i="20"/>
  <c r="AQ104" i="20" s="1"/>
  <c r="BE104" i="20" s="1"/>
  <c r="X190" i="20"/>
  <c r="BM190" i="20" s="1"/>
  <c r="L164" i="20"/>
  <c r="U13" i="21" s="1"/>
  <c r="W13" i="21" s="1"/>
  <c r="BK153" i="20"/>
  <c r="BT15" i="20"/>
  <c r="X100" i="20"/>
  <c r="BM100" i="20" s="1"/>
  <c r="BN145" i="20"/>
  <c r="BN55" i="20"/>
  <c r="X58" i="20"/>
  <c r="BM58" i="20" s="1"/>
  <c r="BF58" i="20" s="1"/>
  <c r="AQ120" i="20"/>
  <c r="BI120" i="20" s="1"/>
  <c r="AQ156" i="20"/>
  <c r="BI156" i="20" s="1"/>
  <c r="BK181" i="20"/>
  <c r="BP181" i="20"/>
  <c r="BT181" i="20"/>
  <c r="BP51" i="20"/>
  <c r="BN51" i="20"/>
  <c r="BK51" i="20"/>
  <c r="BP204" i="20"/>
  <c r="BT204" i="20"/>
  <c r="AU6" i="20"/>
  <c r="BD6" i="20" s="1"/>
  <c r="V171" i="20"/>
  <c r="X171" i="20" s="1"/>
  <c r="BM171" i="20" s="1"/>
  <c r="AA204" i="20"/>
  <c r="AQ204" i="20" s="1"/>
  <c r="BI204" i="20" s="1"/>
  <c r="BP176" i="20"/>
  <c r="BT129" i="20"/>
  <c r="BT149" i="20"/>
  <c r="AQ206" i="20"/>
  <c r="BV128" i="20"/>
  <c r="AQ166" i="20"/>
  <c r="AU166" i="20" s="1"/>
  <c r="BT148" i="20"/>
  <c r="BP142" i="20"/>
  <c r="BV194" i="20"/>
  <c r="BP92" i="20"/>
  <c r="BN191" i="20"/>
  <c r="X135" i="20"/>
  <c r="BM135" i="20" s="1"/>
  <c r="X213" i="20"/>
  <c r="BT58" i="20"/>
  <c r="X28" i="20"/>
  <c r="BM28" i="20" s="1"/>
  <c r="X99" i="20"/>
  <c r="BK22" i="20"/>
  <c r="X54" i="20"/>
  <c r="BM54" i="20" s="1"/>
  <c r="BK11" i="20"/>
  <c r="BT143" i="20"/>
  <c r="BP16" i="20"/>
  <c r="BK151" i="20"/>
  <c r="U6" i="22"/>
  <c r="BJ6" i="22" s="1"/>
  <c r="BS14" i="22"/>
  <c r="BF4" i="22"/>
  <c r="X7" i="22"/>
  <c r="AN7" i="22" s="1"/>
  <c r="AR7" i="22" s="1"/>
  <c r="U14" i="22"/>
  <c r="BJ14" i="22" s="1"/>
  <c r="AN14" i="22"/>
  <c r="BB14" i="22" s="1"/>
  <c r="BR14" i="22" s="1"/>
  <c r="BH8" i="22"/>
  <c r="BP202" i="20"/>
  <c r="BT202" i="20"/>
  <c r="BN202" i="20"/>
  <c r="BT170" i="20"/>
  <c r="BP170" i="20"/>
  <c r="BH9" i="22"/>
  <c r="BM9" i="22"/>
  <c r="BK9" i="22"/>
  <c r="BQ9" i="22"/>
  <c r="BP198" i="20"/>
  <c r="BT198" i="20"/>
  <c r="BP44" i="20"/>
  <c r="BT44" i="20"/>
  <c r="BT5" i="20"/>
  <c r="BP5" i="20"/>
  <c r="BP94" i="20"/>
  <c r="BT94" i="20"/>
  <c r="BQ12" i="22"/>
  <c r="BM12" i="22"/>
  <c r="BP133" i="20"/>
  <c r="BT133" i="20"/>
  <c r="BP86" i="20"/>
  <c r="BN86" i="20"/>
  <c r="BT86" i="20"/>
  <c r="BQ7" i="22"/>
  <c r="BH7" i="22"/>
  <c r="X11" i="22"/>
  <c r="AN11" i="22" s="1"/>
  <c r="U11" i="22"/>
  <c r="BJ11" i="22" s="1"/>
  <c r="BP61" i="20"/>
  <c r="BT61" i="20"/>
  <c r="AA196" i="20"/>
  <c r="AQ196" i="20" s="1"/>
  <c r="L126" i="20"/>
  <c r="U11" i="21" s="1"/>
  <c r="W11" i="21" s="1"/>
  <c r="X103" i="20"/>
  <c r="X39" i="20"/>
  <c r="BW6" i="20"/>
  <c r="BV7" i="20"/>
  <c r="BV129" i="20"/>
  <c r="BV10" i="20"/>
  <c r="BY10" i="20" s="1"/>
  <c r="BR78" i="20"/>
  <c r="AA112" i="20"/>
  <c r="AQ112" i="20" s="1"/>
  <c r="BI112" i="20" s="1"/>
  <c r="X10" i="22"/>
  <c r="AN10" i="22" s="1"/>
  <c r="BQ13" i="22"/>
  <c r="X202" i="20"/>
  <c r="X10" i="20"/>
  <c r="U8" i="22"/>
  <c r="BJ8" i="22" s="1"/>
  <c r="AQ207" i="20"/>
  <c r="BW207" i="20" s="1"/>
  <c r="AA89" i="20"/>
  <c r="AQ89" i="20" s="1"/>
  <c r="AQ28" i="20"/>
  <c r="AU28" i="20" s="1"/>
  <c r="BD28" i="20" s="1"/>
  <c r="AR4" i="22"/>
  <c r="AZ4" i="22" s="1"/>
  <c r="BJ7" i="22"/>
  <c r="X15" i="20"/>
  <c r="X79" i="20"/>
  <c r="BV18" i="20"/>
  <c r="BI8" i="22"/>
  <c r="BT150" i="20"/>
  <c r="BN189" i="20"/>
  <c r="BN147" i="20"/>
  <c r="AQ179" i="20"/>
  <c r="BI179" i="20" s="1"/>
  <c r="Y218" i="20"/>
  <c r="X218" i="20"/>
  <c r="BV6" i="20"/>
  <c r="AQ33" i="20"/>
  <c r="BI33" i="20" s="1"/>
  <c r="BK17" i="22"/>
  <c r="BI17" i="22"/>
  <c r="BB17" i="22" s="1"/>
  <c r="BJ17" i="22"/>
  <c r="BC17" i="22" s="1"/>
  <c r="BH17" i="22"/>
  <c r="V11" i="22"/>
  <c r="BK11" i="22" s="1"/>
  <c r="BS11" i="22" s="1"/>
  <c r="BN179" i="20"/>
  <c r="BK157" i="20"/>
  <c r="X81" i="20"/>
  <c r="BM81" i="20" s="1"/>
  <c r="BF81" i="20" s="1"/>
  <c r="X184" i="20"/>
  <c r="X51" i="20"/>
  <c r="BM51" i="20" s="1"/>
  <c r="BM13" i="22"/>
  <c r="AA36" i="20"/>
  <c r="AQ36" i="20" s="1"/>
  <c r="BI36" i="20" s="1"/>
  <c r="Y39" i="20"/>
  <c r="BP39" i="20" s="1"/>
  <c r="BH13" i="22"/>
  <c r="BO13" i="22" s="1"/>
  <c r="BV170" i="20"/>
  <c r="P8" i="21"/>
  <c r="Q8" i="21" s="1"/>
  <c r="BR171" i="20"/>
  <c r="BV202" i="20"/>
  <c r="BR200" i="20"/>
  <c r="BV200" i="20"/>
  <c r="BY200" i="20" s="1"/>
  <c r="AA205" i="20"/>
  <c r="AQ205" i="20" s="1"/>
  <c r="X205" i="20"/>
  <c r="BM205" i="20" s="1"/>
  <c r="BR56" i="20"/>
  <c r="X181" i="20"/>
  <c r="BM181" i="20" s="1"/>
  <c r="AA181" i="20"/>
  <c r="AQ181" i="20" s="1"/>
  <c r="Y194" i="20"/>
  <c r="BN194" i="20" s="1"/>
  <c r="X194" i="20"/>
  <c r="BT7" i="20"/>
  <c r="BP7" i="20"/>
  <c r="BI6" i="20"/>
  <c r="BJ6" i="20" s="1"/>
  <c r="BP157" i="20"/>
  <c r="BT19" i="20"/>
  <c r="BP14" i="20"/>
  <c r="BP189" i="20"/>
  <c r="BT115" i="20"/>
  <c r="BP115" i="20"/>
  <c r="BM6" i="22"/>
  <c r="BQ6" i="22"/>
  <c r="BP205" i="20"/>
  <c r="BT205" i="20"/>
  <c r="BT6" i="20"/>
  <c r="BP6" i="20"/>
  <c r="N14" i="21"/>
  <c r="BT11" i="20"/>
  <c r="X158" i="20"/>
  <c r="BT189" i="20"/>
  <c r="BT96" i="20"/>
  <c r="AA98" i="20"/>
  <c r="AQ98" i="20" s="1"/>
  <c r="X98" i="20"/>
  <c r="BP11" i="20"/>
  <c r="BP56" i="20"/>
  <c r="BT97" i="20"/>
  <c r="BT51" i="20"/>
  <c r="BT102" i="20"/>
  <c r="BT193" i="20"/>
  <c r="BK102" i="20"/>
  <c r="BV171" i="20"/>
  <c r="AQ41" i="20"/>
  <c r="BI41" i="20" s="1"/>
  <c r="AQ198" i="20"/>
  <c r="BE198" i="20" s="1"/>
  <c r="BO198" i="20" s="1"/>
  <c r="X19" i="20"/>
  <c r="BM19" i="20" s="1"/>
  <c r="BP114" i="20"/>
  <c r="BT114" i="20"/>
  <c r="AA147" i="20"/>
  <c r="AQ147" i="20" s="1"/>
  <c r="AU147" i="20" s="1"/>
  <c r="X147" i="20"/>
  <c r="BM147" i="20" s="1"/>
  <c r="AA5" i="20"/>
  <c r="AQ5" i="20" s="1"/>
  <c r="BI5" i="20" s="1"/>
  <c r="X5" i="20"/>
  <c r="BM5" i="20" s="1"/>
  <c r="X20" i="20"/>
  <c r="BM20" i="20" s="1"/>
  <c r="AA20" i="20"/>
  <c r="X6" i="20"/>
  <c r="X166" i="20"/>
  <c r="BM166" i="20" s="1"/>
  <c r="AA40" i="20"/>
  <c r="AQ40" i="20" s="1"/>
  <c r="X41" i="20"/>
  <c r="BM41" i="20" s="1"/>
  <c r="BI81" i="20"/>
  <c r="BR207" i="20"/>
  <c r="AA49" i="20"/>
  <c r="BN49" i="20"/>
  <c r="BN43" i="20"/>
  <c r="BL22" i="20"/>
  <c r="BK6" i="22"/>
  <c r="BD6" i="22" s="1"/>
  <c r="BT6" i="22" s="1"/>
  <c r="BN7" i="20"/>
  <c r="BN98" i="20"/>
  <c r="BV98" i="20" s="1"/>
  <c r="BN58" i="20"/>
  <c r="BG58" i="20" s="1"/>
  <c r="BW58" i="20" s="1"/>
  <c r="BN5" i="20"/>
  <c r="BL136" i="20"/>
  <c r="BN6" i="20"/>
  <c r="BG6" i="20" s="1"/>
  <c r="BN31" i="20"/>
  <c r="BL31" i="20"/>
  <c r="BL12" i="20"/>
  <c r="BL25" i="20"/>
  <c r="BN206" i="20"/>
  <c r="BN96" i="20"/>
  <c r="BN112" i="20"/>
  <c r="BN148" i="20"/>
  <c r="BV172" i="20"/>
  <c r="BY172" i="20" s="1"/>
  <c r="BR205" i="20"/>
  <c r="BM25" i="20"/>
  <c r="BK87" i="20"/>
  <c r="BR87" i="20" s="1"/>
  <c r="BV193" i="20"/>
  <c r="AQ100" i="20"/>
  <c r="BP172" i="20"/>
  <c r="BP10" i="20"/>
  <c r="BP166" i="20"/>
  <c r="BT87" i="20"/>
  <c r="X21" i="20"/>
  <c r="BM21" i="20" s="1"/>
  <c r="BV180" i="20"/>
  <c r="BY180" i="20" s="1"/>
  <c r="BV60" i="20"/>
  <c r="Y110" i="20"/>
  <c r="X143" i="20"/>
  <c r="BM143" i="20" s="1"/>
  <c r="L233" i="20"/>
  <c r="U14" i="21" s="1"/>
  <c r="W14" i="21" s="1"/>
  <c r="BV177" i="20"/>
  <c r="X121" i="20"/>
  <c r="BM121" i="20" s="1"/>
  <c r="BT145" i="20"/>
  <c r="AQ27" i="20"/>
  <c r="BV205" i="20"/>
  <c r="BK5" i="20"/>
  <c r="X189" i="20"/>
  <c r="BM189" i="20" s="1"/>
  <c r="BP21" i="20"/>
  <c r="BV39" i="20"/>
  <c r="BV140" i="20"/>
  <c r="AL168" i="20"/>
  <c r="X149" i="20"/>
  <c r="AA149" i="20"/>
  <c r="AA66" i="20"/>
  <c r="AQ66" i="20" s="1"/>
  <c r="X66" i="20"/>
  <c r="X15" i="22"/>
  <c r="U15" i="22"/>
  <c r="BS10" i="22"/>
  <c r="Z168" i="20"/>
  <c r="U167" i="20"/>
  <c r="BT9" i="20"/>
  <c r="BP9" i="20"/>
  <c r="BP77" i="20"/>
  <c r="BT77" i="20"/>
  <c r="AA115" i="20"/>
  <c r="AQ115" i="20" s="1"/>
  <c r="X115" i="20"/>
  <c r="BM115" i="20" s="1"/>
  <c r="BQ10" i="22"/>
  <c r="BH10" i="22"/>
  <c r="BO10" i="22" s="1"/>
  <c r="BM10" i="22"/>
  <c r="BP128" i="20"/>
  <c r="BT128" i="20"/>
  <c r="Y33" i="20"/>
  <c r="BP33" i="20" s="1"/>
  <c r="X33" i="20"/>
  <c r="BM33" i="20" s="1"/>
  <c r="BK25" i="20"/>
  <c r="BT25" i="20"/>
  <c r="AA45" i="20"/>
  <c r="AQ45" i="20" s="1"/>
  <c r="X45" i="20"/>
  <c r="BM45" i="20" s="1"/>
  <c r="AA102" i="20"/>
  <c r="AQ102" i="20" s="1"/>
  <c r="AU102" i="20" s="1"/>
  <c r="X102" i="20"/>
  <c r="BM102" i="20" s="1"/>
  <c r="AA31" i="20"/>
  <c r="AQ31" i="20" s="1"/>
  <c r="BI31" i="20" s="1"/>
  <c r="X31" i="20"/>
  <c r="BM31" i="20" s="1"/>
  <c r="U5" i="22"/>
  <c r="BJ5" i="22" s="1"/>
  <c r="X5" i="22"/>
  <c r="AN5" i="22" s="1"/>
  <c r="BP156" i="20"/>
  <c r="BK156" i="20"/>
  <c r="X13" i="22"/>
  <c r="AN13" i="22" s="1"/>
  <c r="BF13" i="22" s="1"/>
  <c r="U13" i="22"/>
  <c r="BJ13" i="22" s="1"/>
  <c r="BN45" i="20"/>
  <c r="BH4" i="22"/>
  <c r="BQ4" i="22"/>
  <c r="BM4" i="22"/>
  <c r="BP191" i="20"/>
  <c r="BT191" i="20"/>
  <c r="BP155" i="20"/>
  <c r="BT155" i="20"/>
  <c r="BK155" i="20"/>
  <c r="BR155" i="20" s="1"/>
  <c r="BT140" i="20"/>
  <c r="X140" i="20"/>
  <c r="BN192" i="20"/>
  <c r="AA70" i="20"/>
  <c r="AQ70" i="20" s="1"/>
  <c r="X70" i="20"/>
  <c r="BM70" i="20" s="1"/>
  <c r="X154" i="20"/>
  <c r="BM154" i="20" s="1"/>
  <c r="AA154" i="20"/>
  <c r="AQ154" i="20" s="1"/>
  <c r="X187" i="20"/>
  <c r="AA187" i="20"/>
  <c r="BP182" i="20"/>
  <c r="BK182" i="20"/>
  <c r="Y48" i="20"/>
  <c r="BT48" i="20" s="1"/>
  <c r="X48" i="20"/>
  <c r="BP45" i="20"/>
  <c r="BK45" i="20"/>
  <c r="BP82" i="20"/>
  <c r="BT82" i="20"/>
  <c r="Y152" i="20"/>
  <c r="X152" i="20"/>
  <c r="BM152" i="20" s="1"/>
  <c r="BK71" i="20"/>
  <c r="BP71" i="20"/>
  <c r="Y197" i="20"/>
  <c r="X197" i="20"/>
  <c r="AA121" i="20"/>
  <c r="AQ121" i="20" s="1"/>
  <c r="AA186" i="20"/>
  <c r="X186" i="20"/>
  <c r="BK12" i="22"/>
  <c r="BS12" i="22" s="1"/>
  <c r="BH12" i="22"/>
  <c r="BO12" i="22" s="1"/>
  <c r="BT196" i="20"/>
  <c r="AA35" i="20"/>
  <c r="AQ35" i="20" s="1"/>
  <c r="X35" i="20"/>
  <c r="BM35" i="20" s="1"/>
  <c r="BP25" i="20"/>
  <c r="BP171" i="20"/>
  <c r="BT171" i="20"/>
  <c r="BQ8" i="22"/>
  <c r="BK8" i="22"/>
  <c r="BM8" i="22"/>
  <c r="AA114" i="20"/>
  <c r="AQ114" i="20" s="1"/>
  <c r="BI114" i="20" s="1"/>
  <c r="X114" i="20"/>
  <c r="BM114" i="20" s="1"/>
  <c r="BP167" i="20"/>
  <c r="Y168" i="20"/>
  <c r="BP147" i="20"/>
  <c r="BT147" i="20"/>
  <c r="BP40" i="20"/>
  <c r="BK40" i="20"/>
  <c r="BP12" i="20"/>
  <c r="BT12" i="20"/>
  <c r="BT18" i="20"/>
  <c r="BT50" i="20"/>
  <c r="BP50" i="20"/>
  <c r="BK50" i="20"/>
  <c r="AA150" i="20"/>
  <c r="AQ150" i="20" s="1"/>
  <c r="X150" i="20"/>
  <c r="BM150" i="20" s="1"/>
  <c r="BP177" i="20"/>
  <c r="BT177" i="20"/>
  <c r="BV207" i="20"/>
  <c r="BY207" i="20" s="1"/>
  <c r="X157" i="20"/>
  <c r="BM157" i="20" s="1"/>
  <c r="BK147" i="20"/>
  <c r="BK12" i="20"/>
  <c r="BN71" i="20"/>
  <c r="AA145" i="20"/>
  <c r="AQ145" i="20" s="1"/>
  <c r="AU145" i="20" s="1"/>
  <c r="X145" i="20"/>
  <c r="BM145" i="20" s="1"/>
  <c r="AA146" i="20"/>
  <c r="AQ146" i="20" s="1"/>
  <c r="BI146" i="20" s="1"/>
  <c r="X146" i="20"/>
  <c r="BM146" i="20" s="1"/>
  <c r="AQ158" i="20"/>
  <c r="BE158" i="20" s="1"/>
  <c r="BK16" i="22"/>
  <c r="BJ16" i="22"/>
  <c r="BC16" i="22" s="1"/>
  <c r="BI16" i="22"/>
  <c r="BB16" i="22" s="1"/>
  <c r="BH16" i="22"/>
  <c r="BL148" i="20"/>
  <c r="BL50" i="20"/>
  <c r="BN93" i="20"/>
  <c r="BL110" i="20"/>
  <c r="BN170" i="20"/>
  <c r="BK30" i="20"/>
  <c r="BN25" i="20"/>
  <c r="BN35" i="20"/>
  <c r="BK166" i="20"/>
  <c r="BK100" i="20"/>
  <c r="BN56" i="20"/>
  <c r="BL27" i="20"/>
  <c r="BL120" i="20"/>
  <c r="BN154" i="20"/>
  <c r="BN172" i="20"/>
  <c r="BN10" i="20"/>
  <c r="BL90" i="20"/>
  <c r="BN18" i="20"/>
  <c r="BL43" i="20"/>
  <c r="BL190" i="20"/>
  <c r="BN94" i="20"/>
  <c r="BN66" i="20"/>
  <c r="BV66" i="20" s="1"/>
  <c r="BN42" i="20"/>
  <c r="BV42" i="20" s="1"/>
  <c r="BN129" i="20"/>
  <c r="BN167" i="20"/>
  <c r="BK70" i="20"/>
  <c r="BN36" i="20"/>
  <c r="BN156" i="20"/>
  <c r="BN157" i="20"/>
  <c r="BN205" i="20"/>
  <c r="BK206" i="20"/>
  <c r="BN109" i="20"/>
  <c r="BL189" i="20"/>
  <c r="BN16" i="20"/>
  <c r="BN30" i="20"/>
  <c r="BL35" i="20"/>
  <c r="BL89" i="20"/>
  <c r="BL41" i="20"/>
  <c r="BN196" i="20"/>
  <c r="BV196" i="20" s="1"/>
  <c r="BN82" i="20"/>
  <c r="BH5" i="22"/>
  <c r="BK145" i="20"/>
  <c r="BN61" i="20"/>
  <c r="BN143" i="20"/>
  <c r="BK121" i="20"/>
  <c r="BN70" i="20"/>
  <c r="BL143" i="20"/>
  <c r="BL109" i="20"/>
  <c r="BN200" i="20"/>
  <c r="BL45" i="20"/>
  <c r="BN198" i="20"/>
  <c r="BL70" i="20"/>
  <c r="BK204" i="20"/>
  <c r="BL11" i="20"/>
  <c r="BL156" i="20"/>
  <c r="BN9" i="20"/>
  <c r="BL152" i="20"/>
  <c r="BL121" i="20"/>
  <c r="BL112" i="20"/>
  <c r="BL135" i="20"/>
  <c r="BN175" i="20"/>
  <c r="BK115" i="20"/>
  <c r="BN181" i="20"/>
  <c r="BN140" i="20"/>
  <c r="BN190" i="20"/>
  <c r="BK109" i="20"/>
  <c r="BN77" i="20"/>
  <c r="BK58" i="20"/>
  <c r="BN150" i="20"/>
  <c r="BK189" i="20"/>
  <c r="BL147" i="20"/>
  <c r="BN142" i="20"/>
  <c r="BL33" i="20"/>
  <c r="BL166" i="20"/>
  <c r="BN22" i="20"/>
  <c r="BN207" i="20"/>
  <c r="BN176" i="20"/>
  <c r="BV176" i="20" s="1"/>
  <c r="BY176" i="20" s="1"/>
  <c r="BT98" i="20"/>
  <c r="BP98" i="20"/>
  <c r="AQ91" i="20"/>
  <c r="BR9" i="20"/>
  <c r="X82" i="20"/>
  <c r="AA82" i="20"/>
  <c r="AQ82" i="20" s="1"/>
  <c r="BW82" i="20" s="1"/>
  <c r="BP116" i="20"/>
  <c r="BT116" i="20"/>
  <c r="BK116" i="20"/>
  <c r="BT53" i="20"/>
  <c r="BP53" i="20"/>
  <c r="X46" i="20"/>
  <c r="AA46" i="20"/>
  <c r="BT179" i="20"/>
  <c r="BP179" i="20"/>
  <c r="BK28" i="20"/>
  <c r="BV9" i="20"/>
  <c r="AA143" i="20"/>
  <c r="AQ143" i="20" s="1"/>
  <c r="BR104" i="20"/>
  <c r="BR85" i="20"/>
  <c r="AQ136" i="20"/>
  <c r="BI136" i="20" s="1"/>
  <c r="X182" i="20"/>
  <c r="BM182" i="20" s="1"/>
  <c r="AA182" i="20"/>
  <c r="AQ182" i="20" s="1"/>
  <c r="BM7" i="22"/>
  <c r="BK7" i="22"/>
  <c r="BT178" i="20"/>
  <c r="BP178" i="20"/>
  <c r="BK148" i="20"/>
  <c r="Y27" i="20"/>
  <c r="BP27" i="20" s="1"/>
  <c r="X27" i="20"/>
  <c r="BM27" i="20" s="1"/>
  <c r="BK19" i="20"/>
  <c r="X4" i="20"/>
  <c r="BM4" i="20" s="1"/>
  <c r="AA4" i="20"/>
  <c r="AQ4" i="20" s="1"/>
  <c r="BV86" i="20"/>
  <c r="AQ111" i="20"/>
  <c r="BI111" i="20" s="1"/>
  <c r="BR192" i="20"/>
  <c r="AQ180" i="20"/>
  <c r="AU180" i="20" s="1"/>
  <c r="BD180" i="20" s="1"/>
  <c r="AA215" i="20"/>
  <c r="X215" i="20"/>
  <c r="BR170" i="20"/>
  <c r="BR57" i="20"/>
  <c r="BV78" i="20"/>
  <c r="BV192" i="20"/>
  <c r="BR202" i="20"/>
  <c r="X179" i="20"/>
  <c r="BQ14" i="22"/>
  <c r="BH14" i="22"/>
  <c r="BO14" i="22" s="1"/>
  <c r="BM14" i="22"/>
  <c r="BR172" i="20"/>
  <c r="BV57" i="20"/>
  <c r="BI7" i="22"/>
  <c r="Y59" i="20"/>
  <c r="V59" i="20"/>
  <c r="BV54" i="20"/>
  <c r="AQ25" i="20"/>
  <c r="AL160" i="20"/>
  <c r="AQ194" i="20"/>
  <c r="AU194" i="20" s="1"/>
  <c r="AQ85" i="20"/>
  <c r="BI85" i="20" s="1"/>
  <c r="BJ85" i="20" s="1"/>
  <c r="X151" i="20"/>
  <c r="BM151" i="20" s="1"/>
  <c r="BF151" i="20" s="1"/>
  <c r="X200" i="20"/>
  <c r="BK35" i="20"/>
  <c r="X195" i="20"/>
  <c r="X61" i="20"/>
  <c r="BM61" i="20" s="1"/>
  <c r="BV61" i="20"/>
  <c r="BR16" i="20"/>
  <c r="AQ79" i="20"/>
  <c r="BE79" i="20" s="1"/>
  <c r="BO79" i="20" s="1"/>
  <c r="AQ153" i="20"/>
  <c r="BK143" i="20"/>
  <c r="AA195" i="20"/>
  <c r="AQ195" i="20" s="1"/>
  <c r="BV195" i="20"/>
  <c r="BR194" i="20"/>
  <c r="BR193" i="20"/>
  <c r="BR178" i="20"/>
  <c r="BV178" i="20"/>
  <c r="X176" i="20"/>
  <c r="AA176" i="20"/>
  <c r="AQ176" i="20" s="1"/>
  <c r="BE176" i="20" s="1"/>
  <c r="X219" i="20"/>
  <c r="AA202" i="20"/>
  <c r="AQ202" i="20" s="1"/>
  <c r="AA200" i="20"/>
  <c r="AQ200" i="20" s="1"/>
  <c r="BR198" i="20"/>
  <c r="X198" i="20"/>
  <c r="BR195" i="20"/>
  <c r="BR180" i="20"/>
  <c r="BR177" i="20"/>
  <c r="BV175" i="20"/>
  <c r="BR140" i="20"/>
  <c r="BV133" i="20"/>
  <c r="BK133" i="20"/>
  <c r="BR133" i="20" s="1"/>
  <c r="BV142" i="20"/>
  <c r="BY142" i="20" s="1"/>
  <c r="AA140" i="20"/>
  <c r="AQ140" i="20" s="1"/>
  <c r="BF140" i="20" s="1"/>
  <c r="BR128" i="20"/>
  <c r="BV104" i="20"/>
  <c r="BY104" i="20" s="1"/>
  <c r="BV103" i="20"/>
  <c r="BR94" i="20"/>
  <c r="BR92" i="20"/>
  <c r="X93" i="20"/>
  <c r="AA93" i="20"/>
  <c r="AQ93" i="20" s="1"/>
  <c r="BI93" i="20" s="1"/>
  <c r="BJ93" i="20" s="1"/>
  <c r="BR93" i="20"/>
  <c r="BV97" i="20"/>
  <c r="BR96" i="20"/>
  <c r="BR99" i="20"/>
  <c r="X86" i="20"/>
  <c r="BM86" i="20" s="1"/>
  <c r="AA86" i="20"/>
  <c r="AQ86" i="20" s="1"/>
  <c r="BV85" i="20"/>
  <c r="BT23" i="20"/>
  <c r="BK23" i="20"/>
  <c r="BP23" i="20"/>
  <c r="BN23" i="20"/>
  <c r="Y85" i="20"/>
  <c r="X85" i="20"/>
  <c r="BP79" i="20"/>
  <c r="BN79" i="20"/>
  <c r="BT79" i="20"/>
  <c r="X222" i="20"/>
  <c r="AA222" i="20"/>
  <c r="BP41" i="20"/>
  <c r="BT41" i="20"/>
  <c r="BK41" i="20"/>
  <c r="BN41" i="20"/>
  <c r="BT99" i="20"/>
  <c r="BP99" i="20"/>
  <c r="BN99" i="20"/>
  <c r="BP78" i="20"/>
  <c r="BT78" i="20"/>
  <c r="BN78" i="20"/>
  <c r="AA142" i="20"/>
  <c r="AQ142" i="20" s="1"/>
  <c r="BI142" i="20" s="1"/>
  <c r="X142" i="20"/>
  <c r="BM142" i="20" s="1"/>
  <c r="BP103" i="20"/>
  <c r="BT103" i="20"/>
  <c r="AA96" i="20"/>
  <c r="AQ96" i="20" s="1"/>
  <c r="X96" i="20"/>
  <c r="X207" i="20"/>
  <c r="P10" i="21"/>
  <c r="Q10" i="21" s="1"/>
  <c r="V172" i="20"/>
  <c r="BL206" i="20"/>
  <c r="BK90" i="20"/>
  <c r="BP90" i="20"/>
  <c r="BT90" i="20"/>
  <c r="V175" i="20"/>
  <c r="X192" i="20"/>
  <c r="BM192" i="20" s="1"/>
  <c r="AA192" i="20"/>
  <c r="AQ192" i="20" s="1"/>
  <c r="Y91" i="20"/>
  <c r="X91" i="20"/>
  <c r="BM91" i="20" s="1"/>
  <c r="BT60" i="20"/>
  <c r="BP60" i="20"/>
  <c r="BP29" i="20"/>
  <c r="BN29" i="20"/>
  <c r="BK29" i="20"/>
  <c r="BT29" i="20"/>
  <c r="BT83" i="20"/>
  <c r="BN83" i="20"/>
  <c r="BP83" i="20"/>
  <c r="AA11" i="20"/>
  <c r="AQ11" i="20" s="1"/>
  <c r="X11" i="20"/>
  <c r="BM11" i="20" s="1"/>
  <c r="X71" i="20"/>
  <c r="BM71" i="20" s="1"/>
  <c r="AA71" i="20"/>
  <c r="AQ71" i="20" s="1"/>
  <c r="AA22" i="20"/>
  <c r="AQ22" i="20" s="1"/>
  <c r="X22" i="20"/>
  <c r="BM22" i="20" s="1"/>
  <c r="X42" i="20"/>
  <c r="BM42" i="20" s="1"/>
  <c r="AA42" i="20"/>
  <c r="AQ42" i="20" s="1"/>
  <c r="BT95" i="20"/>
  <c r="BP95" i="20"/>
  <c r="BN95" i="20"/>
  <c r="AU81" i="20"/>
  <c r="BV154" i="20"/>
  <c r="BR191" i="20"/>
  <c r="BV191" i="20"/>
  <c r="AL72" i="20"/>
  <c r="BI152" i="20"/>
  <c r="AU152" i="20"/>
  <c r="V133" i="20"/>
  <c r="X193" i="20"/>
  <c r="AA193" i="20"/>
  <c r="AQ193" i="20" s="1"/>
  <c r="BK89" i="20"/>
  <c r="BT89" i="20"/>
  <c r="BN89" i="20"/>
  <c r="BP89" i="20"/>
  <c r="AA128" i="20"/>
  <c r="AQ128" i="20" s="1"/>
  <c r="AU128" i="20" s="1"/>
  <c r="X128" i="20"/>
  <c r="BK142" i="20"/>
  <c r="BR142" i="20" s="1"/>
  <c r="AA148" i="20"/>
  <c r="AQ148" i="20" s="1"/>
  <c r="X148" i="20"/>
  <c r="BM148" i="20" s="1"/>
  <c r="AQ157" i="20"/>
  <c r="X214" i="20"/>
  <c r="AA214" i="20"/>
  <c r="AL122" i="20"/>
  <c r="AA29" i="20"/>
  <c r="AQ29" i="20" s="1"/>
  <c r="BI29" i="20" s="1"/>
  <c r="X29" i="20"/>
  <c r="BM29" i="20" s="1"/>
  <c r="AA87" i="20"/>
  <c r="AQ87" i="20" s="1"/>
  <c r="X87" i="20"/>
  <c r="BR154" i="20"/>
  <c r="BK179" i="20"/>
  <c r="BR179" i="20" s="1"/>
  <c r="BV179" i="20"/>
  <c r="BK111" i="20"/>
  <c r="BP111" i="20"/>
  <c r="BN111" i="20"/>
  <c r="BK114" i="20"/>
  <c r="BN114" i="20"/>
  <c r="BK158" i="20"/>
  <c r="BR158" i="20" s="1"/>
  <c r="BP158" i="20"/>
  <c r="BT158" i="20"/>
  <c r="BP153" i="20"/>
  <c r="BN153" i="20"/>
  <c r="BI58" i="20"/>
  <c r="AU58" i="20"/>
  <c r="X23" i="20"/>
  <c r="BM23" i="20" s="1"/>
  <c r="AA23" i="20"/>
  <c r="AQ23" i="20" s="1"/>
  <c r="AU23" i="20" s="1"/>
  <c r="AA57" i="20"/>
  <c r="AQ57" i="20" s="1"/>
  <c r="BF57" i="20" s="1"/>
  <c r="X57" i="20"/>
  <c r="X170" i="20"/>
  <c r="AA170" i="20"/>
  <c r="AQ170" i="20" s="1"/>
  <c r="BK14" i="20"/>
  <c r="BR14" i="20" s="1"/>
  <c r="BV14" i="20"/>
  <c r="BY14" i="20" s="1"/>
  <c r="X90" i="20"/>
  <c r="BM90" i="20" s="1"/>
  <c r="AA90" i="20"/>
  <c r="AQ90" i="20" s="1"/>
  <c r="BI90" i="20" s="1"/>
  <c r="BK4" i="20"/>
  <c r="BP4" i="20"/>
  <c r="BN4" i="20"/>
  <c r="BT4" i="20"/>
  <c r="BP88" i="20"/>
  <c r="BN88" i="20"/>
  <c r="BT88" i="20"/>
  <c r="BK88" i="20"/>
  <c r="BK81" i="20"/>
  <c r="BP81" i="20"/>
  <c r="AA155" i="20"/>
  <c r="AQ155" i="20" s="1"/>
  <c r="X155" i="20"/>
  <c r="BM155" i="20" s="1"/>
  <c r="P14" i="21"/>
  <c r="Q14" i="21" s="1"/>
  <c r="U177" i="20"/>
  <c r="V177" i="20" s="1"/>
  <c r="AA60" i="20"/>
  <c r="AQ60" i="20" s="1"/>
  <c r="X60" i="20"/>
  <c r="X55" i="20"/>
  <c r="BM55" i="20" s="1"/>
  <c r="AA55" i="20"/>
  <c r="AQ55" i="20" s="1"/>
  <c r="AA88" i="20"/>
  <c r="AQ88" i="20" s="1"/>
  <c r="BI88" i="20" s="1"/>
  <c r="X88" i="20"/>
  <c r="BM88" i="20" s="1"/>
  <c r="BQ5" i="22"/>
  <c r="BK5" i="22"/>
  <c r="BT175" i="20"/>
  <c r="BP175" i="20"/>
  <c r="BP151" i="20"/>
  <c r="BT151" i="20"/>
  <c r="BT146" i="20"/>
  <c r="BP146" i="20"/>
  <c r="BN146" i="20"/>
  <c r="BK146" i="20"/>
  <c r="Y136" i="20"/>
  <c r="X136" i="20"/>
  <c r="BM136" i="20" s="1"/>
  <c r="BT57" i="20"/>
  <c r="BP57" i="20"/>
  <c r="BN57" i="20"/>
  <c r="BK31" i="20"/>
  <c r="BT31" i="20"/>
  <c r="BP31" i="20"/>
  <c r="X12" i="20"/>
  <c r="BM12" i="20" s="1"/>
  <c r="AA12" i="20"/>
  <c r="AQ12" i="20" s="1"/>
  <c r="BI12" i="20" s="1"/>
  <c r="AA30" i="20"/>
  <c r="AQ30" i="20" s="1"/>
  <c r="BI30" i="20" s="1"/>
  <c r="X30" i="20"/>
  <c r="BM30" i="20" s="1"/>
  <c r="AA50" i="20"/>
  <c r="AQ50" i="20" s="1"/>
  <c r="X50" i="20"/>
  <c r="BM50" i="20" s="1"/>
  <c r="AA109" i="20"/>
  <c r="AQ109" i="20" s="1"/>
  <c r="X109" i="20"/>
  <c r="BM109" i="20" s="1"/>
  <c r="AA191" i="20"/>
  <c r="AQ191" i="20" s="1"/>
  <c r="X191" i="20"/>
  <c r="AA183" i="20"/>
  <c r="X183" i="20"/>
  <c r="X116" i="20"/>
  <c r="BM116" i="20" s="1"/>
  <c r="BF116" i="20" s="1"/>
  <c r="BN180" i="20"/>
  <c r="BP180" i="20"/>
  <c r="BP135" i="20"/>
  <c r="BT135" i="20"/>
  <c r="BK135" i="20"/>
  <c r="BP62" i="20"/>
  <c r="BN62" i="20"/>
  <c r="BK43" i="20"/>
  <c r="BT43" i="20"/>
  <c r="BP43" i="20"/>
  <c r="BI151" i="20"/>
  <c r="AU151" i="20"/>
  <c r="AU116" i="20"/>
  <c r="BI116" i="20"/>
  <c r="BT20" i="20"/>
  <c r="BN20" i="20"/>
  <c r="BR44" i="20"/>
  <c r="BV44" i="20"/>
  <c r="BR7" i="20"/>
  <c r="BK86" i="20"/>
  <c r="BR86" i="20" s="1"/>
  <c r="X180" i="20"/>
  <c r="BV96" i="20"/>
  <c r="BV94" i="20"/>
  <c r="BI39" i="20"/>
  <c r="BJ39" i="20" s="1"/>
  <c r="BR129" i="20"/>
  <c r="BR175" i="20"/>
  <c r="AL228" i="20"/>
  <c r="BK203" i="20"/>
  <c r="BR203" i="20" s="1"/>
  <c r="BP203" i="20"/>
  <c r="BV99" i="20"/>
  <c r="BF6" i="20"/>
  <c r="AA43" i="20"/>
  <c r="AQ43" i="20" s="1"/>
  <c r="X43" i="20"/>
  <c r="BM43" i="20" s="1"/>
  <c r="BN116" i="20"/>
  <c r="BL151" i="20"/>
  <c r="BE151" i="20" s="1"/>
  <c r="BN46" i="20"/>
  <c r="BN47" i="20"/>
  <c r="BL116" i="20"/>
  <c r="BE116" i="20" s="1"/>
  <c r="BN178" i="20"/>
  <c r="BN133" i="20"/>
  <c r="BL111" i="20"/>
  <c r="BL114" i="20"/>
  <c r="BL30" i="20"/>
  <c r="BL36" i="20"/>
  <c r="BN151" i="20"/>
  <c r="BG151" i="20" s="1"/>
  <c r="BW151" i="20" s="1"/>
  <c r="BK150" i="20"/>
  <c r="BL19" i="20"/>
  <c r="BL88" i="20"/>
  <c r="BN11" i="20"/>
  <c r="BN128" i="20"/>
  <c r="BK66" i="20"/>
  <c r="BR66" i="20" s="1"/>
  <c r="BL71" i="20"/>
  <c r="BL51" i="20"/>
  <c r="BN53" i="20"/>
  <c r="BN19" i="20"/>
  <c r="BN40" i="20"/>
  <c r="BN90" i="20"/>
  <c r="BN14" i="20"/>
  <c r="BN60" i="20"/>
  <c r="BN104" i="20"/>
  <c r="BI5" i="22"/>
  <c r="BK55" i="20"/>
  <c r="BN50" i="20"/>
  <c r="BL182" i="20"/>
  <c r="BL157" i="20"/>
  <c r="BL167" i="20"/>
  <c r="BN177" i="20"/>
  <c r="BL5" i="20"/>
  <c r="BN102" i="20"/>
  <c r="BK36" i="20"/>
  <c r="BN171" i="20"/>
  <c r="BK190" i="20"/>
  <c r="BK4" i="22"/>
  <c r="BN97" i="20"/>
  <c r="BG97" i="20" s="1"/>
  <c r="BL150" i="20"/>
  <c r="BL58" i="20"/>
  <c r="BE58" i="20" s="1"/>
  <c r="BN100" i="20"/>
  <c r="BL29" i="20"/>
  <c r="BL59" i="20"/>
  <c r="BL4" i="20"/>
  <c r="BL81" i="20"/>
  <c r="BE81" i="20" s="1"/>
  <c r="BL55" i="20"/>
  <c r="BN204" i="20"/>
  <c r="BN81" i="20"/>
  <c r="BG81" i="20" s="1"/>
  <c r="BW81" i="20" s="1"/>
  <c r="BZ81" i="20" s="1"/>
  <c r="BN44" i="20"/>
  <c r="BM36" i="20"/>
  <c r="BK112" i="20"/>
  <c r="BN87" i="20"/>
  <c r="BV87" i="20" s="1"/>
  <c r="BM40" i="20"/>
  <c r="BN12" i="20"/>
  <c r="BN21" i="20"/>
  <c r="BK98" i="20"/>
  <c r="BR98" i="20" s="1"/>
  <c r="BN115" i="20"/>
  <c r="BN28" i="20"/>
  <c r="BL40" i="20"/>
  <c r="BN121" i="20"/>
  <c r="BN193" i="20"/>
  <c r="BL145" i="20"/>
  <c r="BN166" i="20"/>
  <c r="BK196" i="20"/>
  <c r="BR196" i="20" s="1"/>
  <c r="BN158" i="20"/>
  <c r="BN203" i="20"/>
  <c r="BN103" i="20"/>
  <c r="BI4" i="22"/>
  <c r="X178" i="20"/>
  <c r="AA178" i="20"/>
  <c r="AQ178" i="20" s="1"/>
  <c r="BV15" i="20"/>
  <c r="BK15" i="20"/>
  <c r="BR15" i="20" s="1"/>
  <c r="BR77" i="20"/>
  <c r="BV82" i="20"/>
  <c r="BK82" i="20"/>
  <c r="BR82" i="20" s="1"/>
  <c r="BV93" i="20"/>
  <c r="BY93" i="20" s="1"/>
  <c r="Y120" i="20"/>
  <c r="X120" i="20"/>
  <c r="BM120" i="20" s="1"/>
  <c r="X212" i="20"/>
  <c r="AA212" i="20"/>
  <c r="BP195" i="20"/>
  <c r="BT195" i="20"/>
  <c r="BV62" i="20"/>
  <c r="BY62" i="20" s="1"/>
  <c r="AU39" i="20"/>
  <c r="BR97" i="20"/>
  <c r="X47" i="20"/>
  <c r="AA47" i="20"/>
  <c r="X206" i="20"/>
  <c r="BM206" i="20" s="1"/>
  <c r="X216" i="20"/>
  <c r="AA216" i="20"/>
  <c r="P11" i="21"/>
  <c r="Q11" i="21" s="1"/>
  <c r="U95" i="20"/>
  <c r="V95" i="20" s="1"/>
  <c r="BR103" i="20"/>
  <c r="BV53" i="20"/>
  <c r="BR83" i="20"/>
  <c r="AQ44" i="20"/>
  <c r="BE44" i="20" s="1"/>
  <c r="X83" i="20"/>
  <c r="BM83" i="20" s="1"/>
  <c r="AA83" i="20"/>
  <c r="AQ83" i="20" s="1"/>
  <c r="BV83" i="20"/>
  <c r="BK79" i="20"/>
  <c r="BR79" i="20" s="1"/>
  <c r="BV77" i="20"/>
  <c r="AA103" i="20"/>
  <c r="AQ103" i="20" s="1"/>
  <c r="BF97" i="20"/>
  <c r="BI97" i="20"/>
  <c r="BJ97" i="20" s="1"/>
  <c r="BQ97" i="20" s="1"/>
  <c r="BW97" i="20"/>
  <c r="AU97" i="20"/>
  <c r="BE97" i="20"/>
  <c r="X97" i="20"/>
  <c r="AA94" i="20"/>
  <c r="AQ94" i="20" s="1"/>
  <c r="X94" i="20"/>
  <c r="X92" i="20"/>
  <c r="AA92" i="20"/>
  <c r="AQ92" i="20" s="1"/>
  <c r="BV79" i="20"/>
  <c r="AA77" i="20"/>
  <c r="AQ77" i="20" s="1"/>
  <c r="X77" i="20"/>
  <c r="BR62" i="20"/>
  <c r="AA61" i="20"/>
  <c r="AQ61" i="20" s="1"/>
  <c r="BW61" i="20" s="1"/>
  <c r="BR60" i="20"/>
  <c r="BV56" i="20"/>
  <c r="BY56" i="20" s="1"/>
  <c r="AA54" i="20"/>
  <c r="AQ54" i="20" s="1"/>
  <c r="R12" i="21"/>
  <c r="BT54" i="20"/>
  <c r="BR54" i="20"/>
  <c r="BN54" i="20"/>
  <c r="AA53" i="20"/>
  <c r="AQ53" i="20" s="1"/>
  <c r="BE53" i="20" s="1"/>
  <c r="X53" i="20"/>
  <c r="BK53" i="20"/>
  <c r="BR53" i="20" s="1"/>
  <c r="BV16" i="20"/>
  <c r="BY16" i="20" s="1"/>
  <c r="AA15" i="20"/>
  <c r="AQ15" i="20" s="1"/>
  <c r="Z72" i="20"/>
  <c r="P12" i="21" s="1"/>
  <c r="Q12" i="21" s="1"/>
  <c r="X14" i="20"/>
  <c r="AA14" i="20"/>
  <c r="AQ14" i="20" s="1"/>
  <c r="BK10" i="20"/>
  <c r="BR10" i="20" s="1"/>
  <c r="U9" i="20"/>
  <c r="V9" i="20" s="1"/>
  <c r="X62" i="20"/>
  <c r="AA62" i="20"/>
  <c r="AQ62" i="20" s="1"/>
  <c r="BR61" i="20"/>
  <c r="AA56" i="20"/>
  <c r="AQ56" i="20" s="1"/>
  <c r="X56" i="20"/>
  <c r="X44" i="20"/>
  <c r="BR39" i="20"/>
  <c r="AA18" i="20"/>
  <c r="AQ18" i="20" s="1"/>
  <c r="BR18" i="20"/>
  <c r="AA16" i="20"/>
  <c r="AQ16" i="20" s="1"/>
  <c r="X16" i="20"/>
  <c r="AA10" i="20"/>
  <c r="AQ10" i="20" s="1"/>
  <c r="X7" i="20"/>
  <c r="AA7" i="20"/>
  <c r="AQ7" i="20" s="1"/>
  <c r="BE6" i="20"/>
  <c r="BR6" i="20"/>
  <c r="BQ48" i="22" l="1"/>
  <c r="BM48" i="22"/>
  <c r="BK48" i="22"/>
  <c r="BO43" i="22"/>
  <c r="BG43" i="22"/>
  <c r="BN43" i="22" s="1"/>
  <c r="BS43" i="22"/>
  <c r="BD43" i="22"/>
  <c r="BT43" i="22" s="1"/>
  <c r="BW43" i="22" s="1"/>
  <c r="BO44" i="22"/>
  <c r="BG44" i="22"/>
  <c r="BN44" i="22" s="1"/>
  <c r="BL44" i="22"/>
  <c r="BR44" i="22"/>
  <c r="BR43" i="22"/>
  <c r="BL43" i="22"/>
  <c r="BS44" i="22"/>
  <c r="BD44" i="22"/>
  <c r="BT44" i="22" s="1"/>
  <c r="BW44" i="22" s="1"/>
  <c r="BV13" i="20"/>
  <c r="BG13" i="20"/>
  <c r="BW13" i="20" s="1"/>
  <c r="BZ13" i="20" s="1"/>
  <c r="BR13" i="20"/>
  <c r="BJ13" i="20"/>
  <c r="BQ13" i="20" s="1"/>
  <c r="BU13" i="20"/>
  <c r="BO13" i="20"/>
  <c r="BR101" i="20"/>
  <c r="BJ101" i="20"/>
  <c r="BQ101" i="20" s="1"/>
  <c r="BV101" i="20"/>
  <c r="BG101" i="20"/>
  <c r="BW101" i="20" s="1"/>
  <c r="BZ101" i="20" s="1"/>
  <c r="BO37" i="22"/>
  <c r="BG37" i="22"/>
  <c r="BN37" i="22" s="1"/>
  <c r="BS37" i="22"/>
  <c r="BD37" i="22"/>
  <c r="BT37" i="22" s="1"/>
  <c r="BW37" i="22" s="1"/>
  <c r="BR37" i="22"/>
  <c r="BL37" i="22"/>
  <c r="BV19" i="20"/>
  <c r="BY19" i="20" s="1"/>
  <c r="BC10" i="22"/>
  <c r="BB9" i="22"/>
  <c r="BL9" i="22" s="1"/>
  <c r="BO33" i="22"/>
  <c r="BG33" i="22"/>
  <c r="BN33" i="22" s="1"/>
  <c r="BR33" i="22"/>
  <c r="BL33" i="22"/>
  <c r="BS33" i="22"/>
  <c r="BD33" i="22"/>
  <c r="BT33" i="22" s="1"/>
  <c r="BW33" i="22" s="1"/>
  <c r="Y160" i="20"/>
  <c r="O13" i="21" s="1"/>
  <c r="S13" i="21" s="1"/>
  <c r="BV138" i="20"/>
  <c r="BG138" i="20"/>
  <c r="BW138" i="20" s="1"/>
  <c r="BZ138" i="20" s="1"/>
  <c r="BR138" i="20"/>
  <c r="BJ138" i="20"/>
  <c r="BQ138" i="20" s="1"/>
  <c r="BO138" i="20"/>
  <c r="BU138" i="20"/>
  <c r="U228" i="20"/>
  <c r="Y228" i="20"/>
  <c r="O14" i="21" s="1"/>
  <c r="S14" i="21" s="1"/>
  <c r="BS9" i="22"/>
  <c r="BO27" i="22"/>
  <c r="BG27" i="22"/>
  <c r="BN27" i="22" s="1"/>
  <c r="BR27" i="22"/>
  <c r="BL27" i="22"/>
  <c r="BO9" i="22"/>
  <c r="BS27" i="22"/>
  <c r="BD27" i="22"/>
  <c r="BT27" i="22" s="1"/>
  <c r="BW27" i="22" s="1"/>
  <c r="BV134" i="20"/>
  <c r="BR134" i="20"/>
  <c r="BS134" i="20" s="1"/>
  <c r="BE134" i="20"/>
  <c r="BV141" i="20"/>
  <c r="BG141" i="20"/>
  <c r="BW141" i="20" s="1"/>
  <c r="BR141" i="20"/>
  <c r="BS141" i="20" s="1"/>
  <c r="BE141" i="20"/>
  <c r="U15" i="21"/>
  <c r="U17" i="21" s="1"/>
  <c r="BV227" i="20"/>
  <c r="BG227" i="20"/>
  <c r="BW227" i="20" s="1"/>
  <c r="BZ227" i="20" s="1"/>
  <c r="BR227" i="20"/>
  <c r="BJ227" i="20"/>
  <c r="BQ227" i="20" s="1"/>
  <c r="BU227" i="20"/>
  <c r="BO227" i="20"/>
  <c r="BV159" i="20"/>
  <c r="BG159" i="20"/>
  <c r="BW159" i="20" s="1"/>
  <c r="BZ159" i="20" s="1"/>
  <c r="BR159" i="20"/>
  <c r="BJ159" i="20"/>
  <c r="BQ159" i="20" s="1"/>
  <c r="BU159" i="20"/>
  <c r="BO159" i="20"/>
  <c r="AA110" i="20"/>
  <c r="AQ110" i="20" s="1"/>
  <c r="BI110" i="20" s="1"/>
  <c r="BS25" i="22"/>
  <c r="BO25" i="22"/>
  <c r="BP25" i="22" s="1"/>
  <c r="BB25" i="22"/>
  <c r="BB8" i="22"/>
  <c r="BL8" i="22" s="1"/>
  <c r="AR8" i="22"/>
  <c r="AZ8" i="22" s="1"/>
  <c r="BO24" i="22"/>
  <c r="BP24" i="22" s="1"/>
  <c r="BS24" i="22"/>
  <c r="BB24" i="22"/>
  <c r="BC8" i="22"/>
  <c r="AA129" i="20"/>
  <c r="AQ129" i="20" s="1"/>
  <c r="AU129" i="20" s="1"/>
  <c r="BC129" i="20" s="1"/>
  <c r="X78" i="20"/>
  <c r="Y122" i="20"/>
  <c r="O11" i="21" s="1"/>
  <c r="S11" i="21" s="1"/>
  <c r="U122" i="20"/>
  <c r="BA6" i="22"/>
  <c r="BF6" i="22"/>
  <c r="BG6" i="22" s="1"/>
  <c r="BN6" i="22" s="1"/>
  <c r="BB6" i="22"/>
  <c r="BR6" i="22" s="1"/>
  <c r="BY42" i="20"/>
  <c r="BC6" i="22"/>
  <c r="BI189" i="20"/>
  <c r="BJ189" i="20" s="1"/>
  <c r="BQ189" i="20" s="1"/>
  <c r="BY198" i="20"/>
  <c r="BV137" i="20"/>
  <c r="BG137" i="20"/>
  <c r="BW137" i="20" s="1"/>
  <c r="BZ137" i="20" s="1"/>
  <c r="BR137" i="20"/>
  <c r="BJ137" i="20"/>
  <c r="BQ137" i="20" s="1"/>
  <c r="BO137" i="20"/>
  <c r="BU137" i="20"/>
  <c r="BF189" i="20"/>
  <c r="BG189" i="20"/>
  <c r="BW189" i="20" s="1"/>
  <c r="BZ189" i="20" s="1"/>
  <c r="BF7" i="22"/>
  <c r="BG7" i="22" s="1"/>
  <c r="BN7" i="22" s="1"/>
  <c r="BC9" i="22"/>
  <c r="BF9" i="22"/>
  <c r="BG9" i="22" s="1"/>
  <c r="BN9" i="22" s="1"/>
  <c r="BG4" i="22"/>
  <c r="BN4" i="22" s="1"/>
  <c r="BE102" i="20"/>
  <c r="BO102" i="20" s="1"/>
  <c r="AR9" i="22"/>
  <c r="AZ9" i="22" s="1"/>
  <c r="BB7" i="22"/>
  <c r="BL7" i="22" s="1"/>
  <c r="BE78" i="20"/>
  <c r="BO78" i="20" s="1"/>
  <c r="BB5" i="22"/>
  <c r="BR5" i="22" s="1"/>
  <c r="BF190" i="20"/>
  <c r="BZ97" i="20"/>
  <c r="BY97" i="20"/>
  <c r="BF41" i="20"/>
  <c r="BI190" i="20"/>
  <c r="BJ190" i="20" s="1"/>
  <c r="BQ190" i="20" s="1"/>
  <c r="BE181" i="20"/>
  <c r="BO181" i="20" s="1"/>
  <c r="BV23" i="20"/>
  <c r="BY23" i="20" s="1"/>
  <c r="BW6" i="22"/>
  <c r="BG78" i="20"/>
  <c r="BI99" i="20"/>
  <c r="BJ99" i="20" s="1"/>
  <c r="BQ99" i="20" s="1"/>
  <c r="BS99" i="20" s="1"/>
  <c r="BE114" i="20"/>
  <c r="BU114" i="20" s="1"/>
  <c r="BE190" i="20"/>
  <c r="BO190" i="20" s="1"/>
  <c r="BV100" i="20"/>
  <c r="BY100" i="20" s="1"/>
  <c r="BV181" i="20"/>
  <c r="BY181" i="20" s="1"/>
  <c r="BR102" i="20"/>
  <c r="AU114" i="20"/>
  <c r="BC114" i="20" s="1"/>
  <c r="BY60" i="20"/>
  <c r="BR23" i="20"/>
  <c r="BE100" i="20"/>
  <c r="BU100" i="20" s="1"/>
  <c r="BE153" i="20"/>
  <c r="BU153" i="20" s="1"/>
  <c r="BF78" i="20"/>
  <c r="BG190" i="20"/>
  <c r="BW190" i="20" s="1"/>
  <c r="BZ190" i="20" s="1"/>
  <c r="BR45" i="20"/>
  <c r="BI78" i="20"/>
  <c r="BJ78" i="20" s="1"/>
  <c r="BQ78" i="20" s="1"/>
  <c r="BS78" i="20" s="1"/>
  <c r="BW78" i="20"/>
  <c r="BX78" i="20" s="1"/>
  <c r="CA78" i="20" s="1"/>
  <c r="BR204" i="20"/>
  <c r="AU79" i="20"/>
  <c r="BD79" i="20" s="1"/>
  <c r="AU179" i="20"/>
  <c r="BD179" i="20" s="1"/>
  <c r="BY192" i="20"/>
  <c r="BV143" i="20"/>
  <c r="BY143" i="20" s="1"/>
  <c r="BV13" i="22"/>
  <c r="BR153" i="20"/>
  <c r="BI198" i="20"/>
  <c r="BJ198" i="20" s="1"/>
  <c r="BQ198" i="20" s="1"/>
  <c r="BS198" i="20" s="1"/>
  <c r="BR115" i="20"/>
  <c r="BF114" i="20"/>
  <c r="BX6" i="20"/>
  <c r="CA6" i="20" s="1"/>
  <c r="BR181" i="20"/>
  <c r="BO6" i="22"/>
  <c r="BV22" i="20"/>
  <c r="BY22" i="20" s="1"/>
  <c r="BR100" i="20"/>
  <c r="BY7" i="20"/>
  <c r="BG135" i="20"/>
  <c r="BW135" i="20" s="1"/>
  <c r="BZ135" i="20" s="1"/>
  <c r="BE115" i="20"/>
  <c r="BO115" i="20" s="1"/>
  <c r="BF44" i="20"/>
  <c r="BF104" i="20"/>
  <c r="BR28" i="20"/>
  <c r="BR116" i="20"/>
  <c r="AU41" i="20"/>
  <c r="BC41" i="20" s="1"/>
  <c r="BJ51" i="20"/>
  <c r="BQ51" i="20" s="1"/>
  <c r="BJ156" i="20"/>
  <c r="BQ156" i="20" s="1"/>
  <c r="BE166" i="20"/>
  <c r="BO166" i="20" s="1"/>
  <c r="BV116" i="20"/>
  <c r="BY116" i="20" s="1"/>
  <c r="BX82" i="20"/>
  <c r="CA82" i="20" s="1"/>
  <c r="BV90" i="20"/>
  <c r="BY90" i="20" s="1"/>
  <c r="BE111" i="20"/>
  <c r="BU111" i="20" s="1"/>
  <c r="BJ151" i="20"/>
  <c r="BQ151" i="20" s="1"/>
  <c r="BF35" i="20"/>
  <c r="AU120" i="20"/>
  <c r="BC120" i="20" s="1"/>
  <c r="BF166" i="20"/>
  <c r="BY129" i="20"/>
  <c r="BF28" i="20"/>
  <c r="AA171" i="20"/>
  <c r="AQ171" i="20" s="1"/>
  <c r="AU171" i="20" s="1"/>
  <c r="BC171" i="20" s="1"/>
  <c r="BG195" i="20"/>
  <c r="BE71" i="20"/>
  <c r="BU71" i="20" s="1"/>
  <c r="BY9" i="20"/>
  <c r="BR95" i="20"/>
  <c r="AU156" i="20"/>
  <c r="BC156" i="20" s="1"/>
  <c r="BE41" i="20"/>
  <c r="BU41" i="20" s="1"/>
  <c r="BE204" i="20"/>
  <c r="BU204" i="20" s="1"/>
  <c r="BF203" i="20"/>
  <c r="AU203" i="20"/>
  <c r="BD203" i="20" s="1"/>
  <c r="BW99" i="20"/>
  <c r="BZ99" i="20" s="1"/>
  <c r="BV80" i="20"/>
  <c r="BR80" i="20"/>
  <c r="BS80" i="20" s="1"/>
  <c r="BE80" i="20"/>
  <c r="BF99" i="20"/>
  <c r="AU135" i="20"/>
  <c r="BD135" i="20" s="1"/>
  <c r="AU51" i="20"/>
  <c r="BD51" i="20" s="1"/>
  <c r="BE135" i="20"/>
  <c r="BU135" i="20" s="1"/>
  <c r="AU204" i="20"/>
  <c r="BF135" i="20"/>
  <c r="BL18" i="22"/>
  <c r="BR18" i="22"/>
  <c r="BI104" i="20"/>
  <c r="BJ104" i="20" s="1"/>
  <c r="BQ104" i="20" s="1"/>
  <c r="BS104" i="20" s="1"/>
  <c r="AU197" i="20"/>
  <c r="BC197" i="20" s="1"/>
  <c r="BY18" i="20"/>
  <c r="BI166" i="20"/>
  <c r="BJ166" i="20" s="1"/>
  <c r="BQ166" i="20" s="1"/>
  <c r="BF204" i="20"/>
  <c r="BY61" i="20"/>
  <c r="BG206" i="20"/>
  <c r="BW206" i="20" s="1"/>
  <c r="BZ206" i="20" s="1"/>
  <c r="BG51" i="20"/>
  <c r="BW51" i="20" s="1"/>
  <c r="BZ51" i="20" s="1"/>
  <c r="BV11" i="20"/>
  <c r="BY11" i="20" s="1"/>
  <c r="AR14" i="22"/>
  <c r="AZ14" i="22" s="1"/>
  <c r="BW104" i="20"/>
  <c r="BZ104" i="20" s="1"/>
  <c r="BY44" i="20"/>
  <c r="BT39" i="20"/>
  <c r="BW39" i="20"/>
  <c r="BX39" i="20" s="1"/>
  <c r="AU104" i="20"/>
  <c r="BC104" i="20" s="1"/>
  <c r="BF14" i="22"/>
  <c r="BG14" i="22" s="1"/>
  <c r="BN14" i="22" s="1"/>
  <c r="BP14" i="22" s="1"/>
  <c r="BG104" i="20"/>
  <c r="BJ30" i="20"/>
  <c r="BQ30" i="20" s="1"/>
  <c r="BY95" i="20"/>
  <c r="BG99" i="20"/>
  <c r="BY196" i="20"/>
  <c r="BV156" i="20"/>
  <c r="BY156" i="20" s="1"/>
  <c r="BV35" i="20"/>
  <c r="BY35" i="20" s="1"/>
  <c r="BA4" i="22"/>
  <c r="BZ58" i="20"/>
  <c r="BO18" i="22"/>
  <c r="BG18" i="22"/>
  <c r="BN18" i="22" s="1"/>
  <c r="BV189" i="20"/>
  <c r="BY189" i="20" s="1"/>
  <c r="BF100" i="20"/>
  <c r="BS18" i="22"/>
  <c r="BD18" i="22"/>
  <c r="BT18" i="22" s="1"/>
  <c r="BW18" i="22" s="1"/>
  <c r="BD14" i="22"/>
  <c r="BT14" i="22" s="1"/>
  <c r="BW14" i="22" s="1"/>
  <c r="BE39" i="20"/>
  <c r="BO39" i="20" s="1"/>
  <c r="BE57" i="20"/>
  <c r="BU57" i="20" s="1"/>
  <c r="BR89" i="20"/>
  <c r="BQ93" i="20"/>
  <c r="BS93" i="20" s="1"/>
  <c r="BN39" i="20"/>
  <c r="BG39" i="20" s="1"/>
  <c r="BF146" i="20"/>
  <c r="BY170" i="20"/>
  <c r="BF51" i="20"/>
  <c r="BV9" i="22"/>
  <c r="BI102" i="20"/>
  <c r="BJ102" i="20" s="1"/>
  <c r="BQ102" i="20" s="1"/>
  <c r="BY94" i="20"/>
  <c r="BG36" i="20"/>
  <c r="BW36" i="20" s="1"/>
  <c r="BZ36" i="20" s="1"/>
  <c r="BF120" i="20"/>
  <c r="BG79" i="20"/>
  <c r="BE203" i="20"/>
  <c r="BO203" i="20" s="1"/>
  <c r="BR11" i="20"/>
  <c r="BR22" i="20"/>
  <c r="BF36" i="20"/>
  <c r="BE156" i="20"/>
  <c r="BU156" i="20" s="1"/>
  <c r="BY15" i="20"/>
  <c r="BR36" i="20"/>
  <c r="AU36" i="20"/>
  <c r="BC36" i="20" s="1"/>
  <c r="BF156" i="20"/>
  <c r="AU206" i="20"/>
  <c r="BD206" i="20" s="1"/>
  <c r="BE99" i="20"/>
  <c r="BO99" i="20" s="1"/>
  <c r="BV55" i="20"/>
  <c r="BY55" i="20" s="1"/>
  <c r="BR31" i="20"/>
  <c r="BV135" i="20"/>
  <c r="AU176" i="20"/>
  <c r="BC176" i="20" s="1"/>
  <c r="BG5" i="20"/>
  <c r="BW5" i="20" s="1"/>
  <c r="BZ5" i="20" s="1"/>
  <c r="BI203" i="20"/>
  <c r="BJ203" i="20" s="1"/>
  <c r="BQ203" i="20" s="1"/>
  <c r="BS203" i="20" s="1"/>
  <c r="BF207" i="20"/>
  <c r="BV43" i="20"/>
  <c r="BY43" i="20" s="1"/>
  <c r="BC6" i="20"/>
  <c r="BF39" i="20"/>
  <c r="BY195" i="20"/>
  <c r="BS6" i="22"/>
  <c r="BV6" i="22" s="1"/>
  <c r="BG96" i="20"/>
  <c r="BY178" i="20"/>
  <c r="BY128" i="20"/>
  <c r="BY205" i="20"/>
  <c r="AU33" i="20"/>
  <c r="BD33" i="20" s="1"/>
  <c r="BE28" i="20"/>
  <c r="BO28" i="20" s="1"/>
  <c r="BW180" i="20"/>
  <c r="BZ180" i="20" s="1"/>
  <c r="BF27" i="20"/>
  <c r="BV25" i="20"/>
  <c r="BY25" i="20" s="1"/>
  <c r="BZ6" i="20"/>
  <c r="BI206" i="20"/>
  <c r="BJ206" i="20" s="1"/>
  <c r="BQ206" i="20" s="1"/>
  <c r="BI28" i="20"/>
  <c r="BJ28" i="20" s="1"/>
  <c r="BQ28" i="20" s="1"/>
  <c r="BY103" i="20"/>
  <c r="BV14" i="22"/>
  <c r="BE147" i="20"/>
  <c r="BO147" i="20" s="1"/>
  <c r="BG13" i="22"/>
  <c r="BN13" i="22" s="1"/>
  <c r="BP13" i="22" s="1"/>
  <c r="BJ19" i="20"/>
  <c r="BQ19" i="20" s="1"/>
  <c r="BV51" i="20"/>
  <c r="BY51" i="20" s="1"/>
  <c r="BF158" i="20"/>
  <c r="BY86" i="20"/>
  <c r="BV31" i="20"/>
  <c r="BY31" i="20" s="1"/>
  <c r="BY202" i="20"/>
  <c r="BF206" i="20"/>
  <c r="BE180" i="20"/>
  <c r="BU180" i="20" s="1"/>
  <c r="BJ58" i="20"/>
  <c r="BQ58" i="20" s="1"/>
  <c r="AU158" i="20"/>
  <c r="BC158" i="20" s="1"/>
  <c r="BP194" i="20"/>
  <c r="BR25" i="20"/>
  <c r="U72" i="20"/>
  <c r="BW140" i="20"/>
  <c r="BX140" i="20" s="1"/>
  <c r="CA140" i="20" s="1"/>
  <c r="AU198" i="20"/>
  <c r="BD198" i="20" s="1"/>
  <c r="BT194" i="20"/>
  <c r="BY194" i="20" s="1"/>
  <c r="BY177" i="20"/>
  <c r="BF45" i="20"/>
  <c r="AR11" i="22"/>
  <c r="BA11" i="22" s="1"/>
  <c r="BC11" i="22"/>
  <c r="BB11" i="22"/>
  <c r="BR11" i="22" s="1"/>
  <c r="BF11" i="22"/>
  <c r="BM11" i="22"/>
  <c r="BC14" i="22"/>
  <c r="BO7" i="22"/>
  <c r="BF10" i="22"/>
  <c r="BG10" i="22" s="1"/>
  <c r="BN10" i="22" s="1"/>
  <c r="BP10" i="22" s="1"/>
  <c r="BB10" i="22"/>
  <c r="BR10" i="22" s="1"/>
  <c r="BD10" i="22"/>
  <c r="BT10" i="22" s="1"/>
  <c r="BW10" i="22" s="1"/>
  <c r="BG8" i="22"/>
  <c r="BN8" i="22" s="1"/>
  <c r="AR10" i="22"/>
  <c r="BA10" i="22" s="1"/>
  <c r="BD9" i="22"/>
  <c r="BT9" i="22" s="1"/>
  <c r="BW9" i="22" s="1"/>
  <c r="BE196" i="20"/>
  <c r="BO196" i="20" s="1"/>
  <c r="BI196" i="20"/>
  <c r="BJ196" i="20" s="1"/>
  <c r="BQ196" i="20" s="1"/>
  <c r="BS196" i="20" s="1"/>
  <c r="AU196" i="20"/>
  <c r="BC196" i="20" s="1"/>
  <c r="BS17" i="22"/>
  <c r="BD17" i="22"/>
  <c r="BT17" i="22" s="1"/>
  <c r="BW17" i="22" s="1"/>
  <c r="BG179" i="20"/>
  <c r="BY133" i="20"/>
  <c r="BR12" i="20"/>
  <c r="BG150" i="20"/>
  <c r="BW150" i="20" s="1"/>
  <c r="BZ150" i="20" s="1"/>
  <c r="BL14" i="22"/>
  <c r="BY98" i="20"/>
  <c r="BR4" i="20"/>
  <c r="BE179" i="20"/>
  <c r="BU179" i="20" s="1"/>
  <c r="BG207" i="20"/>
  <c r="BY78" i="20"/>
  <c r="BC5" i="22"/>
  <c r="BE207" i="20"/>
  <c r="BO207" i="20" s="1"/>
  <c r="BY6" i="20"/>
  <c r="BG14" i="20"/>
  <c r="BI57" i="20"/>
  <c r="BJ57" i="20" s="1"/>
  <c r="BQ57" i="20" s="1"/>
  <c r="BS57" i="20" s="1"/>
  <c r="BV12" i="20"/>
  <c r="BY12" i="20" s="1"/>
  <c r="BF12" i="20"/>
  <c r="BI207" i="20"/>
  <c r="BJ207" i="20" s="1"/>
  <c r="BQ207" i="20" s="1"/>
  <c r="BS207" i="20" s="1"/>
  <c r="BF179" i="20"/>
  <c r="BJ114" i="20"/>
  <c r="BQ114" i="20" s="1"/>
  <c r="BJ5" i="20"/>
  <c r="BQ5" i="20" s="1"/>
  <c r="BY155" i="20"/>
  <c r="BF181" i="20"/>
  <c r="BQ11" i="22"/>
  <c r="BV11" i="22" s="1"/>
  <c r="BH11" i="22"/>
  <c r="BO11" i="22" s="1"/>
  <c r="BE61" i="20"/>
  <c r="BU61" i="20" s="1"/>
  <c r="BR17" i="22"/>
  <c r="BL17" i="22"/>
  <c r="BE88" i="20"/>
  <c r="BO88" i="20" s="1"/>
  <c r="AU57" i="20"/>
  <c r="BC57" i="20" s="1"/>
  <c r="BF111" i="20"/>
  <c r="BF136" i="20"/>
  <c r="AU207" i="20"/>
  <c r="BD207" i="20" s="1"/>
  <c r="BW179" i="20"/>
  <c r="BZ179" i="20" s="1"/>
  <c r="BE112" i="20"/>
  <c r="BO112" i="20" s="1"/>
  <c r="BF33" i="20"/>
  <c r="BC28" i="20"/>
  <c r="BQ6" i="20"/>
  <c r="BS6" i="20" s="1"/>
  <c r="BO17" i="22"/>
  <c r="BG17" i="22"/>
  <c r="BN17" i="22" s="1"/>
  <c r="BO8" i="22"/>
  <c r="BF61" i="20"/>
  <c r="AU111" i="20"/>
  <c r="BD111" i="20" s="1"/>
  <c r="BE29" i="20"/>
  <c r="BO29" i="20" s="1"/>
  <c r="BF112" i="20"/>
  <c r="BF152" i="20"/>
  <c r="BF31" i="20"/>
  <c r="BY193" i="20"/>
  <c r="BR206" i="20"/>
  <c r="BF200" i="20"/>
  <c r="AU200" i="20"/>
  <c r="BC200" i="20" s="1"/>
  <c r="BW195" i="20"/>
  <c r="BX195" i="20" s="1"/>
  <c r="CA195" i="20" s="1"/>
  <c r="BR147" i="20"/>
  <c r="BI45" i="20"/>
  <c r="BJ45" i="20" s="1"/>
  <c r="BQ45" i="20" s="1"/>
  <c r="AU45" i="20"/>
  <c r="BC45" i="20" s="1"/>
  <c r="BG45" i="20"/>
  <c r="BW45" i="20" s="1"/>
  <c r="BZ45" i="20" s="1"/>
  <c r="AU150" i="20"/>
  <c r="BC150" i="20" s="1"/>
  <c r="BI150" i="20"/>
  <c r="BJ150" i="20" s="1"/>
  <c r="BQ150" i="20" s="1"/>
  <c r="BF98" i="20"/>
  <c r="BE98" i="20"/>
  <c r="BU98" i="20" s="1"/>
  <c r="BI98" i="20"/>
  <c r="BJ98" i="20" s="1"/>
  <c r="BQ98" i="20" s="1"/>
  <c r="BS98" i="20" s="1"/>
  <c r="AU98" i="20"/>
  <c r="BC98" i="20" s="1"/>
  <c r="BF83" i="20"/>
  <c r="AU83" i="20"/>
  <c r="BC83" i="20" s="1"/>
  <c r="BI147" i="20"/>
  <c r="BJ147" i="20" s="1"/>
  <c r="BQ147" i="20" s="1"/>
  <c r="BG147" i="20"/>
  <c r="BW147" i="20" s="1"/>
  <c r="BZ147" i="20" s="1"/>
  <c r="R14" i="21"/>
  <c r="N15" i="21"/>
  <c r="BI27" i="20"/>
  <c r="AU27" i="20"/>
  <c r="BC27" i="20" s="1"/>
  <c r="BN110" i="20"/>
  <c r="BV110" i="20" s="1"/>
  <c r="BK110" i="20"/>
  <c r="BR110" i="20" s="1"/>
  <c r="BT110" i="20"/>
  <c r="BP110" i="20"/>
  <c r="BI143" i="20"/>
  <c r="BJ143" i="20" s="1"/>
  <c r="BQ143" i="20" s="1"/>
  <c r="BF143" i="20"/>
  <c r="AU182" i="20"/>
  <c r="BD182" i="20" s="1"/>
  <c r="BI182" i="20"/>
  <c r="BJ182" i="20" s="1"/>
  <c r="BQ182" i="20" s="1"/>
  <c r="BG60" i="20"/>
  <c r="BW60" i="20"/>
  <c r="BX60" i="20" s="1"/>
  <c r="CA60" i="20" s="1"/>
  <c r="BI181" i="20"/>
  <c r="BJ181" i="20" s="1"/>
  <c r="BQ181" i="20" s="1"/>
  <c r="AU181" i="20"/>
  <c r="BD181" i="20" s="1"/>
  <c r="BE200" i="20"/>
  <c r="BU200" i="20" s="1"/>
  <c r="BI40" i="20"/>
  <c r="BJ40" i="20" s="1"/>
  <c r="BQ40" i="20" s="1"/>
  <c r="AU40" i="20"/>
  <c r="BC40" i="20" s="1"/>
  <c r="BY83" i="20"/>
  <c r="BI23" i="20"/>
  <c r="BJ23" i="20" s="1"/>
  <c r="BQ23" i="20" s="1"/>
  <c r="BF23" i="20"/>
  <c r="BE45" i="20"/>
  <c r="BU45" i="20" s="1"/>
  <c r="BI153" i="20"/>
  <c r="BJ153" i="20" s="1"/>
  <c r="BQ153" i="20" s="1"/>
  <c r="AU153" i="20"/>
  <c r="BD153" i="20" s="1"/>
  <c r="BT197" i="20"/>
  <c r="BN197" i="20"/>
  <c r="BV197" i="20" s="1"/>
  <c r="BK197" i="20"/>
  <c r="BR197" i="20" s="1"/>
  <c r="BF53" i="20"/>
  <c r="BY99" i="20"/>
  <c r="BW79" i="20"/>
  <c r="BZ79" i="20" s="1"/>
  <c r="BI79" i="20"/>
  <c r="BJ79" i="20" s="1"/>
  <c r="BQ79" i="20" s="1"/>
  <c r="BS79" i="20" s="1"/>
  <c r="BF79" i="20"/>
  <c r="BI53" i="20"/>
  <c r="BJ53" i="20" s="1"/>
  <c r="BQ53" i="20" s="1"/>
  <c r="BS53" i="20" s="1"/>
  <c r="BI54" i="20"/>
  <c r="BJ54" i="20" s="1"/>
  <c r="BQ54" i="20" s="1"/>
  <c r="BS54" i="20" s="1"/>
  <c r="BW54" i="20"/>
  <c r="BZ54" i="20" s="1"/>
  <c r="BE83" i="20"/>
  <c r="BU83" i="20" s="1"/>
  <c r="BG98" i="20"/>
  <c r="BW98" i="20" s="1"/>
  <c r="BZ98" i="20" s="1"/>
  <c r="BD39" i="20"/>
  <c r="BC39" i="20"/>
  <c r="BW53" i="20"/>
  <c r="BX53" i="20" s="1"/>
  <c r="CA53" i="20" s="1"/>
  <c r="BG83" i="20"/>
  <c r="AU44" i="20"/>
  <c r="BC44" i="20" s="1"/>
  <c r="BI44" i="20"/>
  <c r="BJ44" i="20" s="1"/>
  <c r="BQ44" i="20" s="1"/>
  <c r="BS44" i="20" s="1"/>
  <c r="BW44" i="20"/>
  <c r="BZ44" i="20" s="1"/>
  <c r="BG44" i="20"/>
  <c r="AU5" i="20"/>
  <c r="BC5" i="20" s="1"/>
  <c r="BG29" i="20"/>
  <c r="BW29" i="20" s="1"/>
  <c r="BZ29" i="20" s="1"/>
  <c r="BI91" i="20"/>
  <c r="AU91" i="20"/>
  <c r="BD91" i="20" s="1"/>
  <c r="BE35" i="20"/>
  <c r="BO35" i="20" s="1"/>
  <c r="AU35" i="20"/>
  <c r="BC35" i="20" s="1"/>
  <c r="AU115" i="20"/>
  <c r="BD115" i="20" s="1"/>
  <c r="BG53" i="20"/>
  <c r="BJ12" i="20"/>
  <c r="BQ12" i="20" s="1"/>
  <c r="BI194" i="20"/>
  <c r="BJ194" i="20" s="1"/>
  <c r="BY96" i="20"/>
  <c r="BG82" i="20"/>
  <c r="BG198" i="20"/>
  <c r="BI100" i="20"/>
  <c r="BJ100" i="20" s="1"/>
  <c r="BQ100" i="20" s="1"/>
  <c r="BF180" i="20"/>
  <c r="BV45" i="20"/>
  <c r="BY45" i="20" s="1"/>
  <c r="BE27" i="20"/>
  <c r="BU27" i="20" s="1"/>
  <c r="BJ31" i="20"/>
  <c r="BQ31" i="20" s="1"/>
  <c r="BD189" i="20"/>
  <c r="BC189" i="20"/>
  <c r="BE82" i="20"/>
  <c r="BO82" i="20" s="1"/>
  <c r="BR145" i="20"/>
  <c r="BJ116" i="20"/>
  <c r="BQ116" i="20" s="1"/>
  <c r="BI82" i="20"/>
  <c r="BJ82" i="20" s="1"/>
  <c r="BQ82" i="20" s="1"/>
  <c r="BS82" i="20" s="1"/>
  <c r="BI115" i="20"/>
  <c r="BJ115" i="20" s="1"/>
  <c r="BQ115" i="20" s="1"/>
  <c r="BJ88" i="20"/>
  <c r="BQ88" i="20" s="1"/>
  <c r="BJ90" i="20"/>
  <c r="BQ90" i="20" s="1"/>
  <c r="BW198" i="20"/>
  <c r="BZ198" i="20" s="1"/>
  <c r="BF196" i="20"/>
  <c r="AU100" i="20"/>
  <c r="BD100" i="20" s="1"/>
  <c r="BI180" i="20"/>
  <c r="BJ180" i="20" s="1"/>
  <c r="BQ180" i="20" s="1"/>
  <c r="BS180" i="20" s="1"/>
  <c r="BE152" i="20"/>
  <c r="BU152" i="20" s="1"/>
  <c r="BF153" i="20"/>
  <c r="BJ204" i="20"/>
  <c r="BQ204" i="20" s="1"/>
  <c r="BR156" i="20"/>
  <c r="BG154" i="20"/>
  <c r="BF40" i="20"/>
  <c r="AU82" i="20"/>
  <c r="BC82" i="20" s="1"/>
  <c r="BF5" i="20"/>
  <c r="BY140" i="20"/>
  <c r="BY54" i="20"/>
  <c r="BV50" i="20"/>
  <c r="BR43" i="20"/>
  <c r="BV109" i="20"/>
  <c r="BY109" i="20" s="1"/>
  <c r="BV148" i="20"/>
  <c r="BY148" i="20" s="1"/>
  <c r="BY53" i="20"/>
  <c r="BV30" i="20"/>
  <c r="BY30" i="20" s="1"/>
  <c r="BF82" i="20"/>
  <c r="BY57" i="20"/>
  <c r="BF115" i="20"/>
  <c r="BF198" i="20"/>
  <c r="BV89" i="20"/>
  <c r="BY89" i="20" s="1"/>
  <c r="BG176" i="20"/>
  <c r="BW176" i="20" s="1"/>
  <c r="BZ176" i="20" s="1"/>
  <c r="BF150" i="20"/>
  <c r="BY82" i="20"/>
  <c r="AU112" i="20"/>
  <c r="BG112" i="20"/>
  <c r="BW112" i="20" s="1"/>
  <c r="BZ112" i="20" s="1"/>
  <c r="BF147" i="20"/>
  <c r="BG66" i="20"/>
  <c r="BW66" i="20" s="1"/>
  <c r="BZ66" i="20" s="1"/>
  <c r="BE66" i="20"/>
  <c r="BF66" i="20"/>
  <c r="BI66" i="20"/>
  <c r="BJ66" i="20" s="1"/>
  <c r="BQ66" i="20" s="1"/>
  <c r="BS66" i="20" s="1"/>
  <c r="AU66" i="20"/>
  <c r="BC66" i="20" s="1"/>
  <c r="BF4" i="20"/>
  <c r="BG4" i="20"/>
  <c r="BW4" i="20" s="1"/>
  <c r="BZ4" i="20" s="1"/>
  <c r="BE4" i="20"/>
  <c r="BU4" i="20" s="1"/>
  <c r="BI4" i="20"/>
  <c r="BJ4" i="20" s="1"/>
  <c r="BQ4" i="20" s="1"/>
  <c r="AU4" i="20"/>
  <c r="BO158" i="20"/>
  <c r="BU158" i="20"/>
  <c r="BA12" i="22"/>
  <c r="AZ12" i="22"/>
  <c r="BI70" i="20"/>
  <c r="BJ70" i="20" s="1"/>
  <c r="BQ70" i="20" s="1"/>
  <c r="BE70" i="20"/>
  <c r="BG70" i="20"/>
  <c r="BW70" i="20" s="1"/>
  <c r="BZ70" i="20" s="1"/>
  <c r="AU70" i="20"/>
  <c r="Y72" i="20"/>
  <c r="O12" i="21" s="1"/>
  <c r="S12" i="21" s="1"/>
  <c r="BG196" i="20"/>
  <c r="BW196" i="20" s="1"/>
  <c r="BZ196" i="20" s="1"/>
  <c r="BE205" i="20"/>
  <c r="AU205" i="20"/>
  <c r="BF205" i="20"/>
  <c r="BG205" i="20"/>
  <c r="BI205" i="20"/>
  <c r="BJ205" i="20" s="1"/>
  <c r="BQ205" i="20" s="1"/>
  <c r="BS205" i="20" s="1"/>
  <c r="BW205" i="20"/>
  <c r="BV12" i="22"/>
  <c r="AU14" i="20"/>
  <c r="BD14" i="20" s="1"/>
  <c r="BZ151" i="20"/>
  <c r="BP197" i="20"/>
  <c r="BE195" i="20"/>
  <c r="BO195" i="20" s="1"/>
  <c r="BN33" i="20"/>
  <c r="BI35" i="20"/>
  <c r="BJ35" i="20" s="1"/>
  <c r="BQ35" i="20" s="1"/>
  <c r="BG42" i="20"/>
  <c r="BW42" i="20" s="1"/>
  <c r="BX42" i="20" s="1"/>
  <c r="CA42" i="20" s="1"/>
  <c r="BR143" i="20"/>
  <c r="BI158" i="20"/>
  <c r="BJ158" i="20" s="1"/>
  <c r="BQ158" i="20" s="1"/>
  <c r="BS158" i="20" s="1"/>
  <c r="BC12" i="22"/>
  <c r="BR166" i="20"/>
  <c r="BS8" i="22"/>
  <c r="BD8" i="22"/>
  <c r="BT8" i="22" s="1"/>
  <c r="BW8" i="22" s="1"/>
  <c r="BT152" i="20"/>
  <c r="BK152" i="20"/>
  <c r="BR152" i="20" s="1"/>
  <c r="BP152" i="20"/>
  <c r="BV112" i="20"/>
  <c r="BT33" i="20"/>
  <c r="BF194" i="20"/>
  <c r="BE31" i="20"/>
  <c r="BO31" i="20" s="1"/>
  <c r="BG156" i="20"/>
  <c r="BW156" i="20" s="1"/>
  <c r="BZ156" i="20" s="1"/>
  <c r="AU25" i="20"/>
  <c r="BE25" i="20"/>
  <c r="BR148" i="20"/>
  <c r="BD13" i="22"/>
  <c r="BT13" i="22" s="1"/>
  <c r="BN48" i="20"/>
  <c r="BG194" i="20"/>
  <c r="BE197" i="20"/>
  <c r="BO197" i="20" s="1"/>
  <c r="BJ29" i="20"/>
  <c r="BQ29" i="20" s="1"/>
  <c r="BI200" i="20"/>
  <c r="BJ200" i="20" s="1"/>
  <c r="BQ200" i="20" s="1"/>
  <c r="BS200" i="20" s="1"/>
  <c r="BG31" i="20"/>
  <c r="BW31" i="20" s="1"/>
  <c r="BF91" i="20"/>
  <c r="BI128" i="20"/>
  <c r="BJ128" i="20" s="1"/>
  <c r="BQ128" i="20" s="1"/>
  <c r="BS128" i="20" s="1"/>
  <c r="BR51" i="20"/>
  <c r="BR35" i="20"/>
  <c r="BA7" i="22"/>
  <c r="AZ7" i="22"/>
  <c r="BD12" i="22"/>
  <c r="BT12" i="22" s="1"/>
  <c r="BW12" i="22" s="1"/>
  <c r="BI25" i="20"/>
  <c r="BJ25" i="20" s="1"/>
  <c r="BQ25" i="20" s="1"/>
  <c r="BR121" i="20"/>
  <c r="BR70" i="20"/>
  <c r="BR50" i="20"/>
  <c r="BS16" i="22"/>
  <c r="BD16" i="22"/>
  <c r="BT16" i="22" s="1"/>
  <c r="BW16" i="22" s="1"/>
  <c r="AU146" i="20"/>
  <c r="BE146" i="20"/>
  <c r="BD7" i="22"/>
  <c r="BT7" i="22" s="1"/>
  <c r="BW7" i="22" s="1"/>
  <c r="BC7" i="22"/>
  <c r="BG143" i="20"/>
  <c r="BW143" i="20" s="1"/>
  <c r="BZ143" i="20" s="1"/>
  <c r="BD11" i="22"/>
  <c r="BT11" i="22" s="1"/>
  <c r="AR13" i="22"/>
  <c r="BV147" i="20"/>
  <c r="BT59" i="20"/>
  <c r="BK59" i="20"/>
  <c r="BR59" i="20" s="1"/>
  <c r="BP59" i="20"/>
  <c r="BD147" i="20"/>
  <c r="BC147" i="20"/>
  <c r="BW154" i="20"/>
  <c r="BZ154" i="20" s="1"/>
  <c r="AU154" i="20"/>
  <c r="BF70" i="20"/>
  <c r="BI195" i="20"/>
  <c r="BJ195" i="20" s="1"/>
  <c r="BQ195" i="20" s="1"/>
  <c r="BS195" i="20" s="1"/>
  <c r="BI154" i="20"/>
  <c r="BJ154" i="20" s="1"/>
  <c r="BQ154" i="20" s="1"/>
  <c r="BS154" i="20" s="1"/>
  <c r="BE33" i="20"/>
  <c r="BI96" i="20"/>
  <c r="BJ96" i="20" s="1"/>
  <c r="BQ96" i="20" s="1"/>
  <c r="BS96" i="20" s="1"/>
  <c r="BG100" i="20"/>
  <c r="BW100" i="20" s="1"/>
  <c r="BZ100" i="20" s="1"/>
  <c r="BR111" i="20"/>
  <c r="BN27" i="20"/>
  <c r="BT27" i="20"/>
  <c r="BF12" i="22"/>
  <c r="BG12" i="22" s="1"/>
  <c r="BN12" i="22" s="1"/>
  <c r="BP12" i="22" s="1"/>
  <c r="BC13" i="22"/>
  <c r="BY171" i="20"/>
  <c r="BF195" i="20"/>
  <c r="BF182" i="20"/>
  <c r="BN59" i="20"/>
  <c r="BV59" i="20" s="1"/>
  <c r="BB13" i="22"/>
  <c r="BV10" i="22"/>
  <c r="BF197" i="20"/>
  <c r="BE154" i="20"/>
  <c r="BO154" i="20" s="1"/>
  <c r="BD145" i="20"/>
  <c r="BC145" i="20"/>
  <c r="BB12" i="22"/>
  <c r="BV70" i="20"/>
  <c r="BI145" i="20"/>
  <c r="BJ145" i="20" s="1"/>
  <c r="BQ145" i="20" s="1"/>
  <c r="BF145" i="20"/>
  <c r="BG145" i="20"/>
  <c r="BW145" i="20" s="1"/>
  <c r="BZ145" i="20" s="1"/>
  <c r="AR5" i="22"/>
  <c r="BF5" i="22"/>
  <c r="BG5" i="22" s="1"/>
  <c r="BN5" i="22" s="1"/>
  <c r="BV121" i="20"/>
  <c r="BY121" i="20" s="1"/>
  <c r="BK33" i="20"/>
  <c r="BR33" i="20" s="1"/>
  <c r="BE42" i="20"/>
  <c r="BO42" i="20" s="1"/>
  <c r="AU53" i="20"/>
  <c r="BC53" i="20" s="1"/>
  <c r="BE60" i="20"/>
  <c r="BO60" i="20" s="1"/>
  <c r="BG180" i="20"/>
  <c r="BE189" i="20"/>
  <c r="BO189" i="20" s="1"/>
  <c r="BW194" i="20"/>
  <c r="BK27" i="20"/>
  <c r="BR27" i="20" s="1"/>
  <c r="BW200" i="20"/>
  <c r="BZ200" i="20" s="1"/>
  <c r="AU31" i="20"/>
  <c r="BC31" i="20" s="1"/>
  <c r="BF102" i="20"/>
  <c r="BW128" i="20"/>
  <c r="BZ128" i="20" s="1"/>
  <c r="BE143" i="20"/>
  <c r="BU143" i="20" s="1"/>
  <c r="BF154" i="20"/>
  <c r="BE194" i="20"/>
  <c r="BU194" i="20" s="1"/>
  <c r="AU136" i="20"/>
  <c r="BC136" i="20" s="1"/>
  <c r="BZ82" i="20"/>
  <c r="BR109" i="20"/>
  <c r="U168" i="20"/>
  <c r="V167" i="20"/>
  <c r="BC190" i="20"/>
  <c r="BD190" i="20"/>
  <c r="BR189" i="20"/>
  <c r="BG182" i="20"/>
  <c r="BW182" i="20" s="1"/>
  <c r="BZ182" i="20" s="1"/>
  <c r="AU85" i="20"/>
  <c r="BC85" i="20" s="1"/>
  <c r="BO16" i="22"/>
  <c r="BG16" i="22"/>
  <c r="BN16" i="22" s="1"/>
  <c r="BY77" i="20"/>
  <c r="BR19" i="20"/>
  <c r="BY175" i="20"/>
  <c r="AU143" i="20"/>
  <c r="BD143" i="20" s="1"/>
  <c r="BL16" i="22"/>
  <c r="BR16" i="22"/>
  <c r="AU19" i="20"/>
  <c r="BD19" i="20" s="1"/>
  <c r="BF176" i="20"/>
  <c r="BE128" i="20"/>
  <c r="BO128" i="20" s="1"/>
  <c r="BI42" i="20"/>
  <c r="BJ42" i="20" s="1"/>
  <c r="BQ42" i="20" s="1"/>
  <c r="BS42" i="20" s="1"/>
  <c r="BI60" i="20"/>
  <c r="BJ60" i="20" s="1"/>
  <c r="BQ60" i="20" s="1"/>
  <c r="BS60" i="20" s="1"/>
  <c r="BF60" i="20"/>
  <c r="BF25" i="20"/>
  <c r="BV36" i="20"/>
  <c r="BE136" i="20"/>
  <c r="BU136" i="20" s="1"/>
  <c r="AU195" i="20"/>
  <c r="BD195" i="20" s="1"/>
  <c r="BG200" i="20"/>
  <c r="AU12" i="20"/>
  <c r="BD12" i="20" s="1"/>
  <c r="BF85" i="20"/>
  <c r="BE51" i="20"/>
  <c r="BO51" i="20" s="1"/>
  <c r="BG35" i="20"/>
  <c r="BW35" i="20" s="1"/>
  <c r="BZ35" i="20" s="1"/>
  <c r="BF128" i="20"/>
  <c r="BR90" i="20"/>
  <c r="X59" i="20"/>
  <c r="BM59" i="20" s="1"/>
  <c r="AA59" i="20"/>
  <c r="AQ59" i="20" s="1"/>
  <c r="BE59" i="20" s="1"/>
  <c r="BG181" i="20"/>
  <c r="BW181" i="20" s="1"/>
  <c r="BZ181" i="20" s="1"/>
  <c r="BS7" i="22"/>
  <c r="BG25" i="20"/>
  <c r="BW25" i="20" s="1"/>
  <c r="BZ25" i="20" s="1"/>
  <c r="BV190" i="20"/>
  <c r="BN152" i="20"/>
  <c r="BD166" i="20"/>
  <c r="BC166" i="20"/>
  <c r="BC180" i="20"/>
  <c r="BJ179" i="20"/>
  <c r="BQ179" i="20" s="1"/>
  <c r="BS179" i="20" s="1"/>
  <c r="BI176" i="20"/>
  <c r="BJ176" i="20" s="1"/>
  <c r="BQ176" i="20" s="1"/>
  <c r="BS176" i="20" s="1"/>
  <c r="BI202" i="20"/>
  <c r="BJ202" i="20" s="1"/>
  <c r="BQ202" i="20" s="1"/>
  <c r="BS202" i="20" s="1"/>
  <c r="BF202" i="20"/>
  <c r="AU202" i="20"/>
  <c r="BG202" i="20"/>
  <c r="BE202" i="20"/>
  <c r="BW202" i="20"/>
  <c r="BU198" i="20"/>
  <c r="BE142" i="20"/>
  <c r="BU142" i="20" s="1"/>
  <c r="BG142" i="20"/>
  <c r="AU142" i="20"/>
  <c r="BD142" i="20" s="1"/>
  <c r="BW142" i="20"/>
  <c r="BZ142" i="20" s="1"/>
  <c r="BF142" i="20"/>
  <c r="AU140" i="20"/>
  <c r="BC140" i="20" s="1"/>
  <c r="BE140" i="20"/>
  <c r="BI140" i="20"/>
  <c r="BJ140" i="20" s="1"/>
  <c r="BQ140" i="20" s="1"/>
  <c r="BS140" i="20" s="1"/>
  <c r="BG140" i="20"/>
  <c r="BW93" i="20"/>
  <c r="BZ93" i="20" s="1"/>
  <c r="BE93" i="20"/>
  <c r="BU93" i="20" s="1"/>
  <c r="AU93" i="20"/>
  <c r="BC93" i="20" s="1"/>
  <c r="BF93" i="20"/>
  <c r="BG93" i="20"/>
  <c r="BS97" i="20"/>
  <c r="AU96" i="20"/>
  <c r="BC96" i="20" s="1"/>
  <c r="BW96" i="20"/>
  <c r="BZ96" i="20" s="1"/>
  <c r="BF96" i="20"/>
  <c r="BG11" i="20"/>
  <c r="BW11" i="20" s="1"/>
  <c r="BZ11" i="20" s="1"/>
  <c r="BE11" i="20"/>
  <c r="BI11" i="20"/>
  <c r="BJ11" i="20" s="1"/>
  <c r="BQ11" i="20" s="1"/>
  <c r="AU11" i="20"/>
  <c r="BF11" i="20"/>
  <c r="BE178" i="20"/>
  <c r="AU178" i="20"/>
  <c r="BF178" i="20"/>
  <c r="BG178" i="20"/>
  <c r="BW178" i="20"/>
  <c r="BI178" i="20"/>
  <c r="BJ178" i="20" s="1"/>
  <c r="BQ178" i="20" s="1"/>
  <c r="BS178" i="20" s="1"/>
  <c r="BI50" i="20"/>
  <c r="BJ50" i="20" s="1"/>
  <c r="BQ50" i="20" s="1"/>
  <c r="BG50" i="20"/>
  <c r="BW50" i="20" s="1"/>
  <c r="BZ50" i="20" s="1"/>
  <c r="BE50" i="20"/>
  <c r="AU50" i="20"/>
  <c r="BF50" i="20"/>
  <c r="BU81" i="20"/>
  <c r="BO81" i="20"/>
  <c r="BU116" i="20"/>
  <c r="BO116" i="20"/>
  <c r="AU43" i="20"/>
  <c r="BI43" i="20"/>
  <c r="BJ43" i="20" s="1"/>
  <c r="BQ43" i="20" s="1"/>
  <c r="BE43" i="20"/>
  <c r="BF43" i="20"/>
  <c r="BG43" i="20"/>
  <c r="BW43" i="20" s="1"/>
  <c r="BO58" i="20"/>
  <c r="BU58" i="20"/>
  <c r="BG146" i="20"/>
  <c r="BW146" i="20" s="1"/>
  <c r="BZ146" i="20" s="1"/>
  <c r="BV146" i="20"/>
  <c r="BI148" i="20"/>
  <c r="BJ148" i="20" s="1"/>
  <c r="BQ148" i="20" s="1"/>
  <c r="AU148" i="20"/>
  <c r="BG148" i="20"/>
  <c r="BW148" i="20" s="1"/>
  <c r="BE148" i="20"/>
  <c r="BF148" i="20"/>
  <c r="BU151" i="20"/>
  <c r="BO151" i="20"/>
  <c r="AU121" i="20"/>
  <c r="BG121" i="20"/>
  <c r="BW121" i="20" s="1"/>
  <c r="BZ121" i="20" s="1"/>
  <c r="BF121" i="20"/>
  <c r="BE121" i="20"/>
  <c r="BI121" i="20"/>
  <c r="BJ121" i="20" s="1"/>
  <c r="BQ121" i="20" s="1"/>
  <c r="BI109" i="20"/>
  <c r="BJ109" i="20" s="1"/>
  <c r="BQ109" i="20" s="1"/>
  <c r="AU109" i="20"/>
  <c r="BF109" i="20"/>
  <c r="BG109" i="20"/>
  <c r="BW109" i="20" s="1"/>
  <c r="BE109" i="20"/>
  <c r="BR81" i="20"/>
  <c r="BD152" i="20"/>
  <c r="BC152" i="20"/>
  <c r="BG71" i="20"/>
  <c r="BW71" i="20" s="1"/>
  <c r="BZ71" i="20" s="1"/>
  <c r="AU71" i="20"/>
  <c r="BY87" i="20"/>
  <c r="BR190" i="20"/>
  <c r="BV157" i="20"/>
  <c r="BR157" i="20"/>
  <c r="AU22" i="20"/>
  <c r="BF22" i="20"/>
  <c r="BI22" i="20"/>
  <c r="BJ22" i="20" s="1"/>
  <c r="BQ22" i="20" s="1"/>
  <c r="BE22" i="20"/>
  <c r="BG22" i="20"/>
  <c r="BW22" i="20" s="1"/>
  <c r="BZ22" i="20" s="1"/>
  <c r="Q15" i="21"/>
  <c r="BK120" i="20"/>
  <c r="BP120" i="20"/>
  <c r="BN120" i="20"/>
  <c r="BE120" i="20"/>
  <c r="BT120" i="20"/>
  <c r="BP91" i="20"/>
  <c r="BT91" i="20"/>
  <c r="BK91" i="20"/>
  <c r="BN91" i="20"/>
  <c r="AU29" i="20"/>
  <c r="BZ207" i="20"/>
  <c r="BX207" i="20"/>
  <c r="CA207" i="20" s="1"/>
  <c r="AA95" i="20"/>
  <c r="AQ95" i="20" s="1"/>
  <c r="X95" i="20"/>
  <c r="BM95" i="20" s="1"/>
  <c r="BV203" i="20"/>
  <c r="BG203" i="20"/>
  <c r="BW203" i="20" s="1"/>
  <c r="BZ203" i="20" s="1"/>
  <c r="BV28" i="20"/>
  <c r="BG28" i="20"/>
  <c r="BW28" i="20" s="1"/>
  <c r="BZ28" i="20" s="1"/>
  <c r="X177" i="20"/>
  <c r="AA177" i="20"/>
  <c r="AQ177" i="20" s="1"/>
  <c r="BW170" i="20"/>
  <c r="BG170" i="20"/>
  <c r="BI170" i="20"/>
  <c r="BJ170" i="20" s="1"/>
  <c r="BQ170" i="20" s="1"/>
  <c r="BS170" i="20" s="1"/>
  <c r="BF170" i="20"/>
  <c r="BE170" i="20"/>
  <c r="AU170" i="20"/>
  <c r="BR151" i="20"/>
  <c r="BE19" i="20"/>
  <c r="BD102" i="20"/>
  <c r="BC102" i="20"/>
  <c r="BE85" i="20"/>
  <c r="BW85" i="20"/>
  <c r="BP85" i="20"/>
  <c r="BQ85" i="20" s="1"/>
  <c r="BS85" i="20" s="1"/>
  <c r="BT85" i="20"/>
  <c r="BY85" i="20" s="1"/>
  <c r="BV158" i="20"/>
  <c r="BG158" i="20"/>
  <c r="BW158" i="20" s="1"/>
  <c r="BZ158" i="20" s="1"/>
  <c r="BD4" i="22"/>
  <c r="BT4" i="22" s="1"/>
  <c r="BW4" i="22" s="1"/>
  <c r="BS4" i="22"/>
  <c r="BE5" i="20"/>
  <c r="BR5" i="20"/>
  <c r="BV5" i="20"/>
  <c r="BR71" i="20"/>
  <c r="BV71" i="20"/>
  <c r="BQ39" i="20"/>
  <c r="BS39" i="20" s="1"/>
  <c r="BD116" i="20"/>
  <c r="BC116" i="20"/>
  <c r="BE30" i="20"/>
  <c r="AU30" i="20"/>
  <c r="BG30" i="20"/>
  <c r="BW30" i="20" s="1"/>
  <c r="BZ30" i="20" s="1"/>
  <c r="BF30" i="20"/>
  <c r="BJ142" i="20"/>
  <c r="BQ142" i="20" s="1"/>
  <c r="BS142" i="20" s="1"/>
  <c r="BF88" i="20"/>
  <c r="BG88" i="20"/>
  <c r="BW88" i="20" s="1"/>
  <c r="BZ88" i="20" s="1"/>
  <c r="AU88" i="20"/>
  <c r="BG57" i="20"/>
  <c r="BW57" i="20"/>
  <c r="BE91" i="20"/>
  <c r="BF19" i="20"/>
  <c r="BV114" i="20"/>
  <c r="BG114" i="20"/>
  <c r="BW114" i="20" s="1"/>
  <c r="BZ114" i="20" s="1"/>
  <c r="BY179" i="20"/>
  <c r="BE12" i="20"/>
  <c r="BD81" i="20"/>
  <c r="BC81" i="20"/>
  <c r="BJ36" i="20"/>
  <c r="BQ36" i="20" s="1"/>
  <c r="BV29" i="20"/>
  <c r="BE36" i="20"/>
  <c r="BW192" i="20"/>
  <c r="BF192" i="20"/>
  <c r="BG192" i="20"/>
  <c r="BE192" i="20"/>
  <c r="AU192" i="20"/>
  <c r="BI192" i="20"/>
  <c r="BJ192" i="20" s="1"/>
  <c r="BQ192" i="20" s="1"/>
  <c r="BS192" i="20" s="1"/>
  <c r="BB4" i="22"/>
  <c r="BO4" i="22"/>
  <c r="BC194" i="20"/>
  <c r="BD194" i="20"/>
  <c r="BW193" i="20"/>
  <c r="BF193" i="20"/>
  <c r="BE193" i="20"/>
  <c r="BI193" i="20"/>
  <c r="BJ193" i="20" s="1"/>
  <c r="BQ193" i="20" s="1"/>
  <c r="BS193" i="20" s="1"/>
  <c r="BG193" i="20"/>
  <c r="AU193" i="20"/>
  <c r="AA172" i="20"/>
  <c r="AQ172" i="20" s="1"/>
  <c r="X172" i="20"/>
  <c r="BM172" i="20" s="1"/>
  <c r="BJ112" i="20"/>
  <c r="BQ112" i="20" s="1"/>
  <c r="BR112" i="20"/>
  <c r="BV150" i="20"/>
  <c r="BE150" i="20"/>
  <c r="BV182" i="20"/>
  <c r="BR182" i="20"/>
  <c r="BE182" i="20"/>
  <c r="BG40" i="20"/>
  <c r="BW40" i="20" s="1"/>
  <c r="BZ40" i="20" s="1"/>
  <c r="BV40" i="20"/>
  <c r="BC151" i="20"/>
  <c r="BD151" i="20"/>
  <c r="BU79" i="20"/>
  <c r="BR88" i="20"/>
  <c r="BF29" i="20"/>
  <c r="BI61" i="20"/>
  <c r="BJ61" i="20" s="1"/>
  <c r="BQ61" i="20" s="1"/>
  <c r="BS61" i="20" s="1"/>
  <c r="BI86" i="20"/>
  <c r="BJ86" i="20" s="1"/>
  <c r="BQ86" i="20" s="1"/>
  <c r="BS86" i="20" s="1"/>
  <c r="BF86" i="20"/>
  <c r="AU86" i="20"/>
  <c r="BW86" i="20"/>
  <c r="BG86" i="20"/>
  <c r="BE86" i="20"/>
  <c r="BC23" i="20"/>
  <c r="BD23" i="20"/>
  <c r="AU89" i="20"/>
  <c r="BF89" i="20"/>
  <c r="BG89" i="20"/>
  <c r="BW89" i="20" s="1"/>
  <c r="BZ89" i="20" s="1"/>
  <c r="BE89" i="20"/>
  <c r="BI89" i="20"/>
  <c r="BJ89" i="20" s="1"/>
  <c r="BQ89" i="20" s="1"/>
  <c r="BD58" i="20"/>
  <c r="BC58" i="20"/>
  <c r="X133" i="20"/>
  <c r="AA133" i="20"/>
  <c r="AQ133" i="20" s="1"/>
  <c r="AU61" i="20"/>
  <c r="BC61" i="20" s="1"/>
  <c r="BV102" i="20"/>
  <c r="BG102" i="20"/>
  <c r="BW102" i="20" s="1"/>
  <c r="BZ102" i="20" s="1"/>
  <c r="BR150" i="20"/>
  <c r="BR135" i="20"/>
  <c r="BJ135" i="20"/>
  <c r="BQ135" i="20" s="1"/>
  <c r="BV88" i="20"/>
  <c r="BE90" i="20"/>
  <c r="BG90" i="20"/>
  <c r="BW90" i="20" s="1"/>
  <c r="BZ90" i="20" s="1"/>
  <c r="BF90" i="20"/>
  <c r="AU90" i="20"/>
  <c r="BG12" i="20"/>
  <c r="BW12" i="20" s="1"/>
  <c r="BZ12" i="20" s="1"/>
  <c r="BY191" i="20"/>
  <c r="BJ81" i="20"/>
  <c r="BQ81" i="20" s="1"/>
  <c r="BR29" i="20"/>
  <c r="BF42" i="20"/>
  <c r="AU60" i="20"/>
  <c r="BC60" i="20" s="1"/>
  <c r="AU54" i="20"/>
  <c r="BC54" i="20" s="1"/>
  <c r="BE96" i="20"/>
  <c r="BU96" i="20" s="1"/>
  <c r="AU42" i="20"/>
  <c r="BD42" i="20" s="1"/>
  <c r="BI71" i="20"/>
  <c r="BJ71" i="20" s="1"/>
  <c r="BQ71" i="20" s="1"/>
  <c r="BV81" i="20"/>
  <c r="BN85" i="20"/>
  <c r="BG85" i="20" s="1"/>
  <c r="BR55" i="20"/>
  <c r="BV151" i="20"/>
  <c r="BE191" i="20"/>
  <c r="BW191" i="20"/>
  <c r="BZ191" i="20" s="1"/>
  <c r="BG191" i="20"/>
  <c r="BI191" i="20"/>
  <c r="BJ191" i="20" s="1"/>
  <c r="BQ191" i="20" s="1"/>
  <c r="BS191" i="20" s="1"/>
  <c r="AU191" i="20"/>
  <c r="BF191" i="20"/>
  <c r="BK136" i="20"/>
  <c r="BP136" i="20"/>
  <c r="BT136" i="20"/>
  <c r="BN136" i="20"/>
  <c r="AU55" i="20"/>
  <c r="BF55" i="20"/>
  <c r="BE55" i="20"/>
  <c r="BG55" i="20"/>
  <c r="BW55" i="20" s="1"/>
  <c r="BZ55" i="20" s="1"/>
  <c r="BI55" i="20"/>
  <c r="BJ55" i="20" s="1"/>
  <c r="BQ55" i="20" s="1"/>
  <c r="BE23" i="20"/>
  <c r="BG23" i="20"/>
  <c r="BW23" i="20" s="1"/>
  <c r="BZ23" i="20" s="1"/>
  <c r="BG19" i="20"/>
  <c r="BW19" i="20" s="1"/>
  <c r="BZ19" i="20" s="1"/>
  <c r="BR30" i="20"/>
  <c r="BR114" i="20"/>
  <c r="BO176" i="20"/>
  <c r="BU176" i="20"/>
  <c r="BF157" i="20"/>
  <c r="AU157" i="20"/>
  <c r="BE157" i="20"/>
  <c r="BI157" i="20"/>
  <c r="BJ157" i="20" s="1"/>
  <c r="BQ157" i="20" s="1"/>
  <c r="BG157" i="20"/>
  <c r="BW157" i="20" s="1"/>
  <c r="BZ157" i="20" s="1"/>
  <c r="BC128" i="20"/>
  <c r="BD128" i="20"/>
  <c r="BJ111" i="20"/>
  <c r="BQ111" i="20" s="1"/>
  <c r="BG128" i="20"/>
  <c r="BO5" i="22"/>
  <c r="BV41" i="20"/>
  <c r="BG41" i="20"/>
  <c r="BW41" i="20" s="1"/>
  <c r="BZ41" i="20" s="1"/>
  <c r="BE145" i="20"/>
  <c r="BV145" i="20"/>
  <c r="BI87" i="20"/>
  <c r="BJ87" i="20" s="1"/>
  <c r="BQ87" i="20" s="1"/>
  <c r="BS87" i="20" s="1"/>
  <c r="BG87" i="20"/>
  <c r="BW87" i="20" s="1"/>
  <c r="BZ87" i="20" s="1"/>
  <c r="BF87" i="20"/>
  <c r="AU87" i="20"/>
  <c r="BE87" i="20"/>
  <c r="BR40" i="20"/>
  <c r="BE40" i="20"/>
  <c r="BG54" i="20"/>
  <c r="BF71" i="20"/>
  <c r="BV166" i="20"/>
  <c r="BG166" i="20"/>
  <c r="BW166" i="20" s="1"/>
  <c r="BZ166" i="20" s="1"/>
  <c r="BV115" i="20"/>
  <c r="BG115" i="20"/>
  <c r="BW115" i="20" s="1"/>
  <c r="BZ115" i="20" s="1"/>
  <c r="BG204" i="20"/>
  <c r="BW204" i="20" s="1"/>
  <c r="BZ204" i="20" s="1"/>
  <c r="BV204" i="20"/>
  <c r="BR58" i="20"/>
  <c r="BV58" i="20"/>
  <c r="BR167" i="20"/>
  <c r="BV167" i="20"/>
  <c r="BG116" i="20"/>
  <c r="BW116" i="20" s="1"/>
  <c r="BZ116" i="20" s="1"/>
  <c r="BR146" i="20"/>
  <c r="BJ146" i="20"/>
  <c r="BQ146" i="20" s="1"/>
  <c r="BS5" i="22"/>
  <c r="BD5" i="22"/>
  <c r="BT5" i="22" s="1"/>
  <c r="BW5" i="22" s="1"/>
  <c r="AU155" i="20"/>
  <c r="BI155" i="20"/>
  <c r="BJ155" i="20" s="1"/>
  <c r="BQ155" i="20" s="1"/>
  <c r="BS155" i="20" s="1"/>
  <c r="BE155" i="20"/>
  <c r="BG155" i="20"/>
  <c r="BW155" i="20" s="1"/>
  <c r="BF155" i="20"/>
  <c r="BV4" i="20"/>
  <c r="BG153" i="20"/>
  <c r="BW153" i="20" s="1"/>
  <c r="BZ153" i="20" s="1"/>
  <c r="BV153" i="20"/>
  <c r="BV111" i="20"/>
  <c r="BG111" i="20"/>
  <c r="BW111" i="20" s="1"/>
  <c r="BZ111" i="20" s="1"/>
  <c r="BY154" i="20"/>
  <c r="AA175" i="20"/>
  <c r="AQ175" i="20" s="1"/>
  <c r="BV206" i="20"/>
  <c r="BE206" i="20"/>
  <c r="BR41" i="20"/>
  <c r="BJ41" i="20"/>
  <c r="BQ41" i="20" s="1"/>
  <c r="BI83" i="20"/>
  <c r="BJ83" i="20" s="1"/>
  <c r="BQ83" i="20" s="1"/>
  <c r="BS83" i="20" s="1"/>
  <c r="BW83" i="20"/>
  <c r="BO104" i="20"/>
  <c r="BU104" i="20"/>
  <c r="BG103" i="20"/>
  <c r="BE103" i="20"/>
  <c r="AU103" i="20"/>
  <c r="BF103" i="20"/>
  <c r="BI103" i="20"/>
  <c r="BJ103" i="20" s="1"/>
  <c r="BQ103" i="20" s="1"/>
  <c r="BS103" i="20" s="1"/>
  <c r="BW103" i="20"/>
  <c r="BC99" i="20"/>
  <c r="BD99" i="20"/>
  <c r="BD97" i="20"/>
  <c r="BC97" i="20"/>
  <c r="BO97" i="20"/>
  <c r="BU97" i="20"/>
  <c r="BX97" i="20"/>
  <c r="CA97" i="20" s="1"/>
  <c r="BF94" i="20"/>
  <c r="BG94" i="20"/>
  <c r="BE94" i="20"/>
  <c r="BW94" i="20"/>
  <c r="AU94" i="20"/>
  <c r="BI94" i="20"/>
  <c r="BJ94" i="20" s="1"/>
  <c r="BQ94" i="20" s="1"/>
  <c r="BS94" i="20" s="1"/>
  <c r="BE92" i="20"/>
  <c r="BG92" i="20"/>
  <c r="AU92" i="20"/>
  <c r="BF92" i="20"/>
  <c r="BI92" i="20"/>
  <c r="BJ92" i="20" s="1"/>
  <c r="BQ92" i="20" s="1"/>
  <c r="BS92" i="20" s="1"/>
  <c r="BW92" i="20"/>
  <c r="BY79" i="20"/>
  <c r="BD78" i="20"/>
  <c r="BC78" i="20"/>
  <c r="BW77" i="20"/>
  <c r="BG77" i="20"/>
  <c r="AU77" i="20"/>
  <c r="BE77" i="20"/>
  <c r="BI77" i="20"/>
  <c r="BJ77" i="20" s="1"/>
  <c r="BQ77" i="20" s="1"/>
  <c r="BS77" i="20" s="1"/>
  <c r="BF77" i="20"/>
  <c r="BY66" i="20"/>
  <c r="BZ61" i="20"/>
  <c r="BX61" i="20"/>
  <c r="CA61" i="20" s="1"/>
  <c r="BG61" i="20"/>
  <c r="BF54" i="20"/>
  <c r="BE54" i="20"/>
  <c r="BO54" i="20" s="1"/>
  <c r="BF15" i="20"/>
  <c r="BE15" i="20"/>
  <c r="BW15" i="20"/>
  <c r="AU15" i="20"/>
  <c r="BG15" i="20"/>
  <c r="P15" i="21"/>
  <c r="BI15" i="20"/>
  <c r="BJ15" i="20" s="1"/>
  <c r="BQ15" i="20" s="1"/>
  <c r="BS15" i="20" s="1"/>
  <c r="BE14" i="20"/>
  <c r="BW14" i="20"/>
  <c r="BI14" i="20"/>
  <c r="BJ14" i="20" s="1"/>
  <c r="BQ14" i="20" s="1"/>
  <c r="BS14" i="20" s="1"/>
  <c r="BF14" i="20"/>
  <c r="X9" i="20"/>
  <c r="AA9" i="20"/>
  <c r="AQ9" i="20" s="1"/>
  <c r="BF62" i="20"/>
  <c r="BI62" i="20"/>
  <c r="BJ62" i="20" s="1"/>
  <c r="BQ62" i="20" s="1"/>
  <c r="BS62" i="20" s="1"/>
  <c r="BE62" i="20"/>
  <c r="BG62" i="20"/>
  <c r="AU62" i="20"/>
  <c r="BW62" i="20"/>
  <c r="BF56" i="20"/>
  <c r="BI56" i="20"/>
  <c r="BJ56" i="20" s="1"/>
  <c r="BQ56" i="20" s="1"/>
  <c r="BS56" i="20" s="1"/>
  <c r="AU56" i="20"/>
  <c r="BG56" i="20"/>
  <c r="BW56" i="20"/>
  <c r="BE56" i="20"/>
  <c r="BO53" i="20"/>
  <c r="BU53" i="20"/>
  <c r="BO44" i="20"/>
  <c r="BU44" i="20"/>
  <c r="BF18" i="20"/>
  <c r="BI18" i="20"/>
  <c r="BJ18" i="20" s="1"/>
  <c r="BQ18" i="20" s="1"/>
  <c r="BS18" i="20" s="1"/>
  <c r="BW18" i="20"/>
  <c r="AU18" i="20"/>
  <c r="BG18" i="20"/>
  <c r="BE18" i="20"/>
  <c r="AU16" i="20"/>
  <c r="BF16" i="20"/>
  <c r="BW16" i="20"/>
  <c r="BE16" i="20"/>
  <c r="BG16" i="20"/>
  <c r="BI16" i="20"/>
  <c r="BJ16" i="20" s="1"/>
  <c r="BQ16" i="20" s="1"/>
  <c r="BS16" i="20" s="1"/>
  <c r="BG10" i="20"/>
  <c r="BI10" i="20"/>
  <c r="BJ10" i="20" s="1"/>
  <c r="BQ10" i="20" s="1"/>
  <c r="BS10" i="20" s="1"/>
  <c r="BE10" i="20"/>
  <c r="AU10" i="20"/>
  <c r="BF10" i="20"/>
  <c r="BW10" i="20"/>
  <c r="BF7" i="20"/>
  <c r="AU7" i="20"/>
  <c r="BI7" i="20"/>
  <c r="BJ7" i="20" s="1"/>
  <c r="BQ7" i="20" s="1"/>
  <c r="BS7" i="20" s="1"/>
  <c r="BW7" i="20"/>
  <c r="BE7" i="20"/>
  <c r="BG7" i="20"/>
  <c r="BU6" i="20"/>
  <c r="BO6" i="20"/>
  <c r="BP43" i="22" l="1"/>
  <c r="BP44" i="22"/>
  <c r="BV44" i="22"/>
  <c r="BU44" i="22"/>
  <c r="BX44" i="22" s="1"/>
  <c r="BV43" i="22"/>
  <c r="BU43" i="22"/>
  <c r="BX43" i="22" s="1"/>
  <c r="BS13" i="20"/>
  <c r="BY13" i="20"/>
  <c r="BX13" i="20"/>
  <c r="CA13" i="20" s="1"/>
  <c r="BS101" i="20"/>
  <c r="X228" i="20"/>
  <c r="BM177" i="20"/>
  <c r="BF177" i="20" s="1"/>
  <c r="BR8" i="22"/>
  <c r="BR9" i="22"/>
  <c r="BY101" i="20"/>
  <c r="BX101" i="20"/>
  <c r="CA101" i="20" s="1"/>
  <c r="BP37" i="22"/>
  <c r="BU37" i="22"/>
  <c r="BX37" i="22" s="1"/>
  <c r="BV37" i="22"/>
  <c r="BP33" i="22"/>
  <c r="BP9" i="22"/>
  <c r="AZ11" i="22"/>
  <c r="BV33" i="22"/>
  <c r="BU33" i="22"/>
  <c r="BX33" i="22" s="1"/>
  <c r="X160" i="20"/>
  <c r="BM133" i="20"/>
  <c r="BF133" i="20" s="1"/>
  <c r="BS138" i="20"/>
  <c r="BY138" i="20"/>
  <c r="BX138" i="20"/>
  <c r="CA138" i="20" s="1"/>
  <c r="BP27" i="22"/>
  <c r="BU27" i="22"/>
  <c r="BX27" i="22" s="1"/>
  <c r="BV27" i="22"/>
  <c r="BU134" i="20"/>
  <c r="BO134" i="20"/>
  <c r="BY134" i="20"/>
  <c r="BX134" i="20"/>
  <c r="CA134" i="20" s="1"/>
  <c r="BS159" i="20"/>
  <c r="BO141" i="20"/>
  <c r="BU141" i="20"/>
  <c r="BY141" i="20" s="1"/>
  <c r="BX141" i="20"/>
  <c r="BS227" i="20"/>
  <c r="BF129" i="20"/>
  <c r="BE110" i="20"/>
  <c r="BU110" i="20" s="1"/>
  <c r="BG129" i="20"/>
  <c r="AU110" i="20"/>
  <c r="BC110" i="20" s="1"/>
  <c r="BY227" i="20"/>
  <c r="BX227" i="20"/>
  <c r="CA227" i="20" s="1"/>
  <c r="BF110" i="20"/>
  <c r="BX159" i="20"/>
  <c r="CA159" i="20" s="1"/>
  <c r="BY159" i="20"/>
  <c r="BD129" i="20"/>
  <c r="BW129" i="20"/>
  <c r="BZ129" i="20" s="1"/>
  <c r="BI129" i="20"/>
  <c r="BJ129" i="20" s="1"/>
  <c r="BQ129" i="20" s="1"/>
  <c r="BS129" i="20" s="1"/>
  <c r="BV24" i="22"/>
  <c r="BU24" i="22"/>
  <c r="BX24" i="22" s="1"/>
  <c r="BA8" i="22"/>
  <c r="BL25" i="22"/>
  <c r="BR25" i="22"/>
  <c r="BV25" i="22"/>
  <c r="BU25" i="22"/>
  <c r="BX25" i="22" s="1"/>
  <c r="BL24" i="22"/>
  <c r="BR24" i="22"/>
  <c r="BE129" i="20"/>
  <c r="BO129" i="20" s="1"/>
  <c r="X122" i="20"/>
  <c r="BL6" i="22"/>
  <c r="BU10" i="22"/>
  <c r="BX10" i="22" s="1"/>
  <c r="BO153" i="20"/>
  <c r="BU78" i="20"/>
  <c r="BL5" i="22"/>
  <c r="BS137" i="20"/>
  <c r="BX137" i="20"/>
  <c r="CA137" i="20" s="1"/>
  <c r="BY137" i="20"/>
  <c r="BC115" i="20"/>
  <c r="BU102" i="20"/>
  <c r="BZ42" i="20"/>
  <c r="BU190" i="20"/>
  <c r="BX189" i="20"/>
  <c r="CA189" i="20" s="1"/>
  <c r="BA9" i="22"/>
  <c r="BC179" i="20"/>
  <c r="BC198" i="20"/>
  <c r="BR7" i="22"/>
  <c r="BG11" i="22"/>
  <c r="BN11" i="22" s="1"/>
  <c r="BP11" i="22" s="1"/>
  <c r="BU181" i="20"/>
  <c r="BX135" i="20"/>
  <c r="CA135" i="20" s="1"/>
  <c r="BS23" i="20"/>
  <c r="BX104" i="20"/>
  <c r="CA104" i="20" s="1"/>
  <c r="BS45" i="20"/>
  <c r="BO100" i="20"/>
  <c r="BO111" i="20"/>
  <c r="BO114" i="20"/>
  <c r="BG171" i="20"/>
  <c r="BS116" i="20"/>
  <c r="BS100" i="20"/>
  <c r="BD114" i="20"/>
  <c r="BU31" i="20"/>
  <c r="BS153" i="20"/>
  <c r="BC79" i="20"/>
  <c r="BD171" i="20"/>
  <c r="BU88" i="20"/>
  <c r="BU166" i="20"/>
  <c r="BS51" i="20"/>
  <c r="BS204" i="20"/>
  <c r="BE171" i="20"/>
  <c r="BU171" i="20" s="1"/>
  <c r="BS19" i="20"/>
  <c r="BS102" i="20"/>
  <c r="BC111" i="20"/>
  <c r="BO41" i="20"/>
  <c r="BS115" i="20"/>
  <c r="BD41" i="20"/>
  <c r="BZ78" i="20"/>
  <c r="BU115" i="20"/>
  <c r="BC51" i="20"/>
  <c r="BS89" i="20"/>
  <c r="BU28" i="20"/>
  <c r="BX54" i="20"/>
  <c r="CA54" i="20" s="1"/>
  <c r="BC143" i="20"/>
  <c r="BO135" i="20"/>
  <c r="BZ194" i="20"/>
  <c r="BS181" i="20"/>
  <c r="BP6" i="22"/>
  <c r="BS147" i="20"/>
  <c r="BS81" i="20"/>
  <c r="BX180" i="20"/>
  <c r="CA180" i="20" s="1"/>
  <c r="BX99" i="20"/>
  <c r="CA99" i="20" s="1"/>
  <c r="BD57" i="20"/>
  <c r="BD120" i="20"/>
  <c r="BS4" i="20"/>
  <c r="BP18" i="22"/>
  <c r="CA39" i="20"/>
  <c r="BO57" i="20"/>
  <c r="BU29" i="20"/>
  <c r="BC33" i="20"/>
  <c r="BC203" i="20"/>
  <c r="BS28" i="20"/>
  <c r="BS58" i="20"/>
  <c r="BY135" i="20"/>
  <c r="BD156" i="20"/>
  <c r="BO156" i="20"/>
  <c r="BS156" i="20"/>
  <c r="BS11" i="20"/>
  <c r="BO71" i="20"/>
  <c r="BD36" i="20"/>
  <c r="BU207" i="20"/>
  <c r="BS31" i="20"/>
  <c r="BU147" i="20"/>
  <c r="BO204" i="20"/>
  <c r="BC181" i="20"/>
  <c r="BS22" i="20"/>
  <c r="BD44" i="20"/>
  <c r="BD176" i="20"/>
  <c r="BD5" i="20"/>
  <c r="BQ194" i="20"/>
  <c r="BS194" i="20" s="1"/>
  <c r="BI171" i="20"/>
  <c r="BJ171" i="20" s="1"/>
  <c r="BQ171" i="20" s="1"/>
  <c r="BS171" i="20" s="1"/>
  <c r="BF171" i="20"/>
  <c r="BD96" i="20"/>
  <c r="BC207" i="20"/>
  <c r="BX179" i="20"/>
  <c r="CA179" i="20" s="1"/>
  <c r="BU14" i="22"/>
  <c r="BX14" i="22" s="1"/>
  <c r="BW171" i="20"/>
  <c r="BC206" i="20"/>
  <c r="BD61" i="20"/>
  <c r="BX51" i="20"/>
  <c r="CA51" i="20" s="1"/>
  <c r="BX194" i="20"/>
  <c r="CA194" i="20" s="1"/>
  <c r="BC204" i="20"/>
  <c r="BD204" i="20"/>
  <c r="BY80" i="20"/>
  <c r="BX80" i="20"/>
  <c r="CA80" i="20" s="1"/>
  <c r="BA14" i="22"/>
  <c r="BL10" i="22"/>
  <c r="BD197" i="20"/>
  <c r="BU9" i="22"/>
  <c r="BX9" i="22" s="1"/>
  <c r="BD104" i="20"/>
  <c r="BU18" i="22"/>
  <c r="BX18" i="22" s="1"/>
  <c r="BV18" i="22"/>
  <c r="BS151" i="20"/>
  <c r="BL11" i="22"/>
  <c r="BU39" i="20"/>
  <c r="BS30" i="20"/>
  <c r="BC135" i="20"/>
  <c r="BP7" i="22"/>
  <c r="BY39" i="20"/>
  <c r="BU80" i="20"/>
  <c r="BO80" i="20"/>
  <c r="BO27" i="20"/>
  <c r="BZ39" i="20"/>
  <c r="BO98" i="20"/>
  <c r="BS146" i="20"/>
  <c r="BG197" i="20"/>
  <c r="BW197" i="20" s="1"/>
  <c r="BZ197" i="20" s="1"/>
  <c r="BU196" i="20"/>
  <c r="BO152" i="20"/>
  <c r="BD54" i="20"/>
  <c r="BU6" i="22"/>
  <c r="BX6" i="22" s="1"/>
  <c r="BX79" i="20"/>
  <c r="CA79" i="20" s="1"/>
  <c r="BS36" i="20"/>
  <c r="BX36" i="20"/>
  <c r="CA36" i="20" s="1"/>
  <c r="BD196" i="20"/>
  <c r="BJ197" i="20"/>
  <c r="BQ197" i="20" s="1"/>
  <c r="BS197" i="20" s="1"/>
  <c r="BD158" i="20"/>
  <c r="BX35" i="20"/>
  <c r="CA35" i="20" s="1"/>
  <c r="BX31" i="20"/>
  <c r="CA31" i="20" s="1"/>
  <c r="BU99" i="20"/>
  <c r="BU154" i="20"/>
  <c r="BO179" i="20"/>
  <c r="BZ140" i="20"/>
  <c r="BU203" i="20"/>
  <c r="BD40" i="20"/>
  <c r="BS206" i="20"/>
  <c r="BZ53" i="20"/>
  <c r="BX22" i="20"/>
  <c r="CA22" i="20" s="1"/>
  <c r="BU195" i="20"/>
  <c r="BS25" i="20"/>
  <c r="BS150" i="20"/>
  <c r="BO61" i="20"/>
  <c r="BD136" i="20"/>
  <c r="BS114" i="20"/>
  <c r="BX89" i="20"/>
  <c r="CA89" i="20" s="1"/>
  <c r="BO180" i="20"/>
  <c r="BC19" i="20"/>
  <c r="BO136" i="20"/>
  <c r="BU197" i="20"/>
  <c r="BC182" i="20"/>
  <c r="BX66" i="20"/>
  <c r="CA66" i="20" s="1"/>
  <c r="BD98" i="20"/>
  <c r="BX45" i="20"/>
  <c r="CA45" i="20" s="1"/>
  <c r="BS145" i="20"/>
  <c r="BX176" i="20"/>
  <c r="CA176" i="20" s="1"/>
  <c r="BP5" i="22"/>
  <c r="BS50" i="20"/>
  <c r="BD60" i="20"/>
  <c r="BS12" i="20"/>
  <c r="AZ10" i="22"/>
  <c r="BW11" i="22"/>
  <c r="BP8" i="22"/>
  <c r="BV17" i="22"/>
  <c r="BU17" i="22"/>
  <c r="BX17" i="22" s="1"/>
  <c r="BU54" i="20"/>
  <c r="BX154" i="20"/>
  <c r="CA154" i="20" s="1"/>
  <c r="BS182" i="20"/>
  <c r="BX50" i="20"/>
  <c r="CA50" i="20" s="1"/>
  <c r="BS166" i="20"/>
  <c r="BP17" i="22"/>
  <c r="BD53" i="20"/>
  <c r="BX198" i="20"/>
  <c r="CA198" i="20" s="1"/>
  <c r="BS121" i="20"/>
  <c r="BS43" i="20"/>
  <c r="BS70" i="20"/>
  <c r="BU112" i="20"/>
  <c r="BO83" i="20"/>
  <c r="BS5" i="20"/>
  <c r="BC195" i="20"/>
  <c r="BU11" i="22"/>
  <c r="BX11" i="22" s="1"/>
  <c r="BX181" i="20"/>
  <c r="CA181" i="20" s="1"/>
  <c r="BJ110" i="20"/>
  <c r="BQ110" i="20" s="1"/>
  <c r="BS110" i="20" s="1"/>
  <c r="BS29" i="20"/>
  <c r="BD200" i="20"/>
  <c r="BO143" i="20"/>
  <c r="BU35" i="20"/>
  <c r="BS55" i="20"/>
  <c r="BZ195" i="20"/>
  <c r="BO200" i="20"/>
  <c r="BC153" i="20"/>
  <c r="BS143" i="20"/>
  <c r="BZ60" i="20"/>
  <c r="BY110" i="20"/>
  <c r="BG110" i="20"/>
  <c r="BW110" i="20" s="1"/>
  <c r="BX110" i="20" s="1"/>
  <c r="CA110" i="20" s="1"/>
  <c r="BU128" i="20"/>
  <c r="BX196" i="20"/>
  <c r="CA196" i="20" s="1"/>
  <c r="BY36" i="20"/>
  <c r="BS90" i="20"/>
  <c r="BX44" i="20"/>
  <c r="CA44" i="20" s="1"/>
  <c r="BU60" i="20"/>
  <c r="BD83" i="20"/>
  <c r="BD27" i="20"/>
  <c r="BD140" i="20"/>
  <c r="BC91" i="20"/>
  <c r="BX12" i="20"/>
  <c r="CA12" i="20" s="1"/>
  <c r="BO45" i="20"/>
  <c r="BS88" i="20"/>
  <c r="BY50" i="20"/>
  <c r="BD45" i="20"/>
  <c r="BD82" i="20"/>
  <c r="BU51" i="20"/>
  <c r="BS35" i="20"/>
  <c r="BD112" i="20"/>
  <c r="BC112" i="20"/>
  <c r="BD35" i="20"/>
  <c r="BD150" i="20"/>
  <c r="BX98" i="20"/>
  <c r="CA98" i="20" s="1"/>
  <c r="X72" i="20"/>
  <c r="BJ27" i="20"/>
  <c r="BQ27" i="20" s="1"/>
  <c r="BS27" i="20" s="1"/>
  <c r="BS71" i="20"/>
  <c r="BC100" i="20"/>
  <c r="BS111" i="20"/>
  <c r="BU82" i="20"/>
  <c r="BJ152" i="20"/>
  <c r="BQ152" i="20" s="1"/>
  <c r="BS152" i="20" s="1"/>
  <c r="BX143" i="20"/>
  <c r="CA143" i="20" s="1"/>
  <c r="O15" i="21"/>
  <c r="BS157" i="20"/>
  <c r="BX100" i="20"/>
  <c r="CA100" i="20" s="1"/>
  <c r="BS190" i="20"/>
  <c r="BP16" i="22"/>
  <c r="BV33" i="20"/>
  <c r="BY33" i="20" s="1"/>
  <c r="BG33" i="20"/>
  <c r="BW33" i="20" s="1"/>
  <c r="BD205" i="20"/>
  <c r="BC205" i="20"/>
  <c r="BS148" i="20"/>
  <c r="BD70" i="20"/>
  <c r="BC70" i="20"/>
  <c r="BU42" i="20"/>
  <c r="BS40" i="20"/>
  <c r="BD93" i="20"/>
  <c r="BO142" i="20"/>
  <c r="BY70" i="20"/>
  <c r="BX70" i="20"/>
  <c r="CA70" i="20" s="1"/>
  <c r="BX93" i="20"/>
  <c r="CA93" i="20" s="1"/>
  <c r="BO93" i="20"/>
  <c r="BC12" i="20"/>
  <c r="BV16" i="22"/>
  <c r="BU16" i="22"/>
  <c r="BX16" i="22" s="1"/>
  <c r="BY112" i="20"/>
  <c r="BX112" i="20"/>
  <c r="CA112" i="20" s="1"/>
  <c r="BO70" i="20"/>
  <c r="BU70" i="20"/>
  <c r="BJ33" i="20"/>
  <c r="BQ33" i="20" s="1"/>
  <c r="BS33" i="20" s="1"/>
  <c r="BD31" i="20"/>
  <c r="BZ31" i="20"/>
  <c r="BU189" i="20"/>
  <c r="BD85" i="20"/>
  <c r="BX96" i="20"/>
  <c r="CA96" i="20" s="1"/>
  <c r="BU7" i="22"/>
  <c r="BX7" i="22" s="1"/>
  <c r="BV7" i="22"/>
  <c r="BW13" i="22"/>
  <c r="BU13" i="22"/>
  <c r="BX13" i="22" s="1"/>
  <c r="BZ205" i="20"/>
  <c r="BX205" i="20"/>
  <c r="CA205" i="20" s="1"/>
  <c r="BY147" i="20"/>
  <c r="BX147" i="20"/>
  <c r="CA147" i="20" s="1"/>
  <c r="BV152" i="20"/>
  <c r="BG152" i="20"/>
  <c r="BW152" i="20" s="1"/>
  <c r="BZ152" i="20" s="1"/>
  <c r="BU8" i="22"/>
  <c r="BX8" i="22" s="1"/>
  <c r="BV8" i="22"/>
  <c r="BC14" i="20"/>
  <c r="BD66" i="20"/>
  <c r="BS189" i="20"/>
  <c r="BD25" i="20"/>
  <c r="BC25" i="20"/>
  <c r="BX128" i="20"/>
  <c r="CA128" i="20" s="1"/>
  <c r="BX11" i="20"/>
  <c r="CA11" i="20" s="1"/>
  <c r="BA13" i="22"/>
  <c r="AZ13" i="22"/>
  <c r="BC42" i="20"/>
  <c r="BX200" i="20"/>
  <c r="CA200" i="20" s="1"/>
  <c r="BO4" i="20"/>
  <c r="BX156" i="20"/>
  <c r="CA156" i="20" s="1"/>
  <c r="X167" i="20"/>
  <c r="AA167" i="20"/>
  <c r="AQ167" i="20" s="1"/>
  <c r="BO33" i="20"/>
  <c r="BU33" i="20"/>
  <c r="BX121" i="20"/>
  <c r="CA121" i="20" s="1"/>
  <c r="BO146" i="20"/>
  <c r="BU146" i="20"/>
  <c r="BU25" i="20"/>
  <c r="BO25" i="20"/>
  <c r="BC4" i="20"/>
  <c r="BD4" i="20"/>
  <c r="BG27" i="20"/>
  <c r="BW27" i="20" s="1"/>
  <c r="BZ27" i="20" s="1"/>
  <c r="BV27" i="20"/>
  <c r="BC146" i="20"/>
  <c r="BD146" i="20"/>
  <c r="BO205" i="20"/>
  <c r="BU205" i="20"/>
  <c r="BY190" i="20"/>
  <c r="BX190" i="20"/>
  <c r="CA190" i="20" s="1"/>
  <c r="BL13" i="22"/>
  <c r="BR13" i="22"/>
  <c r="BU12" i="22"/>
  <c r="BX12" i="22" s="1"/>
  <c r="BO66" i="20"/>
  <c r="BU66" i="20"/>
  <c r="BS109" i="20"/>
  <c r="BR12" i="22"/>
  <c r="BL12" i="22"/>
  <c r="BC154" i="20"/>
  <c r="BD154" i="20"/>
  <c r="BP4" i="22"/>
  <c r="BO194" i="20"/>
  <c r="BX25" i="20"/>
  <c r="CA25" i="20" s="1"/>
  <c r="BF59" i="20"/>
  <c r="BI59" i="20"/>
  <c r="BJ59" i="20" s="1"/>
  <c r="BQ59" i="20" s="1"/>
  <c r="BS59" i="20" s="1"/>
  <c r="AU59" i="20"/>
  <c r="BG59" i="20"/>
  <c r="BW59" i="20" s="1"/>
  <c r="BZ59" i="20" s="1"/>
  <c r="AZ5" i="22"/>
  <c r="BA5" i="22"/>
  <c r="BU202" i="20"/>
  <c r="BO202" i="20"/>
  <c r="BC202" i="20"/>
  <c r="BD202" i="20"/>
  <c r="BZ202" i="20"/>
  <c r="BX202" i="20"/>
  <c r="CA202" i="20" s="1"/>
  <c r="BC142" i="20"/>
  <c r="BX142" i="20"/>
  <c r="CA142" i="20" s="1"/>
  <c r="BO140" i="20"/>
  <c r="BU140" i="20"/>
  <c r="BY166" i="20"/>
  <c r="BX166" i="20"/>
  <c r="CA166" i="20" s="1"/>
  <c r="BC89" i="20"/>
  <c r="BD89" i="20"/>
  <c r="BX193" i="20"/>
  <c r="CA193" i="20" s="1"/>
  <c r="BZ193" i="20"/>
  <c r="BO19" i="20"/>
  <c r="BU19" i="20"/>
  <c r="BC109" i="20"/>
  <c r="BD109" i="20"/>
  <c r="BU40" i="20"/>
  <c r="BO40" i="20"/>
  <c r="BY41" i="20"/>
  <c r="BX41" i="20"/>
  <c r="CA41" i="20" s="1"/>
  <c r="BY81" i="20"/>
  <c r="BX81" i="20"/>
  <c r="CA81" i="20" s="1"/>
  <c r="BO85" i="20"/>
  <c r="BU85" i="20"/>
  <c r="BY4" i="20"/>
  <c r="BX4" i="20"/>
  <c r="CA4" i="20" s="1"/>
  <c r="BX30" i="20"/>
  <c r="CA30" i="20" s="1"/>
  <c r="AU133" i="20"/>
  <c r="BI133" i="20"/>
  <c r="BJ133" i="20" s="1"/>
  <c r="BQ133" i="20" s="1"/>
  <c r="BS133" i="20" s="1"/>
  <c r="BW133" i="20"/>
  <c r="BE133" i="20"/>
  <c r="BG133" i="20"/>
  <c r="BU59" i="20"/>
  <c r="BO59" i="20"/>
  <c r="BX182" i="20"/>
  <c r="CA182" i="20" s="1"/>
  <c r="BY182" i="20"/>
  <c r="BX55" i="20"/>
  <c r="CA55" i="20" s="1"/>
  <c r="BO30" i="20"/>
  <c r="BU30" i="20"/>
  <c r="BY28" i="20"/>
  <c r="BX28" i="20"/>
  <c r="CA28" i="20" s="1"/>
  <c r="BC29" i="20"/>
  <c r="BD29" i="20"/>
  <c r="BU120" i="20"/>
  <c r="BO120" i="20"/>
  <c r="BX43" i="20"/>
  <c r="CA43" i="20" s="1"/>
  <c r="BZ43" i="20"/>
  <c r="BG136" i="20"/>
  <c r="BW136" i="20" s="1"/>
  <c r="BZ136" i="20" s="1"/>
  <c r="BV136" i="20"/>
  <c r="BC71" i="20"/>
  <c r="BD71" i="20"/>
  <c r="BO191" i="20"/>
  <c r="BU191" i="20"/>
  <c r="BD30" i="20"/>
  <c r="BC30" i="20"/>
  <c r="BY206" i="20"/>
  <c r="BX206" i="20"/>
  <c r="CA206" i="20" s="1"/>
  <c r="BV5" i="22"/>
  <c r="BU5" i="22"/>
  <c r="BX5" i="22" s="1"/>
  <c r="BX204" i="20"/>
  <c r="CA204" i="20" s="1"/>
  <c r="BY204" i="20"/>
  <c r="BY197" i="20"/>
  <c r="BU55" i="20"/>
  <c r="BO55" i="20"/>
  <c r="BR136" i="20"/>
  <c r="BJ136" i="20"/>
  <c r="BQ136" i="20" s="1"/>
  <c r="BX191" i="20"/>
  <c r="CA191" i="20" s="1"/>
  <c r="BO90" i="20"/>
  <c r="BU90" i="20"/>
  <c r="BS135" i="20"/>
  <c r="BU86" i="20"/>
  <c r="BO86" i="20"/>
  <c r="BY59" i="20"/>
  <c r="BX116" i="20"/>
  <c r="CA116" i="20" s="1"/>
  <c r="BO150" i="20"/>
  <c r="BU150" i="20"/>
  <c r="BD193" i="20"/>
  <c r="BC193" i="20"/>
  <c r="BO91" i="20"/>
  <c r="BU91" i="20"/>
  <c r="BC88" i="20"/>
  <c r="BD88" i="20"/>
  <c r="BO5" i="20"/>
  <c r="BU5" i="20"/>
  <c r="BC170" i="20"/>
  <c r="BD170" i="20"/>
  <c r="AU177" i="20"/>
  <c r="BI177" i="20"/>
  <c r="BJ177" i="20" s="1"/>
  <c r="BQ177" i="20" s="1"/>
  <c r="BS177" i="20" s="1"/>
  <c r="BW177" i="20"/>
  <c r="BG177" i="20"/>
  <c r="BE177" i="20"/>
  <c r="BG91" i="20"/>
  <c r="BW91" i="20" s="1"/>
  <c r="BZ91" i="20" s="1"/>
  <c r="BV91" i="20"/>
  <c r="BG120" i="20"/>
  <c r="BW120" i="20" s="1"/>
  <c r="BZ120" i="20" s="1"/>
  <c r="BV120" i="20"/>
  <c r="BU22" i="20"/>
  <c r="BO22" i="20"/>
  <c r="BU121" i="20"/>
  <c r="BO121" i="20"/>
  <c r="BC11" i="20"/>
  <c r="BD11" i="20"/>
  <c r="BZ170" i="20"/>
  <c r="BX170" i="20"/>
  <c r="CA170" i="20" s="1"/>
  <c r="BZ155" i="20"/>
  <c r="BX155" i="20"/>
  <c r="CA155" i="20" s="1"/>
  <c r="BY88" i="20"/>
  <c r="BX88" i="20"/>
  <c r="CA88" i="20" s="1"/>
  <c r="BY150" i="20"/>
  <c r="BX150" i="20"/>
  <c r="CA150" i="20" s="1"/>
  <c r="BX192" i="20"/>
  <c r="CA192" i="20" s="1"/>
  <c r="BZ192" i="20"/>
  <c r="BU4" i="22"/>
  <c r="BX4" i="22" s="1"/>
  <c r="BV4" i="22"/>
  <c r="BU170" i="20"/>
  <c r="BO170" i="20"/>
  <c r="BY203" i="20"/>
  <c r="BX203" i="20"/>
  <c r="CA203" i="20" s="1"/>
  <c r="BR91" i="20"/>
  <c r="BJ91" i="20"/>
  <c r="BQ91" i="20" s="1"/>
  <c r="BY157" i="20"/>
  <c r="BX157" i="20"/>
  <c r="CA157" i="20" s="1"/>
  <c r="BO148" i="20"/>
  <c r="BU148" i="20"/>
  <c r="BY146" i="20"/>
  <c r="BX146" i="20"/>
  <c r="CA146" i="20" s="1"/>
  <c r="BO43" i="20"/>
  <c r="BU43" i="20"/>
  <c r="BY111" i="20"/>
  <c r="BX111" i="20"/>
  <c r="CA111" i="20" s="1"/>
  <c r="BD90" i="20"/>
  <c r="BC90" i="20"/>
  <c r="BU182" i="20"/>
  <c r="BO182" i="20"/>
  <c r="BU36" i="20"/>
  <c r="BO36" i="20"/>
  <c r="BZ85" i="20"/>
  <c r="BX85" i="20"/>
  <c r="CA85" i="20" s="1"/>
  <c r="BC50" i="20"/>
  <c r="BD50" i="20"/>
  <c r="BU178" i="20"/>
  <c r="BO178" i="20"/>
  <c r="BY145" i="20"/>
  <c r="BX145" i="20"/>
  <c r="CA145" i="20" s="1"/>
  <c r="BO157" i="20"/>
  <c r="BU157" i="20"/>
  <c r="BX151" i="20"/>
  <c r="CA151" i="20" s="1"/>
  <c r="BY151" i="20"/>
  <c r="BO96" i="20"/>
  <c r="AU175" i="20"/>
  <c r="BI175" i="20"/>
  <c r="BJ175" i="20" s="1"/>
  <c r="BQ175" i="20" s="1"/>
  <c r="BS175" i="20" s="1"/>
  <c r="BG175" i="20"/>
  <c r="BW175" i="20"/>
  <c r="BF175" i="20"/>
  <c r="BE175" i="20"/>
  <c r="BU155" i="20"/>
  <c r="BO155" i="20"/>
  <c r="BU87" i="20"/>
  <c r="BO87" i="20"/>
  <c r="BU145" i="20"/>
  <c r="BO145" i="20"/>
  <c r="BC157" i="20"/>
  <c r="BD157" i="20"/>
  <c r="BU23" i="20"/>
  <c r="BO23" i="20"/>
  <c r="BC55" i="20"/>
  <c r="BD55" i="20"/>
  <c r="BC191" i="20"/>
  <c r="BD191" i="20"/>
  <c r="BU89" i="20"/>
  <c r="BO89" i="20"/>
  <c r="BZ86" i="20"/>
  <c r="BX86" i="20"/>
  <c r="CA86" i="20" s="1"/>
  <c r="BL4" i="22"/>
  <c r="BR4" i="22"/>
  <c r="BX71" i="20"/>
  <c r="CA71" i="20" s="1"/>
  <c r="BY71" i="20"/>
  <c r="BJ120" i="20"/>
  <c r="BQ120" i="20" s="1"/>
  <c r="BR120" i="20"/>
  <c r="BO109" i="20"/>
  <c r="BU109" i="20"/>
  <c r="BZ148" i="20"/>
  <c r="BX148" i="20"/>
  <c r="CA148" i="20" s="1"/>
  <c r="BZ178" i="20"/>
  <c r="BX178" i="20"/>
  <c r="CA178" i="20" s="1"/>
  <c r="BU11" i="20"/>
  <c r="BO11" i="20"/>
  <c r="BY102" i="20"/>
  <c r="BX102" i="20"/>
  <c r="CA102" i="20" s="1"/>
  <c r="BE172" i="20"/>
  <c r="BW172" i="20"/>
  <c r="BI172" i="20"/>
  <c r="BJ172" i="20" s="1"/>
  <c r="BQ172" i="20" s="1"/>
  <c r="BS172" i="20" s="1"/>
  <c r="BG172" i="20"/>
  <c r="AU172" i="20"/>
  <c r="BF172" i="20"/>
  <c r="BD178" i="20"/>
  <c r="BC178" i="20"/>
  <c r="BY153" i="20"/>
  <c r="BX153" i="20"/>
  <c r="CA153" i="20" s="1"/>
  <c r="BO192" i="20"/>
  <c r="BU192" i="20"/>
  <c r="BU50" i="20"/>
  <c r="BO50" i="20"/>
  <c r="BS41" i="20"/>
  <c r="BY115" i="20"/>
  <c r="BX115" i="20"/>
  <c r="CA115" i="20" s="1"/>
  <c r="BC87" i="20"/>
  <c r="BD87" i="20"/>
  <c r="BD86" i="20"/>
  <c r="BC86" i="20"/>
  <c r="BY40" i="20"/>
  <c r="BX40" i="20"/>
  <c r="CA40" i="20" s="1"/>
  <c r="BS112" i="20"/>
  <c r="BO193" i="20"/>
  <c r="BU193" i="20"/>
  <c r="BZ57" i="20"/>
  <c r="BX57" i="20"/>
  <c r="CA57" i="20" s="1"/>
  <c r="BC22" i="20"/>
  <c r="BD22" i="20"/>
  <c r="BZ109" i="20"/>
  <c r="BX109" i="20"/>
  <c r="CA109" i="20" s="1"/>
  <c r="BC121" i="20"/>
  <c r="BD121" i="20"/>
  <c r="BD148" i="20"/>
  <c r="BC148" i="20"/>
  <c r="BX90" i="20"/>
  <c r="CA90" i="20" s="1"/>
  <c r="BD43" i="20"/>
  <c r="BC43" i="20"/>
  <c r="BD192" i="20"/>
  <c r="BC192" i="20"/>
  <c r="BY58" i="20"/>
  <c r="BX58" i="20"/>
  <c r="CA58" i="20" s="1"/>
  <c r="BY29" i="20"/>
  <c r="BX29" i="20"/>
  <c r="CA29" i="20" s="1"/>
  <c r="BX5" i="20"/>
  <c r="CA5" i="20" s="1"/>
  <c r="BY5" i="20"/>
  <c r="BO206" i="20"/>
  <c r="BU206" i="20"/>
  <c r="BD155" i="20"/>
  <c r="BC155" i="20"/>
  <c r="BY167" i="20"/>
  <c r="BX23" i="20"/>
  <c r="CA23" i="20" s="1"/>
  <c r="BX19" i="20"/>
  <c r="CA19" i="20" s="1"/>
  <c r="BU12" i="20"/>
  <c r="BO12" i="20"/>
  <c r="BY114" i="20"/>
  <c r="BX114" i="20"/>
  <c r="CA114" i="20" s="1"/>
  <c r="BY158" i="20"/>
  <c r="BX158" i="20"/>
  <c r="CA158" i="20" s="1"/>
  <c r="BF95" i="20"/>
  <c r="BG95" i="20"/>
  <c r="BI95" i="20"/>
  <c r="BJ95" i="20" s="1"/>
  <c r="BQ95" i="20" s="1"/>
  <c r="BS95" i="20" s="1"/>
  <c r="BE95" i="20"/>
  <c r="BW95" i="20"/>
  <c r="AU95" i="20"/>
  <c r="AU122" i="20" s="1"/>
  <c r="BX87" i="20"/>
  <c r="CA87" i="20" s="1"/>
  <c r="BZ83" i="20"/>
  <c r="BX83" i="20"/>
  <c r="CA83" i="20" s="1"/>
  <c r="BZ103" i="20"/>
  <c r="BX103" i="20"/>
  <c r="CA103" i="20" s="1"/>
  <c r="BD103" i="20"/>
  <c r="BC103" i="20"/>
  <c r="BO103" i="20"/>
  <c r="BU103" i="20"/>
  <c r="BO94" i="20"/>
  <c r="BU94" i="20"/>
  <c r="BZ94" i="20"/>
  <c r="BX94" i="20"/>
  <c r="CA94" i="20" s="1"/>
  <c r="BC94" i="20"/>
  <c r="BD94" i="20"/>
  <c r="BZ92" i="20"/>
  <c r="BX92" i="20"/>
  <c r="CA92" i="20" s="1"/>
  <c r="BD92" i="20"/>
  <c r="BC92" i="20"/>
  <c r="BO92" i="20"/>
  <c r="BU92" i="20"/>
  <c r="BO77" i="20"/>
  <c r="BU77" i="20"/>
  <c r="BD77" i="20"/>
  <c r="BC77" i="20"/>
  <c r="BZ77" i="20"/>
  <c r="BX77" i="20"/>
  <c r="CA77" i="20" s="1"/>
  <c r="BD15" i="20"/>
  <c r="BC15" i="20"/>
  <c r="BZ15" i="20"/>
  <c r="BX15" i="20"/>
  <c r="CA15" i="20" s="1"/>
  <c r="BU15" i="20"/>
  <c r="BO15" i="20"/>
  <c r="BZ14" i="20"/>
  <c r="BX14" i="20"/>
  <c r="CA14" i="20" s="1"/>
  <c r="BU14" i="20"/>
  <c r="BO14" i="20"/>
  <c r="BI9" i="20"/>
  <c r="BJ9" i="20" s="1"/>
  <c r="BQ9" i="20" s="1"/>
  <c r="BS9" i="20" s="1"/>
  <c r="BF9" i="20"/>
  <c r="BG9" i="20"/>
  <c r="AU9" i="20"/>
  <c r="BW9" i="20"/>
  <c r="BE9" i="20"/>
  <c r="BC62" i="20"/>
  <c r="BD62" i="20"/>
  <c r="BO62" i="20"/>
  <c r="BU62" i="20"/>
  <c r="BZ62" i="20"/>
  <c r="BX62" i="20"/>
  <c r="CA62" i="20" s="1"/>
  <c r="BO56" i="20"/>
  <c r="BU56" i="20"/>
  <c r="BX56" i="20"/>
  <c r="CA56" i="20" s="1"/>
  <c r="BZ56" i="20"/>
  <c r="BD56" i="20"/>
  <c r="BC56" i="20"/>
  <c r="BZ18" i="20"/>
  <c r="BX18" i="20"/>
  <c r="CA18" i="20" s="1"/>
  <c r="BU18" i="20"/>
  <c r="BO18" i="20"/>
  <c r="BD18" i="20"/>
  <c r="BC18" i="20"/>
  <c r="BZ16" i="20"/>
  <c r="BX16" i="20"/>
  <c r="CA16" i="20" s="1"/>
  <c r="BO16" i="20"/>
  <c r="BU16" i="20"/>
  <c r="BC16" i="20"/>
  <c r="BD16" i="20"/>
  <c r="BC10" i="20"/>
  <c r="BD10" i="20"/>
  <c r="BO10" i="20"/>
  <c r="BU10" i="20"/>
  <c r="BZ10" i="20"/>
  <c r="BX10" i="20"/>
  <c r="CA10" i="20" s="1"/>
  <c r="BD7" i="20"/>
  <c r="BC7" i="20"/>
  <c r="BO7" i="20"/>
  <c r="BU7" i="20"/>
  <c r="BZ7" i="20"/>
  <c r="BX7" i="20"/>
  <c r="CA7" i="20" s="1"/>
  <c r="BZ141" i="20" l="1"/>
  <c r="BD110" i="20"/>
  <c r="BX129" i="20"/>
  <c r="CA129" i="20" s="1"/>
  <c r="CA141" i="20"/>
  <c r="BO110" i="20"/>
  <c r="BU129" i="20"/>
  <c r="BO171" i="20"/>
  <c r="BZ110" i="20"/>
  <c r="BX197" i="20"/>
  <c r="CA197" i="20" s="1"/>
  <c r="BZ171" i="20"/>
  <c r="BX171" i="20"/>
  <c r="CA171" i="20" s="1"/>
  <c r="BX33" i="20"/>
  <c r="CA33" i="20" s="1"/>
  <c r="BX59" i="20"/>
  <c r="CA59" i="20" s="1"/>
  <c r="BS120" i="20"/>
  <c r="BW167" i="20"/>
  <c r="BG167" i="20"/>
  <c r="BI167" i="20"/>
  <c r="BJ167" i="20" s="1"/>
  <c r="BQ167" i="20" s="1"/>
  <c r="BS167" i="20" s="1"/>
  <c r="AU167" i="20"/>
  <c r="BE167" i="20"/>
  <c r="BY152" i="20"/>
  <c r="BX152" i="20"/>
  <c r="CA152" i="20" s="1"/>
  <c r="X168" i="20"/>
  <c r="BM167" i="20"/>
  <c r="BF167" i="20" s="1"/>
  <c r="BD59" i="20"/>
  <c r="BC59" i="20"/>
  <c r="BX27" i="20"/>
  <c r="CA27" i="20" s="1"/>
  <c r="BY27" i="20"/>
  <c r="BS91" i="20"/>
  <c r="BZ33" i="20"/>
  <c r="AU228" i="20"/>
  <c r="BD175" i="20"/>
  <c r="BC175" i="20"/>
  <c r="BO133" i="20"/>
  <c r="BU133" i="20"/>
  <c r="BC177" i="20"/>
  <c r="BD177" i="20"/>
  <c r="BU175" i="20"/>
  <c r="BO175" i="20"/>
  <c r="BD95" i="20"/>
  <c r="BC95" i="20"/>
  <c r="BU177" i="20"/>
  <c r="BO177" i="20"/>
  <c r="BX133" i="20"/>
  <c r="CA133" i="20" s="1"/>
  <c r="BZ133" i="20"/>
  <c r="BD172" i="20"/>
  <c r="BC172" i="20"/>
  <c r="AU173" i="20"/>
  <c r="BX120" i="20"/>
  <c r="CA120" i="20" s="1"/>
  <c r="BY120" i="20"/>
  <c r="BX172" i="20"/>
  <c r="CA172" i="20" s="1"/>
  <c r="BZ172" i="20"/>
  <c r="BZ95" i="20"/>
  <c r="BX95" i="20"/>
  <c r="CA95" i="20" s="1"/>
  <c r="BZ175" i="20"/>
  <c r="BX175" i="20"/>
  <c r="CA175" i="20" s="1"/>
  <c r="BX136" i="20"/>
  <c r="CA136" i="20" s="1"/>
  <c r="BY136" i="20"/>
  <c r="BX91" i="20"/>
  <c r="CA91" i="20" s="1"/>
  <c r="BY91" i="20"/>
  <c r="BU172" i="20"/>
  <c r="BO172" i="20"/>
  <c r="BO95" i="20"/>
  <c r="BU95" i="20"/>
  <c r="BD133" i="20"/>
  <c r="BC133" i="20"/>
  <c r="AU160" i="20"/>
  <c r="BZ177" i="20"/>
  <c r="BX177" i="20"/>
  <c r="CA177" i="20" s="1"/>
  <c r="BS136" i="20"/>
  <c r="BZ9" i="20"/>
  <c r="BX9" i="20"/>
  <c r="CA9" i="20" s="1"/>
  <c r="BD9" i="20"/>
  <c r="BC9" i="20"/>
  <c r="AU72" i="20"/>
  <c r="BO9" i="20"/>
  <c r="BU9" i="20"/>
  <c r="BO167" i="20" l="1"/>
  <c r="BU167" i="20"/>
  <c r="BC167" i="20"/>
  <c r="AU168" i="20"/>
  <c r="BD167" i="20"/>
  <c r="BZ167" i="20"/>
  <c r="BX167" i="20"/>
  <c r="CA16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</authors>
  <commentList>
    <comment ref="H3" authorId="0" shapeId="0" xr:uid="{3394D344-6EDB-4FA5-A10B-262EC5C15E9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O3" authorId="0" shapeId="0" xr:uid="{98942988-6416-4623-9039-E8A1A958F1E4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Z3" authorId="0" shapeId="0" xr:uid="{45F986B6-4EA0-476F-9B07-769257C8C636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N4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RFP is for 6 Years</t>
        </r>
      </text>
    </comment>
    <comment ref="AQ4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Internet link</t>
        </r>
      </text>
    </comment>
    <comment ref="Q5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KVA + 2 KVA</t>
        </r>
      </text>
    </comment>
    <comment ref="AQ5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Additional 2 KVA + 2 Nos of Safe vault + 9 Nos of ECC</t>
        </r>
      </text>
    </comment>
    <comment ref="AQ10" authorId="1" shapeId="0" xr:uid="{29BB205D-2492-435D-A630-21CBDDE5A4D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FCC</t>
        </r>
      </text>
    </comment>
    <comment ref="Q11" authorId="3" shapeId="0" xr:uid="{E09CB93A-5C94-4499-B1E8-9594B4D84811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500 W</t>
        </r>
      </text>
    </comment>
    <comment ref="I17" authorId="1" shapeId="0" xr:uid="{00000000-0006-0000-0000-00000C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 1 for 5 Racks
</t>
        </r>
        <r>
          <rPr>
            <sz val="9"/>
            <color rgb="FF000000"/>
            <rFont val="Tahoma"/>
            <family val="2"/>
          </rPr>
          <t>PO 2 for 1 Rack</t>
        </r>
      </text>
    </comment>
    <comment ref="Q17" authorId="3" shapeId="0" xr:uid="{4415B0D4-426C-4084-8B23-C35AA01A8C1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Rack with 36 KVA
+ Addi 48.65</t>
        </r>
      </text>
    </comment>
    <comment ref="Q18" authorId="1" shapeId="0" xr:uid="{F9949873-5421-449D-9848-AA333343D8E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AQ24" authorId="1" shapeId="0" xr:uid="{C9A975EC-A973-4D8A-B6FF-C7E3604217D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I25" authorId="1" shapeId="0" xr:uid="{C8B59540-92D1-4C36-A7A3-A7E5EC66A9A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N25" authorId="1" shapeId="0" xr:uid="{296E33C6-18EB-492D-83B3-9CD5DB6FFEB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Q25" authorId="1" shapeId="0" xr:uid="{E8C168D0-D7A6-4FC7-9CDA-A422CB71E03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Q29" authorId="1" shapeId="0" xr:uid="{1B6DFE66-5D3E-4C3D-8DFA-CE09972F258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Q30" authorId="1" shapeId="0" xr:uid="{4CF0B03F-73E0-4314-8CA5-CA0562E67A1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for ISP &amp; Google - 2 Nos</t>
        </r>
      </text>
    </comment>
    <comment ref="AQ35" authorId="3" shapeId="0" xr:uid="{2452B733-3444-4E74-AD40-B1CA78409C7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FCC + SH + 100 ILL</t>
        </r>
      </text>
    </comment>
    <comment ref="AQ3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Q38" authorId="1" shapeId="0" xr:uid="{BBBE454E-7979-417E-A9FF-874C30764822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Q39" authorId="2" shapeId="0" xr:uid="{F5CED8D3-299E-4695-903A-481CB26B813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Q40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KW per Rack</t>
        </r>
      </text>
    </comment>
    <comment ref="I43" authorId="1" shapeId="0" xr:uid="{AF238AC7-D6FC-4436-BE07-B89A0C71F8BF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N43" authorId="1" shapeId="0" xr:uid="{D54DEE17-2424-4A92-9146-FF1E0B3ED29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Q43" authorId="1" shapeId="0" xr:uid="{18E627CD-13F6-4F14-BA20-818B3E6AFE6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Q43" authorId="1" shapeId="0" xr:uid="{A36FBB36-2A7A-4B94-BB1A-A2A02B899C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Q44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AQ46" authorId="1" shapeId="0" xr:uid="{B80952A2-40A3-4FF7-8E1C-9427A3BCF86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  <author>Sajini John Mathews</author>
  </authors>
  <commentList>
    <comment ref="K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R3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C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T4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KVA + 5.93 KVA</t>
        </r>
      </text>
    </comment>
    <comment ref="AT4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T6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10000 for RHS + 15000 for Fiber cross connect</t>
        </r>
      </text>
    </comment>
    <comment ref="AT7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T9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additional power</t>
        </r>
      </text>
    </comment>
    <comment ref="L10" authorId="1" shapeId="0" xr:uid="{00000000-0006-0000-0000-000015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Each Rack with 3 KVA Rated power</t>
        </r>
      </text>
    </comment>
    <comment ref="AT10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11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Racks space reserved + CCTV AMC + 6 cross connect</t>
        </r>
      </text>
    </comment>
    <comment ref="L12" authorId="1" shapeId="0" xr:uid="{00000000-0006-0000-0000-000019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Q12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T12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KVA +3KVA +3 KVA ADDITIONAL
</t>
        </r>
      </text>
    </comment>
    <comment ref="AT12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L13" authorId="1" shapeId="0" xr:uid="{6EA51F76-DC1E-4955-BEFA-0F02A2E434F7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Q13" authorId="1" shapeId="0" xr:uid="{EEC89DBD-4150-4271-8A42-5AB6765F767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T13" authorId="1" shapeId="0" xr:uid="{2512B411-6EA8-43C6-A405-0767E35FD82D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T13" authorId="1" shapeId="0" xr:uid="{81B610CF-3558-4BDF-B027-8205DAC4B9D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T14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Etherent Cross connect + Tape rotation</t>
        </r>
      </text>
    </comment>
    <comment ref="L15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14 racks as per Renewal PO
+ 5 Racks additional PO
+ 1 Rack additional PO</t>
        </r>
      </text>
    </comment>
    <comment ref="T15" authorId="3" shapeId="0" xr:uid="{BBA18C2F-F029-4542-B465-8235179E0076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 Kw for 19 Racks
+ 6 Kw for 20th Rack</t>
        </r>
      </text>
    </comment>
    <comment ref="AT15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Ethernet Cross Connect</t>
        </r>
      </text>
    </comment>
    <comment ref="L16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40 Racks of 800*1000 or 50 Racks of 600*1000</t>
        </r>
      </text>
    </comment>
    <comment ref="AJ16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28 + 1 + 1 Cabin 
+ 1 conf room for 8 people</t>
        </r>
      </text>
    </comment>
    <comment ref="AT16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Car parking space</t>
        </r>
      </text>
    </comment>
    <comment ref="L18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Rack without power</t>
        </r>
      </text>
    </comment>
    <comment ref="AT18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Rated power</t>
        </r>
      </text>
    </comment>
    <comment ref="Q19" authorId="1" shapeId="0" xr:uid="{00000000-0006-0000-0000-00002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U Price</t>
        </r>
      </text>
    </comment>
    <comment ref="AT19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22" authorId="1" shapeId="0" xr:uid="{EAC52CB8-49FD-4F47-9D15-70A6028F706B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FCC</t>
        </r>
      </text>
    </comment>
    <comment ref="Q23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U Price</t>
        </r>
      </text>
    </comment>
    <comment ref="AT23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Mb internet link</t>
        </r>
      </text>
    </comment>
    <comment ref="AT25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27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Fiber cross connect -1 No</t>
        </r>
      </text>
    </comment>
    <comment ref="AT30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</t>
        </r>
      </text>
    </comment>
    <comment ref="AT31" authorId="1" shapeId="0" xr:uid="{F5A9C968-3F06-4026-9384-20805BEED69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12 Nos Fiber cross connect</t>
        </r>
      </text>
    </comment>
    <comment ref="AT33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+ 3 TB data transfer link</t>
        </r>
      </text>
    </comment>
    <comment ref="AT35" authorId="2" shapeId="0" xr:uid="{00000000-0006-0000-0000-00003F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AT39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Nos of Ethernet Cross Connect</t>
        </r>
      </text>
    </comment>
    <comment ref="T42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7 KVA steady laod and 10 KVA peak load per rack</t>
        </r>
      </text>
    </comment>
    <comment ref="AT43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</t>
        </r>
      </text>
    </comment>
    <comment ref="AT44" authorId="2" shapeId="0" xr:uid="{00000000-0006-0000-0000-000046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Nos of Fiber CC</t>
        </r>
      </text>
    </comment>
    <comment ref="AT45" authorId="2" shapeId="0" xr:uid="{00000000-0006-0000-0000-000047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Nos of FCC + RHS</t>
        </r>
      </text>
    </comment>
    <comment ref="T54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L55" authorId="1" shapeId="0" xr:uid="{00000000-0006-0000-0000-00004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No order in system</t>
        </r>
      </text>
    </comment>
    <comment ref="AT56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82 Nos of Ethernet CC + 7 Nos of Fiber CC + Pole Space + 1u Space</t>
        </r>
      </text>
    </comment>
    <comment ref="L57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 Racks - 6 KVA
2 Racks - 6 KVA
2 Racks - 8 KVA</t>
        </r>
      </text>
    </comment>
    <comment ref="Q57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1767432 for 8 Racks - 6 KVA
Rs 546856 for 2 Racks - 8 KVA
Rs 1522674 for 9 Racks - 6 KVA</t>
        </r>
      </text>
    </comment>
    <comment ref="T57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- 11 Racks = 66
8 KVA - 3 Racks = 24</t>
        </r>
      </text>
    </comment>
    <comment ref="AT57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+ Ethernet cross connet</t>
        </r>
      </text>
    </comment>
    <comment ref="L59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 Racks - 7.5 KVA
1 Rack - No power reserved</t>
        </r>
      </text>
    </comment>
    <comment ref="Q59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5551700 for 7 Racks with 7.5 KVA
Rs 242050 for 1 Rack without power</t>
        </r>
      </text>
    </comment>
    <comment ref="T59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KVA per Rack</t>
        </r>
      </text>
    </comment>
    <comment ref="O60" authorId="4" shapeId="0" xr:uid="{00000000-0006-0000-0000-000052000000}">
      <text>
        <r>
          <rPr>
            <b/>
            <sz val="9"/>
            <color indexed="81"/>
            <rFont val="Tahoma"/>
            <family val="2"/>
          </rPr>
          <t>Sajini John Mathews:</t>
        </r>
        <r>
          <rPr>
            <sz val="9"/>
            <color indexed="81"/>
            <rFont val="Tahoma"/>
            <family val="2"/>
          </rPr>
          <t xml:space="preserve">
How is billed more than provisioned
</t>
        </r>
      </text>
    </comment>
    <comment ref="AT60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Space for Fire vault + Ethernet Cross connect</t>
        </r>
      </text>
    </comment>
    <comment ref="L61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Racks - 10 KVA
1 Rack - 5 KVA
2 Racks - 10 KVA reserved</t>
        </r>
      </text>
    </comment>
    <comment ref="Q61" authorId="1" shapeId="0" xr:uid="{00000000-0006-0000-0000-000055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54667 for 3 of 10 KVA
Rs 27333 for 1 of 5 KVA
Rs 10933 for 2 of 10 KVA</t>
        </r>
      </text>
    </comment>
    <comment ref="T61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 KVA - 5 Racks
5 KVA - 1 Rack</t>
        </r>
      </text>
    </comment>
    <comment ref="AT61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 Mb Internet link</t>
        </r>
      </text>
    </comment>
    <comment ref="Q62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MRC rate given</t>
        </r>
      </text>
    </comment>
    <comment ref="AT62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Mb internet link + 1 Mb internet link + 10 Mb internet link</t>
        </r>
      </text>
    </comment>
    <comment ref="AT66" authorId="1" shapeId="0" xr:uid="{00000000-0006-0000-0000-00005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T69" authorId="1" shapeId="0" xr:uid="{4031E654-4A37-4E53-B7C5-3172B9E117A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T70" authorId="1" shapeId="0" xr:uid="{FDA39BFA-16C6-4CF4-9CF0-876D667C4B1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T71" authorId="2" shapeId="0" xr:uid="{00000000-0006-0000-0000-000065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Rack x 3 KVA</t>
        </r>
      </text>
    </comment>
    <comment ref="Q77" authorId="1" shapeId="0" xr:uid="{00000000-0006-0000-0000-00005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MRC rate given</t>
        </r>
      </text>
    </comment>
    <comment ref="L79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Q79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T79" authorId="1" shapeId="0" xr:uid="{00000000-0006-0000-0000-00005F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T80" authorId="1" shapeId="0" xr:uid="{65DFF4FE-541D-4FD7-A383-CB858A5DA86B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T81" authorId="2" shapeId="0" xr:uid="{00000000-0006-0000-0000-000060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Taken 4 KVA per RacK</t>
        </r>
      </text>
    </comment>
    <comment ref="AT82" authorId="2" shapeId="0" xr:uid="{00000000-0006-0000-0000-000061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No of RHS + 8 No of ECC + Biometric access + 2 No of Safe Vault + Tape Rotation</t>
        </r>
      </text>
    </comment>
    <comment ref="T85" authorId="2" shapeId="0" xr:uid="{00000000-0006-0000-0000-000062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KVA / Rack = 10 KVA</t>
        </r>
      </text>
    </comment>
    <comment ref="AT85" authorId="2" shapeId="0" xr:uid="{00000000-0006-0000-0000-000063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CC + 1 No of Fiber CC</t>
        </r>
      </text>
    </comment>
    <comment ref="AT86" authorId="2" shapeId="0" xr:uid="{00000000-0006-0000-0000-000064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16 Cross Connect</t>
        </r>
      </text>
    </comment>
    <comment ref="T88" authorId="2" shapeId="0" xr:uid="{00000000-0006-0000-0000-000066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Rack x 3 KVA</t>
        </r>
      </text>
    </comment>
    <comment ref="AT89" authorId="2" shapeId="0" xr:uid="{00000000-0006-0000-0000-000067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90" authorId="2" shapeId="0" xr:uid="{5ABBD62F-D386-4831-8277-87BCE0481353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91" authorId="2" shapeId="0" xr:uid="{B6E3B16E-96DB-4A0B-9F69-FB04D8EA4B22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92" authorId="2" shapeId="0" xr:uid="{00000000-0006-0000-0000-00006A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No of FCC + RHS</t>
        </r>
      </text>
    </comment>
    <comment ref="T93" authorId="3" shapeId="0" xr:uid="{FC15F3DA-FB8C-4FA0-9775-52FCDB3F607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360 + 60 add</t>
        </r>
      </text>
    </comment>
    <comment ref="AT98" authorId="3" shapeId="0" xr:uid="{5EB6ECFB-FC1B-4B9D-97B5-77CA1393AEF0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4 FCC + 1 IX Port</t>
        </r>
      </text>
    </comment>
    <comment ref="AT99" authorId="3" shapeId="0" xr:uid="{270BF267-C586-475D-9BFE-2BB6C69CD4B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40 KW power
4 Nos of FCC</t>
        </r>
      </text>
    </comment>
    <comment ref="AT100" authorId="2" shapeId="0" xr:uid="{00000000-0006-0000-0000-00006C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 + RHS</t>
        </r>
      </text>
    </comment>
    <comment ref="AT101" authorId="2" shapeId="0" xr:uid="{55B16D86-244E-46EE-94AC-085ECB28054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 + RHS</t>
        </r>
      </text>
    </comment>
    <comment ref="AT102" authorId="2" shapeId="0" xr:uid="{468B3F14-764B-444A-A24B-5098B183907D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T103" authorId="3" shapeId="0" xr:uid="{159437C3-1348-40A6-AD6F-6E4C80FA5AAE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RHS + 3 FCC</t>
        </r>
      </text>
    </comment>
    <comment ref="AT104" authorId="3" shapeId="0" xr:uid="{774678A8-F93C-4B00-B259-B16A76320B59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2 FCC</t>
        </r>
      </text>
    </comment>
    <comment ref="AT109" authorId="3" shapeId="0" xr:uid="{05296128-9204-4069-BC75-93F811B5006B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2 FCC</t>
        </r>
      </text>
    </comment>
    <comment ref="AT129" authorId="3" shapeId="0" xr:uid="{B4FEDDF9-F416-4807-9645-6B5371CA8A9B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1 FCC + 1 RHS</t>
        </r>
      </text>
    </comment>
    <comment ref="L226" authorId="1" shapeId="0" xr:uid="{7A69479C-EC0E-40BC-8760-ABA603E0158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Rack without power</t>
        </r>
      </text>
    </comment>
    <comment ref="AT226" authorId="1" shapeId="0" xr:uid="{594362D0-9A27-4FB6-959B-95C7CF3D4A7E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Rated power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</authors>
  <commentList>
    <comment ref="J2" authorId="0" shapeId="0" xr:uid="{1FFDF37B-6A32-4101-AF71-A1B3BDB136C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Q2" authorId="0" shapeId="0" xr:uid="{C8203966-5488-4582-BE07-8D7EC1136908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B2" authorId="0" shapeId="0" xr:uid="{04DF9276-A92E-4E9D-812A-3C9A594A2334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AS3" authorId="1" shapeId="0" xr:uid="{74E4F7F8-5030-48F5-9696-293677AF197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4" authorId="1" shapeId="0" xr:uid="{E06B89D1-CC1E-48F4-8310-1335D409947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S20" authorId="1" shapeId="0" xr:uid="{09E717DE-2D2B-495F-AC48-699E9D0442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21" authorId="1" shapeId="0" xr:uid="{BF07BF9E-9F8E-4083-A365-A4E132FB249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</commentList>
</comments>
</file>

<file path=xl/sharedStrings.xml><?xml version="1.0" encoding="utf-8"?>
<sst xmlns="http://schemas.openxmlformats.org/spreadsheetml/2006/main" count="2812" uniqueCount="584">
  <si>
    <t>Total</t>
  </si>
  <si>
    <t>Customer Name</t>
  </si>
  <si>
    <t>Floor / Module</t>
  </si>
  <si>
    <t>Space</t>
  </si>
  <si>
    <t>Subscription</t>
  </si>
  <si>
    <t>NA</t>
  </si>
  <si>
    <t>Subscription Mode</t>
  </si>
  <si>
    <t>In Use</t>
  </si>
  <si>
    <t>Rack</t>
  </si>
  <si>
    <t>Yet to be given</t>
  </si>
  <si>
    <t xml:space="preserve">Divisification </t>
  </si>
  <si>
    <t>Rated</t>
  </si>
  <si>
    <t>Billing Model</t>
  </si>
  <si>
    <t>Power Capacity</t>
  </si>
  <si>
    <t>Power Usage</t>
  </si>
  <si>
    <t>Seating Space</t>
  </si>
  <si>
    <t>Revenue (Monthly )</t>
  </si>
  <si>
    <t>Contract Information</t>
  </si>
  <si>
    <t>Power Subscription Model (Rated/Subscribed)</t>
  </si>
  <si>
    <t>Power Usage Model (Bundled / Metered)</t>
  </si>
  <si>
    <t>Caged /Uncaged</t>
  </si>
  <si>
    <t>UoM</t>
  </si>
  <si>
    <t>Yet to be given/</t>
  </si>
  <si>
    <t>Billed</t>
  </si>
  <si>
    <t>Reserved Capacity if any (Non-Billable)</t>
  </si>
  <si>
    <t>Per Unit rate (MRC)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</si>
  <si>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</si>
  <si>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</si>
  <si>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</si>
  <si>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</si>
  <si>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</si>
  <si>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</si>
  <si>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</si>
  <si>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</si>
  <si>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</si>
  <si>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</si>
  <si>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</si>
  <si>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</si>
  <si>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</si>
  <si>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</si>
  <si>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</si>
  <si>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</si>
  <si>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</si>
  <si>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</si>
  <si>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</si>
  <si>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</si>
  <si>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</si>
  <si>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</si>
  <si>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</si>
  <si>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</si>
  <si>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</si>
  <si>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</si>
  <si>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>Bundled</t>
  </si>
  <si>
    <t>Caged</t>
  </si>
  <si>
    <t>KVA</t>
  </si>
  <si>
    <t>No of Seats</t>
  </si>
  <si>
    <t>Subscribed</t>
  </si>
  <si>
    <t>Metered</t>
  </si>
  <si>
    <t>KW</t>
  </si>
  <si>
    <t>Variable</t>
  </si>
  <si>
    <t>U space</t>
  </si>
  <si>
    <t>Uncaged</t>
  </si>
  <si>
    <t>Fixed</t>
  </si>
  <si>
    <t>Server Hall 5A</t>
  </si>
  <si>
    <t>721003675 &amp; 711080579</t>
  </si>
  <si>
    <t>721000893, 721000761, 721001050</t>
  </si>
  <si>
    <t>Server Hall 5B</t>
  </si>
  <si>
    <t>Sify NOC</t>
  </si>
  <si>
    <t>721004019, 731002977</t>
  </si>
  <si>
    <t>721002808 &amp; 711067576</t>
  </si>
  <si>
    <t>721004381, 721004451 &amp; 721004508</t>
  </si>
  <si>
    <t>KESCO (Kanpur Elec)</t>
  </si>
  <si>
    <t>UPPCL (UP Power Corp Ltd)</t>
  </si>
  <si>
    <t>per month</t>
  </si>
  <si>
    <t xml:space="preserve">Avg revenue /KW /Month </t>
  </si>
  <si>
    <t>Net Revenue / Resvd KW</t>
  </si>
  <si>
    <t>Proj Net Revenue / Resvd KW</t>
  </si>
  <si>
    <t>Sold Net Revenue / Resvd KW</t>
  </si>
  <si>
    <t>Cost of Power @ Act Usage</t>
  </si>
  <si>
    <t>Proj Cost of Power @ Reserv Cap</t>
  </si>
  <si>
    <t>Cost of Power @ Design Use</t>
  </si>
  <si>
    <t>Actual PUE</t>
  </si>
  <si>
    <t>Actual Unit Rate:</t>
  </si>
  <si>
    <t>Genset Hr/Mo</t>
  </si>
  <si>
    <t>Rated to Consumed</t>
  </si>
  <si>
    <t>Total Rev (Cap + Power)</t>
  </si>
  <si>
    <t>Capacity Revenue</t>
  </si>
  <si>
    <t>Power Revenue</t>
  </si>
  <si>
    <t>Net Rev Total</t>
  </si>
  <si>
    <t>Target Capacity Revenue</t>
  </si>
  <si>
    <t>Capacity Surplus/Leakage</t>
  </si>
  <si>
    <t>Power Surplus/Leakage</t>
  </si>
  <si>
    <t>Contribution to Target</t>
  </si>
  <si>
    <t>Total Surplus/Leakage</t>
  </si>
  <si>
    <t>Power Surplus/Leakage / KW</t>
  </si>
  <si>
    <t>Capacity Surplus/Leakage / KW</t>
  </si>
  <si>
    <t>Total Surplus/Leakage / KW</t>
  </si>
  <si>
    <t>Adani</t>
  </si>
  <si>
    <t>not able to trace PO/match price with PO</t>
  </si>
  <si>
    <t>not able to match with PO. PO ARC value shows 305,000. Also, this client is not found in the Inventory report.  Is it still live?</t>
  </si>
  <si>
    <t>Shouldn’t MRC be 50,662? ARC is 38,58,750 for 7 racks and 396,900 for addl space reservation.</t>
  </si>
  <si>
    <t>Updated to yr 3 rates from yr 2 rates.  Pls confirm.</t>
  </si>
  <si>
    <t>Have updated new renewed rates.  Also number of racks billed Is now 11. Pls confirm this.</t>
  </si>
  <si>
    <t>not able to trace in inventory or Oracle.</t>
  </si>
  <si>
    <t>Changed to reflect renewed rate and also the rate for 4 additional racks (total 5 racks). Pls confirm if this is correct.</t>
  </si>
  <si>
    <t>not able to trace in inventory file.</t>
  </si>
  <si>
    <t>721004425, 721004426, 721004427 &amp; 711101631</t>
  </si>
  <si>
    <t>Abhipra Capital Limited</t>
  </si>
  <si>
    <t>Cloud</t>
  </si>
  <si>
    <t>721005527 &amp; 711120937</t>
  </si>
  <si>
    <t>721005517 &amp; 731004184</t>
  </si>
  <si>
    <t>Renewal</t>
  </si>
  <si>
    <t>721006231 &amp; 731004518</t>
  </si>
  <si>
    <t>DC NW Infra</t>
  </si>
  <si>
    <t>Sphier Infotech Private Limited</t>
  </si>
  <si>
    <t>Adani Wilmar Limited</t>
  </si>
  <si>
    <t>721007295, 721007296 &amp; 721007298, 121000202, 121000147</t>
  </si>
  <si>
    <t>CLOUDFLARE INC</t>
  </si>
  <si>
    <t>L&amp;T (RVNL)</t>
  </si>
  <si>
    <t>No of Racks</t>
  </si>
  <si>
    <t>U.P. Communication Services Pvt Ltd</t>
  </si>
  <si>
    <t>121000894 &amp; 121000913</t>
  </si>
  <si>
    <t>121000809 &amp; 121000810</t>
  </si>
  <si>
    <t>121000721, 121000722 &amp; 121000808</t>
  </si>
  <si>
    <t>121000700 &amp; 121000880</t>
  </si>
  <si>
    <t>121000330 &amp; 121000602</t>
  </si>
  <si>
    <t>722000099, 121000448, 121000954</t>
  </si>
  <si>
    <t>22 Aug 18 &amp; 17 Dec 19</t>
  </si>
  <si>
    <t xml:space="preserve">8 Oct 18, 8 Oct 18, 10 Oct 18, 12 Oct 18, 9 Feb 19 </t>
  </si>
  <si>
    <t>121001073 &amp; 121001074</t>
  </si>
  <si>
    <t>L6</t>
  </si>
  <si>
    <t>Total of 4th Floor</t>
  </si>
  <si>
    <t>Total of 5th Floor</t>
  </si>
  <si>
    <t>Total of 6th Floor</t>
  </si>
  <si>
    <t>121001524 &amp; 121001525</t>
  </si>
  <si>
    <t>121001685 &amp; 121001687</t>
  </si>
  <si>
    <t>Hathway Cable and Datacom Limited</t>
  </si>
  <si>
    <t>INSTALINKS</t>
  </si>
  <si>
    <t>Total of 1,2,3 Floor</t>
  </si>
  <si>
    <t>Server Hall 5A
L5A-01-06</t>
  </si>
  <si>
    <t>Server Hall 5A
L5A-01-08</t>
  </si>
  <si>
    <t>Server Hall 5A
L5A-02-01</t>
  </si>
  <si>
    <t>Server Hall L4
L4-E-29</t>
  </si>
  <si>
    <t>Server Hall L4
L4-D-29</t>
  </si>
  <si>
    <t>Server Hall L4</t>
  </si>
  <si>
    <t>Server Hall 5A
L5A-04-11</t>
  </si>
  <si>
    <t>E2 Info Solution</t>
  </si>
  <si>
    <t>L4-F-23</t>
  </si>
  <si>
    <t>L4-E-26</t>
  </si>
  <si>
    <t>L4-D-27</t>
  </si>
  <si>
    <t>L4-D-28</t>
  </si>
  <si>
    <t>L4-C-28</t>
  </si>
  <si>
    <t>L4-C-29</t>
  </si>
  <si>
    <t>L4-D-25, L4-D-26, L4-C-25, L4-C-26 &amp; L4-C-27</t>
  </si>
  <si>
    <t>L4-E-23</t>
  </si>
  <si>
    <t>L4-A-01 &amp; L4-A-02</t>
  </si>
  <si>
    <t>L4-E-30, L4-E-31 &amp; L4-E-32</t>
  </si>
  <si>
    <t>L4-C-30</t>
  </si>
  <si>
    <t>L4-F-31, L4-F-32, L4-F-33, L4-F-34 &amp; L4-F-35</t>
  </si>
  <si>
    <t>L4-E-27 &amp; L4-E-28</t>
  </si>
  <si>
    <t>Cloudflare</t>
  </si>
  <si>
    <t>MMR-4</t>
  </si>
  <si>
    <t>Total of MMR-4</t>
  </si>
  <si>
    <t>Server Hall L6
L6-E-03</t>
  </si>
  <si>
    <t>Server Hall L6
L6-F-25</t>
  </si>
  <si>
    <t>L6-D-01, L6-D-02</t>
  </si>
  <si>
    <t>L6-D-04</t>
  </si>
  <si>
    <t>L6-B-33</t>
  </si>
  <si>
    <t>L6-D-03</t>
  </si>
  <si>
    <t>L6-E-01 &amp; L6-E-02</t>
  </si>
  <si>
    <t>L6-E-05, L6-E-06, L6-D-05 &amp; L6-D-06</t>
  </si>
  <si>
    <t>NGC Broadband</t>
  </si>
  <si>
    <t>Balaji Teleworks</t>
  </si>
  <si>
    <t>Server Hall L6
L6-F-24</t>
  </si>
  <si>
    <t>CDOT</t>
  </si>
  <si>
    <t>L6-G-25</t>
  </si>
  <si>
    <t>L6-G-23</t>
  </si>
  <si>
    <t>DEL1-L6-CC1</t>
  </si>
  <si>
    <t>DEL1-L6-CC3</t>
  </si>
  <si>
    <t>L6-F-23</t>
  </si>
  <si>
    <t>DEL1-L7-CC1</t>
  </si>
  <si>
    <t>Total of 7th Floor</t>
  </si>
  <si>
    <t>DEL1-L7-CC2</t>
  </si>
  <si>
    <t>ECSO</t>
  </si>
  <si>
    <t>L5A-01-01</t>
  </si>
  <si>
    <t>L5A-01-02</t>
  </si>
  <si>
    <t>L5A-06-10</t>
  </si>
  <si>
    <t>L5A-02-02, L5A-02-03, L5A-02-04, L5A-02-05, L5A-02-06 &amp; L5A-02-10</t>
  </si>
  <si>
    <t>L5A-02-08</t>
  </si>
  <si>
    <t>L5A-02-11 &amp; L5A-02-12</t>
  </si>
  <si>
    <t>L5A-02-13</t>
  </si>
  <si>
    <t>L5A-03-11</t>
  </si>
  <si>
    <t>L5A-01-03</t>
  </si>
  <si>
    <t>L5A-01-07</t>
  </si>
  <si>
    <t>L5A-04-12</t>
  </si>
  <si>
    <t>L5A-04-10</t>
  </si>
  <si>
    <t>L5A-04-08 &amp; L5A-04-09</t>
  </si>
  <si>
    <t>L5A-05-08, L5A-05-09 &amp; L5A-05-10</t>
  </si>
  <si>
    <t>L5A-05-11</t>
  </si>
  <si>
    <t>L5A-06-04</t>
  </si>
  <si>
    <t>L5A-06-09</t>
  </si>
  <si>
    <t>L5A-06-11</t>
  </si>
  <si>
    <t>L5A-07-10</t>
  </si>
  <si>
    <t>L5B-01-03 &amp; L5B-01-04</t>
  </si>
  <si>
    <t>L5B-01-05 &amp; L5B-01-06</t>
  </si>
  <si>
    <t>L5B-01-08</t>
  </si>
  <si>
    <t>L5B-01-11 &amp; L5B-01-12</t>
  </si>
  <si>
    <t>L5B-01-10, L5B-01-15, L5B-01-16 &amp; L5B-01-17</t>
  </si>
  <si>
    <t>L5B-02-01, L5B-02-02, L5B-03-01, L5B-03-02 &amp; L5B-03-03</t>
  </si>
  <si>
    <t>L5B-10-15, L5B-10-16, L5B-10-17, L5B-10-18, L5B-11-15 &amp; L5B-11-16</t>
  </si>
  <si>
    <t>DEL1-L4-CC4</t>
  </si>
  <si>
    <t>L4-F-30</t>
  </si>
  <si>
    <t>L4-F-24 &amp; L4-F-29</t>
  </si>
  <si>
    <t>DEL1-L4-CC7</t>
  </si>
  <si>
    <t>DEL1-L4-CC8</t>
  </si>
  <si>
    <t>L6-G-24</t>
  </si>
  <si>
    <t>L6-E-29 &amp; L6-E-30</t>
  </si>
  <si>
    <t>L7-E-04</t>
  </si>
  <si>
    <t>L7-A-22 to L7-A-28</t>
  </si>
  <si>
    <t>L7-E-02, L7-E-03, L7-D-01, L7-D-02 &amp; L7-D-03</t>
  </si>
  <si>
    <t>DEL1-L7-CC3</t>
  </si>
  <si>
    <t>L6-D-30, L6-D-29</t>
  </si>
  <si>
    <t>L7-F-23 &amp; L7-F-24</t>
  </si>
  <si>
    <t>DHANI LOANS AND SERVICES LIMITED</t>
  </si>
  <si>
    <t>L7-A-21</t>
  </si>
  <si>
    <t>L7-G-23 &amp; L7-G-24</t>
  </si>
  <si>
    <t>SWAKSH INFRATECH</t>
  </si>
  <si>
    <t>L7-E-05</t>
  </si>
  <si>
    <t>L7-A-01</t>
  </si>
  <si>
    <t>Onextel Media Pvt. Ltd.</t>
  </si>
  <si>
    <t>L7- G-01, L7-G-02 , L7-F-02</t>
  </si>
  <si>
    <t>Avnatha Power Project/ NTPC</t>
  </si>
  <si>
    <t>L7-G-21</t>
  </si>
  <si>
    <t>L7-G-20</t>
  </si>
  <si>
    <t xml:space="preserve">National Internet Exchange of India </t>
  </si>
  <si>
    <t>On-Remote</t>
  </si>
  <si>
    <t>REISNET BROADBAND PRIVATE LIMITED</t>
  </si>
  <si>
    <t>BIG Data Broadband</t>
  </si>
  <si>
    <t>L7-G-22</t>
  </si>
  <si>
    <t>L7-F-01</t>
  </si>
  <si>
    <t>L7-A-00</t>
  </si>
  <si>
    <t>Utility Sanction Load KVA</t>
  </si>
  <si>
    <t xml:space="preserve">Utility Minimum Demand % </t>
  </si>
  <si>
    <t>Capacity Installed</t>
  </si>
  <si>
    <t>L1</t>
  </si>
  <si>
    <t>L2</t>
  </si>
  <si>
    <t>L3</t>
  </si>
  <si>
    <t>L4</t>
  </si>
  <si>
    <t>L5</t>
  </si>
  <si>
    <t>L7</t>
  </si>
  <si>
    <t>Mention the design kW capacity of Transformer</t>
  </si>
  <si>
    <t>Mention the design kW capacity of Generator</t>
  </si>
  <si>
    <t>Mention the design N capacity in kw in a N+N Configuration</t>
  </si>
  <si>
    <t>Transformer kW</t>
  </si>
  <si>
    <t>Generator kW</t>
  </si>
  <si>
    <t>UPS kW</t>
  </si>
  <si>
    <t>Floor</t>
  </si>
  <si>
    <t>Description</t>
  </si>
  <si>
    <t>Value</t>
  </si>
  <si>
    <t>No of TX</t>
  </si>
  <si>
    <t>UPS Config</t>
  </si>
  <si>
    <t>Installed including interfloor shared capacity</t>
  </si>
  <si>
    <t>Customer subscribed IT kW</t>
  </si>
  <si>
    <t>IT kW Usage</t>
  </si>
  <si>
    <t>Measured on 1st of every month</t>
  </si>
  <si>
    <t>Avaialble IT kW Design-Used</t>
  </si>
  <si>
    <t>Available IT kW Design-Sold</t>
  </si>
  <si>
    <t>Actual Load KVA</t>
  </si>
  <si>
    <t>As per the Sanction Letter</t>
  </si>
  <si>
    <t>Usage measured on 1of every month</t>
  </si>
  <si>
    <t>Actual Load kW</t>
  </si>
  <si>
    <t xml:space="preserve">No of DG </t>
  </si>
  <si>
    <t>Catcher DG kW</t>
  </si>
  <si>
    <t>Catcher TX kW</t>
  </si>
  <si>
    <t xml:space="preserve">No. Of catcher </t>
  </si>
  <si>
    <t>Bank A ( 1250 KVA* 2)  &amp; Bank B (600 KVA *4 )</t>
  </si>
  <si>
    <t>Bank A ( 400 KVA* 4)  &amp; Bank B (400 KVA *4 )</t>
  </si>
  <si>
    <t>Bank A ( 450 KVA* 4)  &amp; Bank B (450 KVA *4 )</t>
  </si>
  <si>
    <t>IT Power Sold in kW ( concidering unity as PF)</t>
  </si>
  <si>
    <t>Allocated power</t>
  </si>
  <si>
    <t>Allocated IT Power to customer ( Taking 50% as divercity factor for rated power customer )</t>
  </si>
  <si>
    <t>Available IT kW Design-Sold ( Allocated capacity)</t>
  </si>
  <si>
    <t>7760 KVA</t>
  </si>
  <si>
    <t xml:space="preserve">MAX Rack Capacity </t>
  </si>
  <si>
    <t xml:space="preserve">Racks which can be placed on floor  </t>
  </si>
  <si>
    <t>Rack losss ( Cage+ non standard rack+ path)</t>
  </si>
  <si>
    <t>Designed White Space ( in SQ FT)</t>
  </si>
  <si>
    <t>Used White Space( in SQ FT)</t>
  </si>
  <si>
    <t>Avaialble White Space ( in SQ FT)</t>
  </si>
  <si>
    <t>SIMPLE TELECOM PVT LTD</t>
  </si>
  <si>
    <t>L5A-07-08 &amp; L5A-07-09</t>
  </si>
  <si>
    <t>PIONEER ELABS LIMITED</t>
  </si>
  <si>
    <t>Cloude flare</t>
  </si>
  <si>
    <t>Stackpath</t>
  </si>
  <si>
    <t xml:space="preserve">L7-F-21 </t>
  </si>
  <si>
    <t xml:space="preserve">L7-C-06, L7-C-08 , L7-C-10, L7-C-12,L7-B-03, L7-B-05, L7-B-07, L7-B-09, L7-B-11, L7-B-13, L7-G-08, L7-G-10, L7-G-12 , L7-F-09 &amp; L7-F-11 </t>
  </si>
  <si>
    <t>IT capacity Installed kW</t>
  </si>
  <si>
    <t>"Allocated" Capacity in KW (for KVA subscribed customer 50% diversity is used to make kW )</t>
  </si>
  <si>
    <t xml:space="preserve">Rack count </t>
  </si>
  <si>
    <t>Racks in Space</t>
  </si>
  <si>
    <t>L7-F-19</t>
  </si>
  <si>
    <t>L7-F-20</t>
  </si>
  <si>
    <t>L5A-06-01, L5A-06-02, L5A-06-03, L5A-07-01 &amp; L5A-07-02</t>
  </si>
  <si>
    <t>ACQUIRE LOGIX TECHNOLOGY PRIVATE LIMITED</t>
  </si>
  <si>
    <t>AGRICULTURE INSURANCE COMPANY OF INDIA LIMITED</t>
  </si>
  <si>
    <t>AKAMAI INDIA NETWORKS PRIVATE LIMITED</t>
  </si>
  <si>
    <t>CP WHOLESALE INDIA PVT LTD</t>
  </si>
  <si>
    <t>DD TELECOM PVT LTD</t>
  </si>
  <si>
    <t>RAIDEN INFOTECH INDIA PRIVATE LIMITED</t>
  </si>
  <si>
    <t>AMAZON DATA SERVICES INDIA PVT LTD-HOSTING</t>
  </si>
  <si>
    <t>EDGE NETWORK SERVICES LIMITED</t>
  </si>
  <si>
    <t>EIH LIMITED</t>
  </si>
  <si>
    <t>EMINENCE SOFTECH PVT LTD</t>
  </si>
  <si>
    <t>EXCITEL BROADBAND PVT LTD</t>
  </si>
  <si>
    <t>FASTLY INDIA PRIVATE LIMITED</t>
  </si>
  <si>
    <t>FIVE NETWORK BROADBAND SOLUTION PVT LTD</t>
  </si>
  <si>
    <t>FIVE9 TECHNOLOGIES INDIA PRIVATE LIMITED</t>
  </si>
  <si>
    <t>FUSIONNET WEB SERVICES PVT LTD</t>
  </si>
  <si>
    <t>GIGANTIC INFOTEL PVT LTD</t>
  </si>
  <si>
    <t>HAVELLS INDIA LTD</t>
  </si>
  <si>
    <t>HONGKONG SEAGA TECHNOLOGY LTD</t>
  </si>
  <si>
    <t>HT MEDIA LTD</t>
  </si>
  <si>
    <t>THE JAMMU &amp; KASHMIR BANK LTD</t>
  </si>
  <si>
    <t>LITE BITE FOODS PVT LTD</t>
  </si>
  <si>
    <t>NIVA BUPA HEALTH INSURANCE COMPANY LIMITED</t>
  </si>
  <si>
    <t>MAX LIFE INSURANCE PVT LTD</t>
  </si>
  <si>
    <t>MOODYS SHARED SERVICES INDIA PRIVATE LIMITED</t>
  </si>
  <si>
    <t>PERFECT INTERNET PVT LTD</t>
  </si>
  <si>
    <t>PI INDUSTRIES</t>
  </si>
  <si>
    <t>PRECIOUS NETCOM PVT LTD</t>
  </si>
  <si>
    <t>PUNJAB &amp; SIND BANK-CONNECTIVITY</t>
  </si>
  <si>
    <t>SUN PHARMACEUTICAL INDUSTRIES LTD-NORTH</t>
  </si>
  <si>
    <t>THE TATA POWER COMPANY LIMITED</t>
  </si>
  <si>
    <t>GLORYBIRD INDIA PRIVATE LIMITED</t>
  </si>
  <si>
    <t>BENNETT, COLEMAN &amp; CO. LTD</t>
  </si>
  <si>
    <t>ZSCALER SOFTECH INDIA PVT LTD</t>
  </si>
  <si>
    <t>GSTECH SOFTWARE SYSTEMS PVT.LTD.</t>
  </si>
  <si>
    <t>CISCO SYSTEMS INDIA PVT LTD</t>
  </si>
  <si>
    <t>NEXTRA ONLINE SERVICES PRIVATE LIMITED</t>
  </si>
  <si>
    <t>MEGAHERTZ INTERNET NETWORK PRIVATE LIMITED</t>
  </si>
  <si>
    <t>THE NAGALAND STATE CO-OPERATIVE BANK LTD</t>
  </si>
  <si>
    <t>V2 RETAIL LTD</t>
  </si>
  <si>
    <t>GODFREY PHILLIPS INDIA LIMITED</t>
  </si>
  <si>
    <t>DENSO INTERNATIONAL INDIA PVT LTD</t>
  </si>
  <si>
    <t>SITI BROADBAND SERVICES PVT LTD</t>
  </si>
  <si>
    <t>OZONETEL COMMUNICATIONS PRIVATE LIMITED</t>
  </si>
  <si>
    <t>SOFTECH INFOSOL PVT LTD</t>
  </si>
  <si>
    <t>GIGATEL SOLUTIONS PRIVATE LIMITED</t>
  </si>
  <si>
    <t>GLOBE CAPITAL MARKET LIMITED</t>
  </si>
  <si>
    <t>ISHAN NETSOL PVT LTD</t>
  </si>
  <si>
    <t>MJUNCTION SERVICES LIMITED</t>
  </si>
  <si>
    <t>DEHRADUN E NET SOLUTIONS (P) LTD.</t>
  </si>
  <si>
    <t>HEALTH INSURANCE TPA OF INDIA LTD</t>
  </si>
  <si>
    <t>BHARAT SANCHAR NIGAM LIMITED-HOSTING</t>
  </si>
  <si>
    <t>TELANGANA STATE COOPERATIVE APEX BANK LTD</t>
  </si>
  <si>
    <t>PRACTION NETWORKS PVT LTD</t>
  </si>
  <si>
    <t>EXTREME INFOCOM PVT LTD</t>
  </si>
  <si>
    <t>RACSANN TECHNOLOGIES PVT LTD</t>
  </si>
  <si>
    <t>iBOSS, INC.</t>
  </si>
  <si>
    <t>CANDOR SOLUTION</t>
  </si>
  <si>
    <t>STAR BROADBAND SERVICES I PVT LTD</t>
  </si>
  <si>
    <t>TCI SUPPLY CHAIN SOLUTION A DIVISION OF TRANSPORT</t>
  </si>
  <si>
    <t>ACME DIGINET CORPORATION PVT LTD</t>
  </si>
  <si>
    <t>KDDI INDIA-CONNECTIVITY</t>
  </si>
  <si>
    <t>WINMAX TELECOMMUNICATION INDIA PVT LTD</t>
  </si>
  <si>
    <t>TEJAYS INDUSTRIES PVT LTD</t>
  </si>
  <si>
    <t>UNITAS GLOBAL INDIA PVT LTD</t>
  </si>
  <si>
    <t>HYOSEC SOLUTIONS PRIVATE LIMITED</t>
  </si>
  <si>
    <t>MUNJAL AUTO INDUSTRIES LTD - SOLUTIONS</t>
  </si>
  <si>
    <t>NAS INTERNET SERVICES PVT LTD</t>
  </si>
  <si>
    <t>SMC INSURANCE BROKERS PVT LTD</t>
  </si>
  <si>
    <t>SPEEDNET UNIQUE NETWORK PVT LTD</t>
  </si>
  <si>
    <t>SAIKRITI TECHSOFT PVT LTD</t>
  </si>
  <si>
    <t>LIGHTSTORM DATA CENTERS PRIVATE LIMITED</t>
  </si>
  <si>
    <t>A P COMTECH</t>
  </si>
  <si>
    <t>DVCOMM INFOTECH PRIVATE LIMITED</t>
  </si>
  <si>
    <t>R G TECHNOSOLUTIONS PRIVATE LIMITED</t>
  </si>
  <si>
    <t>MULTICRAFT DIGITAL TECHNOLOGIES PVT LTD</t>
  </si>
  <si>
    <t>GTPL BROADBAND PVT LTD</t>
  </si>
  <si>
    <t>PROTOACT DIGITAL NETWORK PVT LTD</t>
  </si>
  <si>
    <t>NAINITAL BANK LTD</t>
  </si>
  <si>
    <t>SUBSPACE  COMMUNICATION LLC</t>
  </si>
  <si>
    <t>NEEL METAL PRODUCTS LTD(JBM)</t>
  </si>
  <si>
    <t>GOOGLE INDIA PVT LTD(DEL-03 Google)</t>
  </si>
  <si>
    <t xml:space="preserve"> GOOGLE INDIA PVT LTD (DEL-12 Google)</t>
  </si>
  <si>
    <t>ANI NETWORK PVT LTD</t>
  </si>
  <si>
    <t>L6-F-25</t>
  </si>
  <si>
    <t>RAIDEN INFOTECH INDIA PRIVATE LIMITED (DEL-21 Google)</t>
  </si>
  <si>
    <t>L4-E-29</t>
  </si>
  <si>
    <t>D.S. Tech Cyber/ FASUTONETTO SERVICES PRIVATE LIMITED</t>
  </si>
  <si>
    <t>Nexusnet Networks Private Limited/ METANET TELECOMMUNICATIONS</t>
  </si>
  <si>
    <t>ESTO NETWORKS PRIVATE LIMITED/ESTO MEDIA PRIVATE LIMITED</t>
  </si>
  <si>
    <t>ICX Global/ MEGATEL NETWORKS PVT LTD</t>
  </si>
  <si>
    <t>ATRIA CONVERGENCE TECHNOLOGIES LTD/ ACT</t>
  </si>
  <si>
    <t>FIBLIB DIGITAL NETWORKS</t>
  </si>
  <si>
    <t>Shivam Broadband/ARKTEL NETWORKS PVT LTD</t>
  </si>
  <si>
    <t>L7-G-15, L7-G-16, L7-G-17, L7-G-18 &amp; L7-G-19</t>
  </si>
  <si>
    <t>MICRONET GIGAFIBER PRIVATE LIMITED</t>
  </si>
  <si>
    <t>COINGEIT TECHNOLOGIES PRIVATE LIMITED</t>
  </si>
  <si>
    <t>L7-G-25</t>
  </si>
  <si>
    <t>L7-G-26</t>
  </si>
  <si>
    <t>L7-F-00</t>
  </si>
  <si>
    <t xml:space="preserve">NAS Internet </t>
  </si>
  <si>
    <t xml:space="preserve"> L7-F-26 to L7-F-29</t>
  </si>
  <si>
    <t>NO</t>
  </si>
  <si>
    <t>YES</t>
  </si>
  <si>
    <t>MANAGE SERVICES</t>
  </si>
  <si>
    <t>NO/RFP</t>
  </si>
  <si>
    <t>L7-G-27</t>
  </si>
  <si>
    <t xml:space="preserve">DIGITAX INDIA COMMUNICATIONS PRIVATE LIMITED </t>
  </si>
  <si>
    <t>L7-G-28</t>
  </si>
  <si>
    <t>L6D-28,L6-D-27,L6-D-26, L6-D-25, L6-D-24 &amp; L6-E-28,L-6-E-27, L6-E-26,L6-E25, L6-E-24</t>
  </si>
  <si>
    <t>L7-G-29</t>
  </si>
  <si>
    <t>AMITEL INDIA PRIVATE LIMITED</t>
  </si>
  <si>
    <t>L5B-01-01 &amp; L5B-01-02</t>
  </si>
  <si>
    <t>THOUGHTSOL INFOTECH PRIVATE LIMITED</t>
  </si>
  <si>
    <t xml:space="preserve">
L7-D-04</t>
  </si>
  <si>
    <t xml:space="preserve">
L7-F-18</t>
  </si>
  <si>
    <t>L7-F-22</t>
  </si>
  <si>
    <t xml:space="preserve">
L7-D-05</t>
  </si>
  <si>
    <t>My Next Film (2U-3U)</t>
  </si>
  <si>
    <t>BLAZENET LIMITED(8U-9U)</t>
  </si>
  <si>
    <t>FALCONET INTERNET PRIVATE LIMITED(11U)</t>
  </si>
  <si>
    <t>LALAT COMMUNICATIONS(6U)</t>
  </si>
  <si>
    <t>RADINET INFO SOLUTIONS PVT. LTD</t>
  </si>
  <si>
    <t>U Space</t>
  </si>
  <si>
    <t>SWIFTIFY PVT LTD</t>
  </si>
  <si>
    <t>On actual</t>
  </si>
  <si>
    <t>On Actual</t>
  </si>
  <si>
    <t>L7-G-00</t>
  </si>
  <si>
    <t>L5A-07-05, L5A-07-06, L5A-07-07, L5A-06-06, L5A-06-07 &amp; L5A-06-08</t>
  </si>
  <si>
    <t>L5A-07-03</t>
  </si>
  <si>
    <t>L5B-01-07, L5B-01-05 &amp; L5B-06</t>
  </si>
  <si>
    <t>L4-F-29</t>
  </si>
  <si>
    <t>DELACON TECH SOLUTIONS PRIVATE LIMITED</t>
  </si>
  <si>
    <t>ONEOTT INTERTAINMENT LTD</t>
  </si>
  <si>
    <t>L7-F-25</t>
  </si>
  <si>
    <t>L6-D-29</t>
  </si>
  <si>
    <t>PEERCAST TELECOM INDIA PRIVATE LIMITED</t>
  </si>
  <si>
    <t>L7-F-30 &amp; L7-G-30</t>
  </si>
  <si>
    <t>BT GLOBAL COMMUNICATIONS INDIA PVT LTD</t>
  </si>
  <si>
    <t>SPACE WORLD DIGITAL SOLUTIONS PRIVATE LI</t>
  </si>
  <si>
    <t>L7-F-16 &amp; L7-F-17</t>
  </si>
  <si>
    <t>L5B-02-03, L5B-02-04 , L5B-03-04 &amp; L5B-03-05</t>
  </si>
  <si>
    <t>EKAM CONVERGENCE</t>
  </si>
  <si>
    <t>STG SOFTWARE SOLUTION PRIVATE LIMITED</t>
  </si>
  <si>
    <t>NESECURE TELECOM</t>
  </si>
  <si>
    <t xml:space="preserve">SAFEGUARD WORLD PAYROLL SERVICES PRIVATE LIMITED (Name Changed -GLOBAL UPSIDE SERVICES INDIA PVT LTD) </t>
  </si>
  <si>
    <t xml:space="preserve">L7-E-16 TO L7-E-27 &amp; L7-D-16 TO L7-D-27 </t>
  </si>
  <si>
    <t>L7-A-15, L7-A-16, L7-A-17 &amp; L7-A-18</t>
  </si>
  <si>
    <t>RHS/SH</t>
  </si>
  <si>
    <t>L4-E-35</t>
  </si>
  <si>
    <t xml:space="preserve">L4-E-33 </t>
  </si>
  <si>
    <t xml:space="preserve"> L4-E-34</t>
  </si>
  <si>
    <t xml:space="preserve">Telco Room L4 &amp; Network Rack </t>
  </si>
  <si>
    <t>Telco Room L6 &amp; Network Rack</t>
  </si>
  <si>
    <t>Telco Room L7 &amp; Network Rack</t>
  </si>
  <si>
    <t>SKYNET INTERNET BROADBAND</t>
  </si>
  <si>
    <t xml:space="preserve"> L6-D-02</t>
  </si>
  <si>
    <t>L7-E-5</t>
  </si>
  <si>
    <t>DEL1-L4-CC10( 10 Racks)</t>
  </si>
  <si>
    <t>DEL1-L4-CC9( 25 Racks)</t>
  </si>
  <si>
    <t>DEL1-L4-CC6) 60 Racks)</t>
  </si>
  <si>
    <t>L4 (L4-A-29) ( 1 Rack)</t>
  </si>
  <si>
    <t>L4 (L4-B-26 &amp; L4-B-28 &amp; L4-A-26 &amp; L4-B-30) ( 4 Racks)</t>
  </si>
  <si>
    <t>L4 (L4-B-29 &amp; L4-A-28) ( 2 Racks)</t>
  </si>
  <si>
    <t>L7-F-14</t>
  </si>
  <si>
    <t>Praction Network</t>
  </si>
  <si>
    <t>NETPLUS</t>
  </si>
  <si>
    <t>L5A-02-01</t>
  </si>
  <si>
    <t>L5A-01-06</t>
  </si>
  <si>
    <t>Earth Communication</t>
  </si>
  <si>
    <t>L7-A-15, L7-A-16, L7-A-17 , L7-A-18, L7-A-19 &amp; L7-A-20</t>
  </si>
  <si>
    <t>L7-F-27</t>
  </si>
  <si>
    <t xml:space="preserve"> L7-F-26 </t>
  </si>
  <si>
    <t xml:space="preserve">ELYZIUM TECHNOLOGIES PRIVATE LIMITED </t>
  </si>
  <si>
    <t>L6-I-31 , L6-I-33, L6-G-33,L6-G-32 &amp; L6-D-31</t>
  </si>
  <si>
    <t>Server Hall L5A</t>
  </si>
  <si>
    <t xml:space="preserve">Server Hall 5B </t>
  </si>
  <si>
    <t>Sq Ft</t>
  </si>
  <si>
    <t xml:space="preserve">DEL1-L4-CC5 </t>
  </si>
  <si>
    <t>DEL1-L4-CC2</t>
  </si>
  <si>
    <t>DEL1-L6-CC2</t>
  </si>
  <si>
    <t>L7-A-8 TO L7-A-11( L7-101, L7-102,L7-103 &amp; L7-104)</t>
  </si>
  <si>
    <t>Available space</t>
  </si>
  <si>
    <t xml:space="preserve"> Sitting Space (Subscription)</t>
  </si>
  <si>
    <t>L6-D-30</t>
  </si>
  <si>
    <t>TATA Fiber Play  BROADBAND PRIVATE LIMITED</t>
  </si>
  <si>
    <t>Total of 1st Floor</t>
  </si>
  <si>
    <t>Zscaler</t>
  </si>
  <si>
    <t>Optical Cage</t>
  </si>
  <si>
    <t>IP CAGE</t>
  </si>
  <si>
    <t xml:space="preserve"> L7-F-28</t>
  </si>
  <si>
    <t xml:space="preserve"> ESTO MEDIA PRIVATE LIMITED</t>
  </si>
  <si>
    <t>s</t>
  </si>
  <si>
    <t>L7-F-15</t>
  </si>
  <si>
    <t xml:space="preserve">ISHAN NETSOL PVT LTD </t>
  </si>
  <si>
    <t>L6-G-26 to L6-G-33, L6-F-26 to L6-F-33</t>
  </si>
  <si>
    <t>ACRO ENGINEERING</t>
  </si>
  <si>
    <t>Racks</t>
  </si>
  <si>
    <t>L6-G-26, L6-G-27, L6-G-28, L6-G-29, L6-G-30, L6-G-31</t>
  </si>
  <si>
    <r>
      <t>ANONET COMMUNICATIONS PRIVATE LIMITED </t>
    </r>
    <r>
      <rPr>
        <sz val="12"/>
        <color rgb="FF000000"/>
        <rFont val="Times New Roman"/>
        <family val="1"/>
      </rPr>
      <t xml:space="preserve"> </t>
    </r>
  </si>
  <si>
    <t xml:space="preserve"> L6-F-27 to L6-F-33</t>
  </si>
  <si>
    <t xml:space="preserve">Indiabulls Ventures Limited/ SAMMAAN CAPITAL LIMITED. </t>
  </si>
  <si>
    <t xml:space="preserve">IVL Finance Limited / Indiabulls Consumer Finance Limited / SAMMAAN CAPITAL LIMITED. </t>
  </si>
  <si>
    <t xml:space="preserve">Indiabulls Housing Finance Limited / SAMMAAN CAPITAL LIMITED. </t>
  </si>
  <si>
    <t xml:space="preserve">INDIA BULLS HOUSING FINANCE LIMITED / SAMMAAN CAPITAL LIMITED. </t>
  </si>
  <si>
    <t>R P WORLD TELECOM PRIVATE LIMITED ( 33U TO 38 U)</t>
  </si>
  <si>
    <t>Zenlayer ( 26U)</t>
  </si>
  <si>
    <t>REISNET BROADBAND PRIVATE LIMITED ( 5U TO 8U)</t>
  </si>
  <si>
    <t>ADN BROADBAND PRIVATE LIMITED ( 11U TO 13U)</t>
  </si>
  <si>
    <t>IPNET BROADBAND NETWORK PVT LTD ( 29U TO 30U)</t>
  </si>
  <si>
    <t>SHIVTEL COMMUNICATIONS PRIVATE LIMITE ( 15 U TO 20U)</t>
  </si>
  <si>
    <t>Haryana Central Excise project / Wipro Limited</t>
  </si>
  <si>
    <t>ONEXTEL</t>
  </si>
  <si>
    <t>INDINET SERVICE PRIVATE LIMITED( 7U TO 8U)</t>
  </si>
  <si>
    <t>Netskope INC/ Netskope Software India Private Limited</t>
  </si>
  <si>
    <t>WIPRO Limited / NABARD</t>
  </si>
  <si>
    <t>SPIDER  LINK ( 4U and 6U TO 7U)</t>
  </si>
  <si>
    <t xml:space="preserve">ULTRANET SERVICES PVT LTD </t>
  </si>
  <si>
    <t>MYLINK SERVICES PVT LTD ( 20U) (22U)</t>
  </si>
  <si>
    <t>GOOGLE INDIA PVT LTD ( 903)</t>
  </si>
  <si>
    <t xml:space="preserve">JOY DATA SERVICES </t>
  </si>
  <si>
    <t>INFOLINK BROADBAND SERVICES PRIVATE LIMITED</t>
  </si>
  <si>
    <t>L4-E-28</t>
  </si>
  <si>
    <t>L4-F-24</t>
  </si>
  <si>
    <t>EDGEREDE PRIVATE LIMITED</t>
  </si>
  <si>
    <t>STARTREK TELECOM LTD</t>
  </si>
  <si>
    <t>L7-G-14</t>
  </si>
  <si>
    <t>DBYTE FACILITY NETWORK PVT. LTD. (Space 32U - 35U)</t>
  </si>
  <si>
    <t>SYNCEVO TECHNOLOGIES PRIVATE LIMITED</t>
  </si>
  <si>
    <t>L7-F-29</t>
  </si>
  <si>
    <t xml:space="preserve"> L5A-01-11</t>
  </si>
  <si>
    <t xml:space="preserve">L5A-01-10 </t>
  </si>
  <si>
    <t xml:space="preserve">NXTRA DATA LIMITED </t>
  </si>
  <si>
    <t>L5B-01-09</t>
  </si>
  <si>
    <t>L4-F-26 &amp; L4-F-27</t>
  </si>
  <si>
    <t xml:space="preserve">Zenlayer </t>
  </si>
  <si>
    <t>IR DATE</t>
  </si>
  <si>
    <t>Faridabad Netcom</t>
  </si>
  <si>
    <t>CORONET CORPORATION LIMITED ( 10U TO 14U)</t>
  </si>
  <si>
    <t>TEXES CONNECT PRIVATE LIMITE</t>
  </si>
  <si>
    <t>Geocity Network/ Bhartiya Net</t>
  </si>
  <si>
    <t>L5A-01-11</t>
  </si>
  <si>
    <t>VELOCITY SIGNALS PRIVATE LIMITED</t>
  </si>
  <si>
    <t>DE CIX Interwire Internet Services Private Limited</t>
  </si>
  <si>
    <t>SHIVTEL COMMUNICATIONS PRIVATE LIMITED</t>
  </si>
  <si>
    <t>DEVDARPAN BROADBAND PRIVATE LIMITED (35U TO 36U)</t>
  </si>
  <si>
    <t>VANSHIKA INFOTECH</t>
  </si>
  <si>
    <t>Total of 2nd  Floor</t>
  </si>
  <si>
    <t>OCI</t>
  </si>
  <si>
    <t xml:space="preserve">L2 FLOOR </t>
  </si>
  <si>
    <t>EXTREME CABLES AND BROADBAND  (08U-09U)</t>
  </si>
  <si>
    <t>L5A-02-10</t>
  </si>
  <si>
    <t>L5B-01-14</t>
  </si>
  <si>
    <t>L5B-01-13</t>
  </si>
  <si>
    <t>CYBER24 TECHNOLOGIES PRIVATE LIMITED</t>
  </si>
  <si>
    <t>UNcaged</t>
  </si>
  <si>
    <t>L5A-05-09 &amp; L5A-05-10</t>
  </si>
  <si>
    <t>L5A-05-08</t>
  </si>
  <si>
    <t>CATO</t>
  </si>
  <si>
    <t>Greenmax Technologies Ltd 15U</t>
  </si>
  <si>
    <t>UMBRELLA CABLE SYSTEMS PRIVATE LIMITED 14-15U</t>
  </si>
  <si>
    <t>Bundal Metered</t>
  </si>
  <si>
    <t>Telcom L5 &amp;  Network Rack</t>
  </si>
  <si>
    <t>L5B-02-05, L5B-02-06  &amp; L5B-03-06</t>
  </si>
  <si>
    <t>L5A-03-10</t>
  </si>
  <si>
    <t>Total of 8th  Floor</t>
  </si>
  <si>
    <t>Fastly</t>
  </si>
  <si>
    <t>Chi Network</t>
  </si>
  <si>
    <t>NOI02 -TB-L8 -A-20  NOI02 -TB-L8 -A-21</t>
  </si>
  <si>
    <t>Server HALL L8</t>
  </si>
  <si>
    <t xml:space="preserve">L4-B-01 &amp; L4-B-02 </t>
  </si>
  <si>
    <t>G.N Electronics</t>
  </si>
  <si>
    <t>L7-F-18</t>
  </si>
  <si>
    <t>NOI-TB-L1-A-03 TO NOI-TB-L1-A-13                                  NOI-TB-L1-B-01 TO NOI-TB-L1-B-08                                            NOI-TB-L1-B-11 TO NOI-TB-L1-B-13</t>
  </si>
  <si>
    <t>NOI-TB-L1-C-03 TO NOI-TB-L1-C-07                                               NOI-TB-L1-D-03 TO NOI-TB-L1-D-07</t>
  </si>
  <si>
    <t xml:space="preserve">NOI-TB-L1-A-15 TO NOI-TB-L1-A-17                                  </t>
  </si>
  <si>
    <t>NOI-TB-L1-B-15 TO NOI-TB-L1-B-16</t>
  </si>
  <si>
    <t>NOI02 -TB-L8 -B-19  NOI02 -TB-L8 -B-23</t>
  </si>
  <si>
    <t xml:space="preserve">14000 KVA </t>
  </si>
  <si>
    <t>From L7 To L6 &amp; l5 =150 KVA L6+ 120 KVA L5</t>
  </si>
  <si>
    <t>L6-F-24</t>
  </si>
  <si>
    <t>Noida 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</si>
</sst>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_);[Red]\(0.00\)"/>
    <numFmt numFmtId="167" formatCode="0_);[Red]\(0\)"/>
    <numFmt numFmtId="168" formatCode="_ [$₹-4009]\ * #,##0_ ;_ [$₹-4009]\ * \-#,##0_ ;_ [$₹-4009]\ * &quot;-&quot;??_ ;_ @_ "/>
    <numFmt numFmtId="169" formatCode="_ [$₹-4009]\ * #,##0.00_ ;_ [$₹-4009]\ * \-#,##0.00_ ;_ [$₹-4009]\ * &quot;-&quot;??_ ;_ @_ "/>
    <numFmt numFmtId="170" formatCode="_-[$$-409]* #,##0_ ;_-[$$-409]* \-#,##0\ ;_-[$$-409]* &quot;-&quot;_ ;_-@_ "/>
  </numFmts>
  <fonts count="52" x14ac:knownFonts="1"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charset val="1"/>
    </font>
    <font>
      <u/>
      <sz val="11"/>
      <color theme="10"/>
      <name val="Calibri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30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8"/>
      <name val="Trebuchet MS"/>
      <family val="2"/>
    </font>
    <font>
      <sz val="1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</font>
    <font>
      <b/>
      <sz val="6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sz val="6"/>
      <color indexed="8"/>
      <name val="Calibri"/>
      <family val="2"/>
    </font>
    <font>
      <b/>
      <sz val="10"/>
      <color theme="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5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theme="8" tint="0.39997558519241921"/>
        <bgColor indexed="22"/>
      </patternFill>
    </fill>
    <fill>
      <patternFill patternType="solid">
        <fgColor indexed="50"/>
        <bgColor indexed="22"/>
      </patternFill>
    </fill>
    <fill>
      <patternFill patternType="solid">
        <fgColor indexed="9"/>
        <bgColor indexed="8"/>
      </patternFill>
    </fill>
    <fill>
      <patternFill patternType="solid">
        <fgColor indexed="17"/>
        <bgColor indexed="22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rgb="FF00B050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2"/>
      </patternFill>
    </fill>
    <fill>
      <patternFill patternType="solid">
        <fgColor rgb="FF00B0F0"/>
        <bgColor indexed="8"/>
      </patternFill>
    </fill>
    <fill>
      <patternFill patternType="solid">
        <fgColor rgb="FF00B0F0"/>
        <bgColor rgb="FFF2F2F2"/>
      </patternFill>
    </fill>
    <fill>
      <patternFill patternType="solid">
        <fgColor theme="0"/>
        <bgColor indexed="8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90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1" fillId="0" borderId="0"/>
    <xf numFmtId="0" fontId="21" fillId="23" borderId="7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1" fillId="0" borderId="0"/>
    <xf numFmtId="0" fontId="2" fillId="0" borderId="0"/>
    <xf numFmtId="0" fontId="34" fillId="0" borderId="0"/>
    <xf numFmtId="0" fontId="35" fillId="0" borderId="0"/>
    <xf numFmtId="9" fontId="21" fillId="0" borderId="0" applyFont="0" applyFill="0" applyBorder="0" applyAlignment="0" applyProtection="0"/>
    <xf numFmtId="0" fontId="25" fillId="0" borderId="0"/>
    <xf numFmtId="0" fontId="39" fillId="0" borderId="0"/>
    <xf numFmtId="0" fontId="29" fillId="0" borderId="0"/>
    <xf numFmtId="0" fontId="7" fillId="20" borderId="51" applyNumberFormat="0" applyAlignment="0" applyProtection="0"/>
    <xf numFmtId="0" fontId="14" fillId="7" borderId="51" applyNumberFormat="0" applyAlignment="0" applyProtection="0"/>
    <xf numFmtId="0" fontId="21" fillId="23" borderId="52" applyNumberFormat="0" applyAlignment="0" applyProtection="0"/>
    <xf numFmtId="0" fontId="17" fillId="20" borderId="53" applyNumberFormat="0" applyAlignment="0" applyProtection="0"/>
    <xf numFmtId="0" fontId="19" fillId="0" borderId="54" applyNumberFormat="0" applyFill="0" applyAlignment="0" applyProtection="0"/>
    <xf numFmtId="0" fontId="1" fillId="0" borderId="0"/>
    <xf numFmtId="43" fontId="2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25" fillId="0" borderId="0"/>
  </cellStyleXfs>
  <cellXfs count="576">
    <xf numFmtId="0" fontId="0" fillId="0" borderId="0" xfId="0"/>
    <xf numFmtId="2" fontId="31" fillId="25" borderId="0" xfId="68" applyNumberFormat="1" applyFont="1" applyFill="1" applyAlignment="1">
      <alignment horizontal="center" vertical="center"/>
    </xf>
    <xf numFmtId="165" fontId="31" fillId="25" borderId="0" xfId="66" applyNumberFormat="1" applyFont="1" applyFill="1" applyBorder="1" applyAlignment="1">
      <alignment horizontal="center" vertical="center"/>
    </xf>
    <xf numFmtId="0" fontId="37" fillId="24" borderId="0" xfId="29" applyFont="1" applyFill="1" applyAlignment="1">
      <alignment vertical="center"/>
    </xf>
    <xf numFmtId="2" fontId="37" fillId="24" borderId="0" xfId="28" applyNumberFormat="1" applyFont="1" applyFill="1" applyAlignment="1">
      <alignment vertical="center"/>
    </xf>
    <xf numFmtId="0" fontId="37" fillId="24" borderId="0" xfId="28" applyFont="1" applyFill="1" applyAlignment="1">
      <alignment vertical="center"/>
    </xf>
    <xf numFmtId="166" fontId="37" fillId="24" borderId="0" xfId="28" applyNumberFormat="1" applyFont="1" applyFill="1" applyAlignment="1">
      <alignment vertical="center"/>
    </xf>
    <xf numFmtId="0" fontId="36" fillId="24" borderId="0" xfId="29" applyFont="1" applyFill="1" applyAlignment="1">
      <alignment vertical="center"/>
    </xf>
    <xf numFmtId="0" fontId="37" fillId="24" borderId="0" xfId="28" applyFont="1" applyFill="1" applyAlignment="1">
      <alignment horizontal="left" vertical="center"/>
    </xf>
    <xf numFmtId="2" fontId="37" fillId="24" borderId="0" xfId="29" applyNumberFormat="1" applyFont="1" applyFill="1" applyAlignment="1">
      <alignment vertical="center"/>
    </xf>
    <xf numFmtId="165" fontId="37" fillId="24" borderId="0" xfId="66" applyNumberFormat="1" applyFont="1" applyFill="1" applyBorder="1" applyAlignment="1">
      <alignment vertical="center"/>
    </xf>
    <xf numFmtId="0" fontId="28" fillId="24" borderId="0" xfId="29" applyFont="1" applyFill="1" applyAlignment="1">
      <alignment vertical="center"/>
    </xf>
    <xf numFmtId="166" fontId="37" fillId="24" borderId="0" xfId="29" applyNumberFormat="1" applyFont="1" applyFill="1" applyAlignment="1">
      <alignment vertical="center"/>
    </xf>
    <xf numFmtId="2" fontId="37" fillId="24" borderId="0" xfId="29" applyNumberFormat="1" applyFont="1" applyFill="1" applyAlignment="1">
      <alignment horizontal="center" vertical="center"/>
    </xf>
    <xf numFmtId="166" fontId="37" fillId="24" borderId="0" xfId="68" applyNumberFormat="1" applyFont="1" applyFill="1" applyAlignment="1">
      <alignment vertical="center"/>
    </xf>
    <xf numFmtId="2" fontId="37" fillId="24" borderId="0" xfId="68" applyNumberFormat="1" applyFont="1" applyFill="1" applyAlignment="1">
      <alignment horizontal="center" vertical="center"/>
    </xf>
    <xf numFmtId="0" fontId="37" fillId="38" borderId="0" xfId="28" applyFont="1" applyFill="1" applyAlignment="1">
      <alignment vertical="center"/>
    </xf>
    <xf numFmtId="2" fontId="37" fillId="24" borderId="0" xfId="28" applyNumberFormat="1" applyFont="1" applyFill="1" applyAlignment="1">
      <alignment horizontal="center" vertical="center"/>
    </xf>
    <xf numFmtId="2" fontId="31" fillId="26" borderId="0" xfId="68" applyNumberFormat="1" applyFont="1" applyFill="1" applyAlignment="1">
      <alignment horizontal="center" vertical="center"/>
    </xf>
    <xf numFmtId="165" fontId="31" fillId="26" borderId="0" xfId="66" applyNumberFormat="1" applyFont="1" applyFill="1" applyBorder="1" applyAlignment="1">
      <alignment horizontal="center" vertical="center"/>
    </xf>
    <xf numFmtId="2" fontId="31" fillId="25" borderId="0" xfId="68" applyNumberFormat="1" applyFont="1" applyFill="1" applyAlignment="1">
      <alignment horizontal="left" vertical="center"/>
    </xf>
    <xf numFmtId="9" fontId="37" fillId="24" borderId="0" xfId="75" applyFont="1" applyFill="1" applyBorder="1" applyAlignment="1">
      <alignment horizontal="center" vertical="center"/>
    </xf>
    <xf numFmtId="169" fontId="31" fillId="29" borderId="10" xfId="31" applyNumberFormat="1" applyFont="1" applyFill="1" applyBorder="1" applyAlignment="1">
      <alignment horizontal="center" vertical="center" wrapText="1"/>
    </xf>
    <xf numFmtId="0" fontId="31" fillId="25" borderId="10" xfId="28" applyFont="1" applyFill="1" applyBorder="1" applyAlignment="1">
      <alignment vertical="center" wrapText="1"/>
    </xf>
    <xf numFmtId="0" fontId="31" fillId="25" borderId="10" xfId="28" applyFont="1" applyFill="1" applyBorder="1" applyAlignment="1">
      <alignment vertical="center"/>
    </xf>
    <xf numFmtId="168" fontId="31" fillId="25" borderId="10" xfId="28" applyNumberFormat="1" applyFont="1" applyFill="1" applyBorder="1" applyAlignment="1">
      <alignment vertical="center"/>
    </xf>
    <xf numFmtId="168" fontId="0" fillId="0" borderId="10" xfId="0" applyNumberFormat="1" applyBorder="1"/>
    <xf numFmtId="165" fontId="31" fillId="25" borderId="10" xfId="66" applyNumberFormat="1" applyFont="1" applyFill="1" applyBorder="1" applyAlignment="1">
      <alignment vertical="center"/>
    </xf>
    <xf numFmtId="165" fontId="37" fillId="24" borderId="0" xfId="28" applyNumberFormat="1" applyFont="1" applyFill="1" applyAlignment="1">
      <alignment vertical="center"/>
    </xf>
    <xf numFmtId="168" fontId="31" fillId="25" borderId="11" xfId="28" applyNumberFormat="1" applyFont="1" applyFill="1" applyBorder="1" applyAlignment="1">
      <alignment vertical="center"/>
    </xf>
    <xf numFmtId="0" fontId="37" fillId="24" borderId="14" xfId="28" applyFont="1" applyFill="1" applyBorder="1" applyAlignment="1">
      <alignment horizontal="left" vertical="center" wrapText="1"/>
    </xf>
    <xf numFmtId="0" fontId="37" fillId="24" borderId="15" xfId="31" applyFont="1" applyFill="1" applyBorder="1" applyAlignment="1">
      <alignment horizontal="center" vertical="center"/>
    </xf>
    <xf numFmtId="0" fontId="37" fillId="0" borderId="15" xfId="31" applyFont="1" applyBorder="1" applyAlignment="1">
      <alignment horizontal="center" vertical="center" wrapText="1"/>
    </xf>
    <xf numFmtId="0" fontId="37" fillId="35" borderId="15" xfId="31" applyFont="1" applyFill="1" applyBorder="1" applyAlignment="1">
      <alignment horizontal="center" vertical="center" wrapText="1"/>
    </xf>
    <xf numFmtId="2" fontId="37" fillId="35" borderId="15" xfId="31" applyNumberFormat="1" applyFont="1" applyFill="1" applyBorder="1" applyAlignment="1">
      <alignment horizontal="center" vertical="center" wrapText="1"/>
    </xf>
    <xf numFmtId="167" fontId="37" fillId="35" borderId="15" xfId="31" applyNumberFormat="1" applyFont="1" applyFill="1" applyBorder="1" applyAlignment="1">
      <alignment horizontal="center" vertical="center" wrapText="1"/>
    </xf>
    <xf numFmtId="0" fontId="28" fillId="24" borderId="0" xfId="28" applyFont="1" applyFill="1" applyAlignment="1">
      <alignment vertical="center"/>
    </xf>
    <xf numFmtId="168" fontId="41" fillId="25" borderId="11" xfId="28" applyNumberFormat="1" applyFont="1" applyFill="1" applyBorder="1" applyAlignment="1">
      <alignment vertical="center"/>
    </xf>
    <xf numFmtId="168" fontId="41" fillId="25" borderId="10" xfId="28" applyNumberFormat="1" applyFont="1" applyFill="1" applyBorder="1" applyAlignment="1">
      <alignment vertical="center"/>
    </xf>
    <xf numFmtId="168" fontId="42" fillId="0" borderId="10" xfId="0" applyNumberFormat="1" applyFont="1" applyBorder="1"/>
    <xf numFmtId="165" fontId="41" fillId="25" borderId="10" xfId="66" applyNumberFormat="1" applyFont="1" applyFill="1" applyBorder="1" applyAlignment="1">
      <alignment vertical="center"/>
    </xf>
    <xf numFmtId="0" fontId="28" fillId="38" borderId="0" xfId="28" applyFont="1" applyFill="1" applyAlignment="1">
      <alignment vertical="center"/>
    </xf>
    <xf numFmtId="168" fontId="37" fillId="35" borderId="15" xfId="31" applyNumberFormat="1" applyFont="1" applyFill="1" applyBorder="1" applyAlignment="1">
      <alignment horizontal="center" vertical="center" wrapText="1"/>
    </xf>
    <xf numFmtId="2" fontId="37" fillId="24" borderId="15" xfId="29" applyNumberFormat="1" applyFont="1" applyFill="1" applyBorder="1" applyAlignment="1">
      <alignment horizontal="center" vertical="center"/>
    </xf>
    <xf numFmtId="0" fontId="28" fillId="0" borderId="15" xfId="31" applyFont="1" applyBorder="1" applyAlignment="1">
      <alignment horizontal="center" vertical="center" wrapText="1"/>
    </xf>
    <xf numFmtId="2" fontId="33" fillId="36" borderId="15" xfId="31" applyNumberFormat="1" applyFont="1" applyFill="1" applyBorder="1" applyAlignment="1">
      <alignment horizontal="center" vertical="center" wrapText="1"/>
    </xf>
    <xf numFmtId="166" fontId="37" fillId="35" borderId="15" xfId="31" applyNumberFormat="1" applyFont="1" applyFill="1" applyBorder="1" applyAlignment="1">
      <alignment horizontal="center" vertical="center" wrapText="1"/>
    </xf>
    <xf numFmtId="168" fontId="31" fillId="33" borderId="15" xfId="66" applyNumberFormat="1" applyFont="1" applyFill="1" applyBorder="1" applyAlignment="1">
      <alignment horizontal="center" vertical="center" wrapText="1"/>
    </xf>
    <xf numFmtId="2" fontId="37" fillId="24" borderId="15" xfId="68" applyNumberFormat="1" applyFont="1" applyFill="1" applyBorder="1" applyAlignment="1">
      <alignment horizontal="center" vertical="center"/>
    </xf>
    <xf numFmtId="169" fontId="37" fillId="35" borderId="15" xfId="31" applyNumberFormat="1" applyFont="1" applyFill="1" applyBorder="1" applyAlignment="1">
      <alignment horizontal="center" vertical="center" wrapText="1"/>
    </xf>
    <xf numFmtId="165" fontId="37" fillId="35" borderId="15" xfId="66" applyNumberFormat="1" applyFont="1" applyFill="1" applyBorder="1" applyAlignment="1">
      <alignment horizontal="center" vertical="center" wrapText="1"/>
    </xf>
    <xf numFmtId="0" fontId="37" fillId="24" borderId="15" xfId="31" applyFont="1" applyFill="1" applyBorder="1" applyAlignment="1">
      <alignment horizontal="left" vertical="center"/>
    </xf>
    <xf numFmtId="168" fontId="37" fillId="38" borderId="15" xfId="66" applyNumberFormat="1" applyFont="1" applyFill="1" applyBorder="1" applyAlignment="1">
      <alignment vertical="center"/>
    </xf>
    <xf numFmtId="168" fontId="37" fillId="24" borderId="15" xfId="66" applyNumberFormat="1" applyFont="1" applyFill="1" applyBorder="1" applyAlignment="1">
      <alignment vertical="center"/>
    </xf>
    <xf numFmtId="168" fontId="37" fillId="24" borderId="15" xfId="28" applyNumberFormat="1" applyFont="1" applyFill="1" applyBorder="1" applyAlignment="1">
      <alignment vertical="center"/>
    </xf>
    <xf numFmtId="168" fontId="36" fillId="38" borderId="15" xfId="66" applyNumberFormat="1" applyFont="1" applyFill="1" applyBorder="1" applyAlignment="1">
      <alignment vertical="center"/>
    </xf>
    <xf numFmtId="0" fontId="40" fillId="24" borderId="15" xfId="28" applyFont="1" applyFill="1" applyBorder="1" applyAlignment="1">
      <alignment horizontal="left" vertical="center"/>
    </xf>
    <xf numFmtId="17" fontId="40" fillId="24" borderId="15" xfId="28" applyNumberFormat="1" applyFont="1" applyFill="1" applyBorder="1" applyAlignment="1">
      <alignment horizontal="left" vertical="center"/>
    </xf>
    <xf numFmtId="0" fontId="40" fillId="24" borderId="15" xfId="28" applyFont="1" applyFill="1" applyBorder="1" applyAlignment="1">
      <alignment horizontal="center" vertical="center"/>
    </xf>
    <xf numFmtId="168" fontId="31" fillId="25" borderId="15" xfId="28" applyNumberFormat="1" applyFont="1" applyFill="1" applyBorder="1" applyAlignment="1">
      <alignment vertical="center"/>
    </xf>
    <xf numFmtId="168" fontId="0" fillId="0" borderId="15" xfId="0" applyNumberFormat="1" applyBorder="1"/>
    <xf numFmtId="165" fontId="31" fillId="25" borderId="15" xfId="66" applyNumberFormat="1" applyFont="1" applyFill="1" applyBorder="1" applyAlignment="1">
      <alignment vertical="center"/>
    </xf>
    <xf numFmtId="0" fontId="28" fillId="24" borderId="15" xfId="28" applyFont="1" applyFill="1" applyBorder="1" applyAlignment="1">
      <alignment horizontal="left" vertical="center" wrapText="1"/>
    </xf>
    <xf numFmtId="17" fontId="28" fillId="24" borderId="15" xfId="28" applyNumberFormat="1" applyFont="1" applyFill="1" applyBorder="1" applyAlignment="1">
      <alignment horizontal="left" vertical="center"/>
    </xf>
    <xf numFmtId="0" fontId="28" fillId="24" borderId="15" xfId="28" applyFont="1" applyFill="1" applyBorder="1" applyAlignment="1">
      <alignment horizontal="center" vertical="center"/>
    </xf>
    <xf numFmtId="2" fontId="28" fillId="42" borderId="15" xfId="31" applyNumberFormat="1" applyFont="1" applyFill="1" applyBorder="1" applyAlignment="1">
      <alignment horizontal="center" vertical="center" wrapText="1"/>
    </xf>
    <xf numFmtId="2" fontId="33" fillId="42" borderId="15" xfId="31" applyNumberFormat="1" applyFont="1" applyFill="1" applyBorder="1" applyAlignment="1">
      <alignment horizontal="center" vertical="center" wrapText="1"/>
    </xf>
    <xf numFmtId="0" fontId="37" fillId="24" borderId="15" xfId="28" applyFont="1" applyFill="1" applyBorder="1" applyAlignment="1">
      <alignment horizontal="left" vertical="center" wrapText="1"/>
    </xf>
    <xf numFmtId="17" fontId="37" fillId="24" borderId="15" xfId="28" applyNumberFormat="1" applyFont="1" applyFill="1" applyBorder="1" applyAlignment="1">
      <alignment horizontal="left" vertical="center"/>
    </xf>
    <xf numFmtId="0" fontId="37" fillId="24" borderId="15" xfId="28" applyFont="1" applyFill="1" applyBorder="1" applyAlignment="1">
      <alignment horizontal="center" vertical="center"/>
    </xf>
    <xf numFmtId="0" fontId="37" fillId="24" borderId="15" xfId="28" applyFont="1" applyFill="1" applyBorder="1" applyAlignment="1">
      <alignment vertical="center"/>
    </xf>
    <xf numFmtId="168" fontId="31" fillId="25" borderId="0" xfId="28" applyNumberFormat="1" applyFont="1" applyFill="1" applyAlignment="1">
      <alignment vertical="center"/>
    </xf>
    <xf numFmtId="168" fontId="0" fillId="0" borderId="0" xfId="0" applyNumberFormat="1"/>
    <xf numFmtId="165" fontId="31" fillId="25" borderId="0" xfId="66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36" fillId="24" borderId="14" xfId="29" applyNumberFormat="1" applyFont="1" applyFill="1" applyBorder="1" applyAlignment="1">
      <alignment horizontal="center" vertical="center" wrapText="1"/>
    </xf>
    <xf numFmtId="2" fontId="36" fillId="24" borderId="14" xfId="29" applyNumberFormat="1" applyFont="1" applyFill="1" applyBorder="1" applyAlignment="1">
      <alignment horizontal="left" vertical="center" wrapText="1"/>
    </xf>
    <xf numFmtId="2" fontId="37" fillId="24" borderId="14" xfId="28" applyNumberFormat="1" applyFont="1" applyFill="1" applyBorder="1" applyAlignment="1">
      <alignment horizontal="left" vertical="center" wrapText="1"/>
    </xf>
    <xf numFmtId="2" fontId="37" fillId="24" borderId="0" xfId="28" applyNumberFormat="1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2" fontId="36" fillId="24" borderId="0" xfId="28" applyNumberFormat="1" applyFont="1" applyFill="1" applyAlignment="1">
      <alignment vertical="center" wrapText="1"/>
    </xf>
    <xf numFmtId="0" fontId="33" fillId="0" borderId="15" xfId="31" applyFont="1" applyBorder="1" applyAlignment="1">
      <alignment horizontal="center" vertical="center" wrapText="1"/>
    </xf>
    <xf numFmtId="2" fontId="36" fillId="24" borderId="15" xfId="29" applyNumberFormat="1" applyFont="1" applyFill="1" applyBorder="1" applyAlignment="1">
      <alignment horizontal="center" vertical="center" wrapText="1"/>
    </xf>
    <xf numFmtId="2" fontId="36" fillId="24" borderId="15" xfId="29" applyNumberFormat="1" applyFont="1" applyFill="1" applyBorder="1" applyAlignment="1">
      <alignment horizontal="left" vertical="center" wrapText="1"/>
    </xf>
    <xf numFmtId="2" fontId="36" fillId="24" borderId="12" xfId="29" applyNumberFormat="1" applyFont="1" applyFill="1" applyBorder="1" applyAlignment="1">
      <alignment horizontal="center" vertical="center" wrapText="1"/>
    </xf>
    <xf numFmtId="0" fontId="37" fillId="24" borderId="15" xfId="28" applyFont="1" applyFill="1" applyBorder="1" applyAlignment="1">
      <alignment horizontal="left" vertical="center"/>
    </xf>
    <xf numFmtId="2" fontId="36" fillId="24" borderId="18" xfId="29" applyNumberFormat="1" applyFont="1" applyFill="1" applyBorder="1" applyAlignment="1">
      <alignment horizontal="center" vertical="center" wrapText="1"/>
    </xf>
    <xf numFmtId="2" fontId="36" fillId="24" borderId="18" xfId="29" applyNumberFormat="1" applyFont="1" applyFill="1" applyBorder="1" applyAlignment="1">
      <alignment horizontal="left" vertical="center" wrapText="1"/>
    </xf>
    <xf numFmtId="2" fontId="36" fillId="24" borderId="23" xfId="29" applyNumberFormat="1" applyFont="1" applyFill="1" applyBorder="1" applyAlignment="1">
      <alignment horizontal="left" vertical="center" wrapText="1"/>
    </xf>
    <xf numFmtId="0" fontId="37" fillId="24" borderId="23" xfId="28" applyFont="1" applyFill="1" applyBorder="1" applyAlignment="1">
      <alignment vertical="center"/>
    </xf>
    <xf numFmtId="2" fontId="36" fillId="24" borderId="16" xfId="29" applyNumberFormat="1" applyFont="1" applyFill="1" applyBorder="1" applyAlignment="1">
      <alignment horizontal="center" vertical="center" wrapText="1"/>
    </xf>
    <xf numFmtId="2" fontId="37" fillId="24" borderId="14" xfId="29" applyNumberFormat="1" applyFont="1" applyFill="1" applyBorder="1" applyAlignment="1">
      <alignment horizontal="center" vertical="center" wrapText="1"/>
    </xf>
    <xf numFmtId="2" fontId="37" fillId="24" borderId="15" xfId="29" applyNumberFormat="1" applyFont="1" applyFill="1" applyBorder="1" applyAlignment="1">
      <alignment horizontal="center" vertical="center" wrapText="1"/>
    </xf>
    <xf numFmtId="0" fontId="46" fillId="24" borderId="13" xfId="29" applyFont="1" applyFill="1" applyBorder="1" applyAlignment="1">
      <alignment horizontal="center" vertical="center" wrapText="1"/>
    </xf>
    <xf numFmtId="2" fontId="46" fillId="24" borderId="13" xfId="29" applyNumberFormat="1" applyFont="1" applyFill="1" applyBorder="1" applyAlignment="1">
      <alignment horizontal="left" vertical="center" wrapText="1"/>
    </xf>
    <xf numFmtId="2" fontId="47" fillId="24" borderId="13" xfId="28" applyNumberFormat="1" applyFont="1" applyFill="1" applyBorder="1" applyAlignment="1">
      <alignment horizontal="left" vertical="center" wrapText="1"/>
    </xf>
    <xf numFmtId="2" fontId="47" fillId="24" borderId="0" xfId="28" applyNumberFormat="1" applyFont="1" applyFill="1" applyAlignment="1">
      <alignment horizontal="left" vertical="center" wrapText="1"/>
    </xf>
    <xf numFmtId="0" fontId="48" fillId="0" borderId="0" xfId="0" applyFont="1" applyAlignment="1">
      <alignment horizontal="left" wrapText="1"/>
    </xf>
    <xf numFmtId="0" fontId="37" fillId="24" borderId="14" xfId="28" applyFont="1" applyFill="1" applyBorder="1" applyAlignment="1">
      <alignment vertical="center" wrapText="1"/>
    </xf>
    <xf numFmtId="0" fontId="37" fillId="24" borderId="15" xfId="28" applyFont="1" applyFill="1" applyBorder="1" applyAlignment="1">
      <alignment vertical="center" wrapText="1"/>
    </xf>
    <xf numFmtId="2" fontId="37" fillId="24" borderId="14" xfId="28" applyNumberFormat="1" applyFont="1" applyFill="1" applyBorder="1" applyAlignment="1">
      <alignment vertical="center" wrapText="1"/>
    </xf>
    <xf numFmtId="2" fontId="37" fillId="24" borderId="0" xfId="28" applyNumberFormat="1" applyFont="1" applyFill="1" applyAlignment="1">
      <alignment vertical="center" wrapText="1"/>
    </xf>
    <xf numFmtId="0" fontId="36" fillId="24" borderId="22" xfId="29" applyFont="1" applyFill="1" applyBorder="1" applyAlignment="1">
      <alignment horizontal="left" vertical="center" wrapText="1"/>
    </xf>
    <xf numFmtId="0" fontId="36" fillId="24" borderId="22" xfId="29" applyFont="1" applyFill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 wrapText="1"/>
    </xf>
    <xf numFmtId="0" fontId="36" fillId="24" borderId="27" xfId="29" applyFont="1" applyFill="1" applyBorder="1" applyAlignment="1">
      <alignment horizontal="center" vertical="center" wrapText="1"/>
    </xf>
    <xf numFmtId="0" fontId="37" fillId="24" borderId="28" xfId="28" applyFont="1" applyFill="1" applyBorder="1" applyAlignment="1">
      <alignment vertical="center" wrapText="1"/>
    </xf>
    <xf numFmtId="0" fontId="37" fillId="24" borderId="29" xfId="28" applyFont="1" applyFill="1" applyBorder="1" applyAlignment="1">
      <alignment vertical="center" wrapText="1"/>
    </xf>
    <xf numFmtId="0" fontId="37" fillId="24" borderId="12" xfId="28" applyFont="1" applyFill="1" applyBorder="1" applyAlignment="1">
      <alignment vertical="center" wrapText="1"/>
    </xf>
    <xf numFmtId="2" fontId="37" fillId="24" borderId="12" xfId="28" applyNumberFormat="1" applyFont="1" applyFill="1" applyBorder="1" applyAlignment="1">
      <alignment vertical="center" wrapText="1"/>
    </xf>
    <xf numFmtId="0" fontId="19" fillId="0" borderId="0" xfId="0" applyFont="1" applyAlignment="1">
      <alignment wrapText="1"/>
    </xf>
    <xf numFmtId="0" fontId="37" fillId="24" borderId="14" xfId="29" applyFont="1" applyFill="1" applyBorder="1" applyAlignment="1">
      <alignment horizontal="center" vertical="center" wrapText="1"/>
    </xf>
    <xf numFmtId="2" fontId="36" fillId="40" borderId="34" xfId="29" applyNumberFormat="1" applyFont="1" applyFill="1" applyBorder="1" applyAlignment="1">
      <alignment horizontal="center" vertical="center" wrapText="1"/>
    </xf>
    <xf numFmtId="2" fontId="36" fillId="40" borderId="14" xfId="29" applyNumberFormat="1" applyFont="1" applyFill="1" applyBorder="1" applyAlignment="1">
      <alignment horizontal="center" vertical="center" wrapText="1"/>
    </xf>
    <xf numFmtId="2" fontId="49" fillId="24" borderId="14" xfId="29" applyNumberFormat="1" applyFont="1" applyFill="1" applyBorder="1" applyAlignment="1">
      <alignment horizontal="center" vertical="center" wrapText="1"/>
    </xf>
    <xf numFmtId="2" fontId="49" fillId="24" borderId="14" xfId="31" applyNumberFormat="1" applyFont="1" applyFill="1" applyBorder="1" applyAlignment="1">
      <alignment horizontal="center" vertical="center" wrapText="1"/>
    </xf>
    <xf numFmtId="0" fontId="36" fillId="46" borderId="15" xfId="29" applyFont="1" applyFill="1" applyBorder="1" applyAlignment="1">
      <alignment horizontal="right" vertical="center" wrapText="1"/>
    </xf>
    <xf numFmtId="2" fontId="36" fillId="46" borderId="14" xfId="29" applyNumberFormat="1" applyFont="1" applyFill="1" applyBorder="1" applyAlignment="1">
      <alignment horizontal="center" vertical="center" wrapText="1"/>
    </xf>
    <xf numFmtId="0" fontId="37" fillId="46" borderId="14" xfId="28" applyFont="1" applyFill="1" applyBorder="1" applyAlignment="1">
      <alignment vertical="center" wrapText="1"/>
    </xf>
    <xf numFmtId="2" fontId="36" fillId="46" borderId="15" xfId="29" applyNumberFormat="1" applyFont="1" applyFill="1" applyBorder="1" applyAlignment="1">
      <alignment horizontal="center" vertical="center" wrapText="1"/>
    </xf>
    <xf numFmtId="0" fontId="36" fillId="40" borderId="19" xfId="29" applyFont="1" applyFill="1" applyBorder="1" applyAlignment="1">
      <alignment horizontal="center" vertical="center" wrapText="1"/>
    </xf>
    <xf numFmtId="2" fontId="36" fillId="40" borderId="20" xfId="29" applyNumberFormat="1" applyFont="1" applyFill="1" applyBorder="1" applyAlignment="1">
      <alignment horizontal="center" vertical="center" wrapText="1"/>
    </xf>
    <xf numFmtId="2" fontId="36" fillId="40" borderId="21" xfId="29" applyNumberFormat="1" applyFont="1" applyFill="1" applyBorder="1" applyAlignment="1">
      <alignment horizontal="center" vertical="center" wrapText="1"/>
    </xf>
    <xf numFmtId="0" fontId="36" fillId="40" borderId="33" xfId="29" applyFont="1" applyFill="1" applyBorder="1" applyAlignment="1">
      <alignment horizontal="center" vertical="center" wrapText="1"/>
    </xf>
    <xf numFmtId="0" fontId="36" fillId="40" borderId="34" xfId="28" applyFont="1" applyFill="1" applyBorder="1" applyAlignment="1">
      <alignment vertical="center" wrapText="1"/>
    </xf>
    <xf numFmtId="2" fontId="36" fillId="40" borderId="35" xfId="29" applyNumberFormat="1" applyFont="1" applyFill="1" applyBorder="1" applyAlignment="1">
      <alignment horizontal="center" vertical="center" wrapText="1"/>
    </xf>
    <xf numFmtId="2" fontId="36" fillId="40" borderId="34" xfId="28" applyNumberFormat="1" applyFont="1" applyFill="1" applyBorder="1" applyAlignment="1">
      <alignment vertical="center" wrapText="1"/>
    </xf>
    <xf numFmtId="2" fontId="36" fillId="40" borderId="35" xfId="28" applyNumberFormat="1" applyFont="1" applyFill="1" applyBorder="1" applyAlignment="1">
      <alignment vertical="center" wrapText="1"/>
    </xf>
    <xf numFmtId="2" fontId="36" fillId="46" borderId="34" xfId="29" applyNumberFormat="1" applyFont="1" applyFill="1" applyBorder="1" applyAlignment="1">
      <alignment horizontal="center" vertical="center" wrapText="1"/>
    </xf>
    <xf numFmtId="0" fontId="37" fillId="24" borderId="23" xfId="28" applyFont="1" applyFill="1" applyBorder="1" applyAlignment="1">
      <alignment horizontal="center" vertical="center" wrapText="1"/>
    </xf>
    <xf numFmtId="2" fontId="37" fillId="46" borderId="14" xfId="29" applyNumberFormat="1" applyFont="1" applyFill="1" applyBorder="1" applyAlignment="1">
      <alignment horizontal="center" vertical="center" wrapText="1"/>
    </xf>
    <xf numFmtId="2" fontId="36" fillId="46" borderId="35" xfId="29" applyNumberFormat="1" applyFont="1" applyFill="1" applyBorder="1" applyAlignment="1">
      <alignment horizontal="center" vertical="center" wrapText="1"/>
    </xf>
    <xf numFmtId="0" fontId="37" fillId="41" borderId="15" xfId="31" applyFont="1" applyFill="1" applyBorder="1" applyAlignment="1">
      <alignment horizontal="center" vertical="center" wrapText="1"/>
    </xf>
    <xf numFmtId="168" fontId="37" fillId="35" borderId="15" xfId="66" applyNumberFormat="1" applyFont="1" applyFill="1" applyBorder="1" applyAlignment="1">
      <alignment horizontal="center" vertical="center" wrapText="1"/>
    </xf>
    <xf numFmtId="0" fontId="28" fillId="24" borderId="15" xfId="28" applyFont="1" applyFill="1" applyBorder="1" applyAlignment="1">
      <alignment horizontal="left" vertical="center"/>
    </xf>
    <xf numFmtId="0" fontId="28" fillId="35" borderId="15" xfId="31" applyFont="1" applyFill="1" applyBorder="1" applyAlignment="1">
      <alignment horizontal="center" vertical="center" wrapText="1"/>
    </xf>
    <xf numFmtId="168" fontId="37" fillId="37" borderId="15" xfId="66" applyNumberFormat="1" applyFont="1" applyFill="1" applyBorder="1" applyAlignment="1">
      <alignment horizontal="center" vertical="center" wrapText="1"/>
    </xf>
    <xf numFmtId="168" fontId="37" fillId="37" borderId="15" xfId="31" applyNumberFormat="1" applyFont="1" applyFill="1" applyBorder="1" applyAlignment="1">
      <alignment horizontal="center" vertical="center" wrapText="1"/>
    </xf>
    <xf numFmtId="2" fontId="37" fillId="0" borderId="15" xfId="31" applyNumberFormat="1" applyFont="1" applyBorder="1" applyAlignment="1">
      <alignment horizontal="center" vertical="center" wrapText="1"/>
    </xf>
    <xf numFmtId="169" fontId="37" fillId="0" borderId="15" xfId="31" applyNumberFormat="1" applyFont="1" applyBorder="1" applyAlignment="1">
      <alignment horizontal="center" vertical="center" wrapText="1"/>
    </xf>
    <xf numFmtId="1" fontId="37" fillId="35" borderId="15" xfId="31" applyNumberFormat="1" applyFont="1" applyFill="1" applyBorder="1" applyAlignment="1">
      <alignment horizontal="center" vertical="center" wrapText="1"/>
    </xf>
    <xf numFmtId="0" fontId="37" fillId="37" borderId="15" xfId="31" applyFont="1" applyFill="1" applyBorder="1" applyAlignment="1">
      <alignment horizontal="center" vertical="center" wrapText="1"/>
    </xf>
    <xf numFmtId="0" fontId="37" fillId="39" borderId="15" xfId="31" applyFont="1" applyFill="1" applyBorder="1" applyAlignment="1">
      <alignment horizontal="center" vertical="center" wrapText="1"/>
    </xf>
    <xf numFmtId="0" fontId="38" fillId="41" borderId="15" xfId="31" applyFont="1" applyFill="1" applyBorder="1" applyAlignment="1">
      <alignment horizontal="center" vertical="center" wrapText="1"/>
    </xf>
    <xf numFmtId="0" fontId="37" fillId="40" borderId="15" xfId="31" applyFont="1" applyFill="1" applyBorder="1" applyAlignment="1">
      <alignment horizontal="center" vertical="center" wrapText="1"/>
    </xf>
    <xf numFmtId="0" fontId="36" fillId="35" borderId="15" xfId="31" applyFont="1" applyFill="1" applyBorder="1" applyAlignment="1">
      <alignment horizontal="center" vertical="center" wrapText="1"/>
    </xf>
    <xf numFmtId="167" fontId="36" fillId="35" borderId="15" xfId="31" applyNumberFormat="1" applyFont="1" applyFill="1" applyBorder="1" applyAlignment="1">
      <alignment horizontal="center" vertical="center" wrapText="1"/>
    </xf>
    <xf numFmtId="2" fontId="36" fillId="35" borderId="15" xfId="31" applyNumberFormat="1" applyFont="1" applyFill="1" applyBorder="1" applyAlignment="1">
      <alignment horizontal="center" vertical="center" wrapText="1"/>
    </xf>
    <xf numFmtId="166" fontId="36" fillId="35" borderId="15" xfId="31" applyNumberFormat="1" applyFont="1" applyFill="1" applyBorder="1" applyAlignment="1">
      <alignment horizontal="center" vertical="center" wrapText="1"/>
    </xf>
    <xf numFmtId="168" fontId="36" fillId="35" borderId="15" xfId="66" applyNumberFormat="1" applyFont="1" applyFill="1" applyBorder="1" applyAlignment="1">
      <alignment horizontal="center" vertical="center" wrapText="1"/>
    </xf>
    <xf numFmtId="0" fontId="37" fillId="0" borderId="15" xfId="28" applyFont="1" applyBorder="1" applyAlignment="1">
      <alignment vertical="center"/>
    </xf>
    <xf numFmtId="166" fontId="37" fillId="24" borderId="15" xfId="28" applyNumberFormat="1" applyFont="1" applyFill="1" applyBorder="1" applyAlignment="1">
      <alignment vertical="center"/>
    </xf>
    <xf numFmtId="2" fontId="37" fillId="24" borderId="15" xfId="28" applyNumberFormat="1" applyFont="1" applyFill="1" applyBorder="1" applyAlignment="1">
      <alignment vertical="center"/>
    </xf>
    <xf numFmtId="1" fontId="37" fillId="24" borderId="15" xfId="28" applyNumberFormat="1" applyFont="1" applyFill="1" applyBorder="1" applyAlignment="1">
      <alignment vertical="center"/>
    </xf>
    <xf numFmtId="2" fontId="37" fillId="24" borderId="15" xfId="28" applyNumberFormat="1" applyFont="1" applyFill="1" applyBorder="1" applyAlignment="1">
      <alignment horizontal="center" vertical="center"/>
    </xf>
    <xf numFmtId="165" fontId="37" fillId="24" borderId="15" xfId="66" applyNumberFormat="1" applyFont="1" applyFill="1" applyBorder="1" applyAlignment="1">
      <alignment vertical="center"/>
    </xf>
    <xf numFmtId="170" fontId="37" fillId="35" borderId="15" xfId="31" applyNumberFormat="1" applyFont="1" applyFill="1" applyBorder="1" applyAlignment="1">
      <alignment horizontal="center" vertical="center" wrapText="1"/>
    </xf>
    <xf numFmtId="170" fontId="36" fillId="35" borderId="15" xfId="31" applyNumberFormat="1" applyFont="1" applyFill="1" applyBorder="1" applyAlignment="1">
      <alignment horizontal="center" vertical="center" wrapText="1"/>
    </xf>
    <xf numFmtId="2" fontId="28" fillId="35" borderId="15" xfId="31" applyNumberFormat="1" applyFont="1" applyFill="1" applyBorder="1" applyAlignment="1">
      <alignment horizontal="center" vertical="center" wrapText="1"/>
    </xf>
    <xf numFmtId="17" fontId="37" fillId="24" borderId="15" xfId="28" applyNumberFormat="1" applyFont="1" applyFill="1" applyBorder="1" applyAlignment="1">
      <alignment horizontal="left" vertical="center" wrapText="1"/>
    </xf>
    <xf numFmtId="0" fontId="28" fillId="24" borderId="15" xfId="31" applyFont="1" applyFill="1" applyBorder="1" applyAlignment="1">
      <alignment horizontal="center" vertical="center"/>
    </xf>
    <xf numFmtId="167" fontId="28" fillId="35" borderId="15" xfId="31" applyNumberFormat="1" applyFont="1" applyFill="1" applyBorder="1" applyAlignment="1">
      <alignment horizontal="center" vertical="center" wrapText="1"/>
    </xf>
    <xf numFmtId="168" fontId="28" fillId="35" borderId="15" xfId="31" applyNumberFormat="1" applyFont="1" applyFill="1" applyBorder="1" applyAlignment="1">
      <alignment horizontal="center" vertical="center" wrapText="1"/>
    </xf>
    <xf numFmtId="2" fontId="28" fillId="24" borderId="15" xfId="29" applyNumberFormat="1" applyFont="1" applyFill="1" applyBorder="1" applyAlignment="1">
      <alignment horizontal="center" vertical="center"/>
    </xf>
    <xf numFmtId="166" fontId="28" fillId="35" borderId="15" xfId="31" applyNumberFormat="1" applyFont="1" applyFill="1" applyBorder="1" applyAlignment="1">
      <alignment horizontal="center" vertical="center" wrapText="1"/>
    </xf>
    <xf numFmtId="168" fontId="41" fillId="33" borderId="15" xfId="66" applyNumberFormat="1" applyFont="1" applyFill="1" applyBorder="1" applyAlignment="1">
      <alignment horizontal="center" vertical="center" wrapText="1"/>
    </xf>
    <xf numFmtId="2" fontId="28" fillId="24" borderId="15" xfId="68" applyNumberFormat="1" applyFont="1" applyFill="1" applyBorder="1" applyAlignment="1">
      <alignment horizontal="center" vertical="center"/>
    </xf>
    <xf numFmtId="169" fontId="28" fillId="35" borderId="15" xfId="31" applyNumberFormat="1" applyFont="1" applyFill="1" applyBorder="1" applyAlignment="1">
      <alignment horizontal="center" vertical="center" wrapText="1"/>
    </xf>
    <xf numFmtId="165" fontId="28" fillId="35" borderId="15" xfId="66" applyNumberFormat="1" applyFont="1" applyFill="1" applyBorder="1" applyAlignment="1">
      <alignment horizontal="center" vertical="center" wrapText="1"/>
    </xf>
    <xf numFmtId="0" fontId="28" fillId="24" borderId="15" xfId="31" applyFont="1" applyFill="1" applyBorder="1" applyAlignment="1">
      <alignment horizontal="left" vertical="center"/>
    </xf>
    <xf numFmtId="168" fontId="28" fillId="38" borderId="15" xfId="66" applyNumberFormat="1" applyFont="1" applyFill="1" applyBorder="1" applyAlignment="1">
      <alignment vertical="center"/>
    </xf>
    <xf numFmtId="168" fontId="28" fillId="24" borderId="15" xfId="66" applyNumberFormat="1" applyFont="1" applyFill="1" applyBorder="1" applyAlignment="1">
      <alignment vertical="center"/>
    </xf>
    <xf numFmtId="168" fontId="28" fillId="24" borderId="15" xfId="28" applyNumberFormat="1" applyFont="1" applyFill="1" applyBorder="1" applyAlignment="1">
      <alignment vertical="center"/>
    </xf>
    <xf numFmtId="168" fontId="27" fillId="38" borderId="15" xfId="66" applyNumberFormat="1" applyFont="1" applyFill="1" applyBorder="1" applyAlignment="1">
      <alignment vertical="center"/>
    </xf>
    <xf numFmtId="170" fontId="37" fillId="41" borderId="15" xfId="31" applyNumberFormat="1" applyFont="1" applyFill="1" applyBorder="1" applyAlignment="1">
      <alignment horizontal="center" vertical="center" wrapText="1"/>
    </xf>
    <xf numFmtId="0" fontId="37" fillId="45" borderId="15" xfId="31" applyFont="1" applyFill="1" applyBorder="1" applyAlignment="1">
      <alignment horizontal="center" vertical="center" wrapText="1"/>
    </xf>
    <xf numFmtId="167" fontId="37" fillId="45" borderId="15" xfId="31" applyNumberFormat="1" applyFont="1" applyFill="1" applyBorder="1" applyAlignment="1">
      <alignment horizontal="center" vertical="center" wrapText="1"/>
    </xf>
    <xf numFmtId="168" fontId="37" fillId="45" borderId="15" xfId="31" applyNumberFormat="1" applyFont="1" applyFill="1" applyBorder="1" applyAlignment="1">
      <alignment horizontal="center" vertical="center" wrapText="1"/>
    </xf>
    <xf numFmtId="2" fontId="37" fillId="44" borderId="15" xfId="31" applyNumberFormat="1" applyFont="1" applyFill="1" applyBorder="1" applyAlignment="1">
      <alignment horizontal="center" vertical="center" wrapText="1"/>
    </xf>
    <xf numFmtId="0" fontId="37" fillId="43" borderId="15" xfId="31" applyFont="1" applyFill="1" applyBorder="1" applyAlignment="1">
      <alignment horizontal="center" vertical="center" wrapText="1"/>
    </xf>
    <xf numFmtId="0" fontId="37" fillId="0" borderId="15" xfId="31" quotePrefix="1" applyFont="1" applyBorder="1" applyAlignment="1">
      <alignment horizontal="center" vertical="center" wrapText="1"/>
    </xf>
    <xf numFmtId="0" fontId="37" fillId="38" borderId="15" xfId="28" applyFont="1" applyFill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36" fillId="25" borderId="20" xfId="29" applyFont="1" applyFill="1" applyBorder="1" applyAlignment="1">
      <alignment horizontal="center" vertical="center"/>
    </xf>
    <xf numFmtId="0" fontId="36" fillId="25" borderId="20" xfId="29" applyFont="1" applyFill="1" applyBorder="1" applyAlignment="1">
      <alignment horizontal="center" vertical="center" wrapText="1"/>
    </xf>
    <xf numFmtId="2" fontId="27" fillId="25" borderId="20" xfId="29" applyNumberFormat="1" applyFont="1" applyFill="1" applyBorder="1" applyAlignment="1">
      <alignment horizontal="center" vertical="center" wrapText="1"/>
    </xf>
    <xf numFmtId="166" fontId="36" fillId="25" borderId="20" xfId="29" applyNumberFormat="1" applyFont="1" applyFill="1" applyBorder="1" applyAlignment="1">
      <alignment horizontal="center" vertical="center" wrapText="1"/>
    </xf>
    <xf numFmtId="0" fontId="36" fillId="25" borderId="20" xfId="50" applyFont="1" applyFill="1" applyBorder="1" applyAlignment="1">
      <alignment horizontal="center" vertical="center" wrapText="1"/>
    </xf>
    <xf numFmtId="166" fontId="27" fillId="25" borderId="20" xfId="29" applyNumberFormat="1" applyFont="1" applyFill="1" applyBorder="1" applyAlignment="1">
      <alignment horizontal="center" vertical="center" wrapText="1"/>
    </xf>
    <xf numFmtId="0" fontId="36" fillId="0" borderId="20" xfId="31" applyFont="1" applyBorder="1" applyAlignment="1">
      <alignment horizontal="center" vertical="center" wrapText="1"/>
    </xf>
    <xf numFmtId="0" fontId="36" fillId="25" borderId="20" xfId="28" applyFont="1" applyFill="1" applyBorder="1" applyAlignment="1">
      <alignment vertical="center"/>
    </xf>
    <xf numFmtId="0" fontId="36" fillId="25" borderId="20" xfId="28" applyFont="1" applyFill="1" applyBorder="1" applyAlignment="1">
      <alignment vertical="center" wrapText="1"/>
    </xf>
    <xf numFmtId="165" fontId="27" fillId="25" borderId="20" xfId="66" applyNumberFormat="1" applyFont="1" applyFill="1" applyBorder="1" applyAlignment="1">
      <alignment horizontal="center" vertical="center" wrapText="1"/>
    </xf>
    <xf numFmtId="0" fontId="36" fillId="25" borderId="20" xfId="28" applyFont="1" applyFill="1" applyBorder="1" applyAlignment="1">
      <alignment horizontal="left" vertical="center" wrapText="1"/>
    </xf>
    <xf numFmtId="0" fontId="36" fillId="25" borderId="21" xfId="28" applyFont="1" applyFill="1" applyBorder="1" applyAlignment="1">
      <alignment vertical="center"/>
    </xf>
    <xf numFmtId="0" fontId="37" fillId="24" borderId="22" xfId="28" applyFont="1" applyFill="1" applyBorder="1" applyAlignment="1">
      <alignment vertical="center"/>
    </xf>
    <xf numFmtId="0" fontId="28" fillId="24" borderId="23" xfId="28" applyFont="1" applyFill="1" applyBorder="1" applyAlignment="1">
      <alignment horizontal="left" vertical="center"/>
    </xf>
    <xf numFmtId="0" fontId="28" fillId="24" borderId="23" xfId="28" applyFont="1" applyFill="1" applyBorder="1" applyAlignment="1">
      <alignment vertical="center"/>
    </xf>
    <xf numFmtId="0" fontId="40" fillId="24" borderId="23" xfId="28" applyFont="1" applyFill="1" applyBorder="1" applyAlignment="1">
      <alignment vertical="center"/>
    </xf>
    <xf numFmtId="0" fontId="37" fillId="38" borderId="22" xfId="28" applyFont="1" applyFill="1" applyBorder="1" applyAlignment="1">
      <alignment vertical="center"/>
    </xf>
    <xf numFmtId="0" fontId="36" fillId="24" borderId="19" xfId="28" applyFont="1" applyFill="1" applyBorder="1" applyAlignment="1">
      <alignment vertical="center"/>
    </xf>
    <xf numFmtId="2" fontId="37" fillId="0" borderId="15" xfId="29" applyNumberFormat="1" applyFont="1" applyBorder="1" applyAlignment="1">
      <alignment horizontal="center" vertical="center" wrapText="1"/>
    </xf>
    <xf numFmtId="2" fontId="36" fillId="0" borderId="15" xfId="29" applyNumberFormat="1" applyFont="1" applyBorder="1" applyAlignment="1">
      <alignment horizontal="center" vertical="center" wrapText="1"/>
    </xf>
    <xf numFmtId="2" fontId="36" fillId="40" borderId="39" xfId="29" applyNumberFormat="1" applyFont="1" applyFill="1" applyBorder="1" applyAlignment="1">
      <alignment horizontal="center" vertical="center" wrapText="1"/>
    </xf>
    <xf numFmtId="2" fontId="27" fillId="40" borderId="20" xfId="29" applyNumberFormat="1" applyFont="1" applyFill="1" applyBorder="1" applyAlignment="1">
      <alignment horizontal="center" vertical="center" wrapText="1"/>
    </xf>
    <xf numFmtId="0" fontId="37" fillId="47" borderId="22" xfId="28" applyFont="1" applyFill="1" applyBorder="1" applyAlignment="1">
      <alignment vertical="center"/>
    </xf>
    <xf numFmtId="0" fontId="36" fillId="47" borderId="15" xfId="31" applyFont="1" applyFill="1" applyBorder="1" applyAlignment="1">
      <alignment horizontal="center" vertical="center" wrapText="1"/>
    </xf>
    <xf numFmtId="0" fontId="36" fillId="48" borderId="15" xfId="31" applyFont="1" applyFill="1" applyBorder="1" applyAlignment="1">
      <alignment horizontal="center" vertical="center" wrapText="1"/>
    </xf>
    <xf numFmtId="0" fontId="37" fillId="47" borderId="15" xfId="28" applyFont="1" applyFill="1" applyBorder="1" applyAlignment="1">
      <alignment vertical="center"/>
    </xf>
    <xf numFmtId="167" fontId="36" fillId="48" borderId="15" xfId="31" applyNumberFormat="1" applyFont="1" applyFill="1" applyBorder="1" applyAlignment="1">
      <alignment horizontal="center" vertical="center" wrapText="1"/>
    </xf>
    <xf numFmtId="2" fontId="37" fillId="47" borderId="15" xfId="29" applyNumberFormat="1" applyFont="1" applyFill="1" applyBorder="1" applyAlignment="1">
      <alignment horizontal="center" vertical="center"/>
    </xf>
    <xf numFmtId="2" fontId="36" fillId="48" borderId="15" xfId="31" applyNumberFormat="1" applyFont="1" applyFill="1" applyBorder="1" applyAlignment="1">
      <alignment horizontal="center" vertical="center" wrapText="1"/>
    </xf>
    <xf numFmtId="166" fontId="36" fillId="48" borderId="15" xfId="31" applyNumberFormat="1" applyFont="1" applyFill="1" applyBorder="1" applyAlignment="1">
      <alignment horizontal="center" vertical="center" wrapText="1"/>
    </xf>
    <xf numFmtId="2" fontId="37" fillId="47" borderId="15" xfId="68" applyNumberFormat="1" applyFont="1" applyFill="1" applyBorder="1" applyAlignment="1">
      <alignment horizontal="center" vertical="center"/>
    </xf>
    <xf numFmtId="165" fontId="37" fillId="48" borderId="15" xfId="66" applyNumberFormat="1" applyFont="1" applyFill="1" applyBorder="1" applyAlignment="1">
      <alignment horizontal="center" vertical="center" wrapText="1"/>
    </xf>
    <xf numFmtId="0" fontId="37" fillId="47" borderId="15" xfId="31" applyFont="1" applyFill="1" applyBorder="1" applyAlignment="1">
      <alignment horizontal="left" vertical="center"/>
    </xf>
    <xf numFmtId="168" fontId="36" fillId="48" borderId="15" xfId="66" applyNumberFormat="1" applyFont="1" applyFill="1" applyBorder="1" applyAlignment="1">
      <alignment horizontal="center" vertical="center" wrapText="1"/>
    </xf>
    <xf numFmtId="0" fontId="37" fillId="47" borderId="15" xfId="28" applyFont="1" applyFill="1" applyBorder="1" applyAlignment="1">
      <alignment horizontal="left" vertical="center"/>
    </xf>
    <xf numFmtId="0" fontId="37" fillId="47" borderId="15" xfId="28" applyFont="1" applyFill="1" applyBorder="1" applyAlignment="1">
      <alignment horizontal="center" vertical="center"/>
    </xf>
    <xf numFmtId="0" fontId="37" fillId="47" borderId="23" xfId="28" applyFont="1" applyFill="1" applyBorder="1" applyAlignment="1">
      <alignment vertical="center"/>
    </xf>
    <xf numFmtId="0" fontId="37" fillId="47" borderId="0" xfId="28" applyFont="1" applyFill="1" applyAlignment="1">
      <alignment vertical="center"/>
    </xf>
    <xf numFmtId="165" fontId="37" fillId="47" borderId="0" xfId="28" applyNumberFormat="1" applyFont="1" applyFill="1" applyAlignment="1">
      <alignment vertical="center"/>
    </xf>
    <xf numFmtId="0" fontId="37" fillId="49" borderId="22" xfId="28" applyFont="1" applyFill="1" applyBorder="1" applyAlignment="1">
      <alignment vertical="center"/>
    </xf>
    <xf numFmtId="0" fontId="37" fillId="47" borderId="15" xfId="31" applyFont="1" applyFill="1" applyBorder="1" applyAlignment="1">
      <alignment horizontal="center" vertical="center" wrapText="1"/>
    </xf>
    <xf numFmtId="0" fontId="37" fillId="48" borderId="15" xfId="31" applyFont="1" applyFill="1" applyBorder="1" applyAlignment="1">
      <alignment horizontal="center" vertical="center" wrapText="1"/>
    </xf>
    <xf numFmtId="2" fontId="37" fillId="48" borderId="15" xfId="31" applyNumberFormat="1" applyFont="1" applyFill="1" applyBorder="1" applyAlignment="1">
      <alignment horizontal="center" vertical="center" wrapText="1"/>
    </xf>
    <xf numFmtId="0" fontId="37" fillId="47" borderId="15" xfId="31" applyFont="1" applyFill="1" applyBorder="1" applyAlignment="1">
      <alignment horizontal="center" vertical="center"/>
    </xf>
    <xf numFmtId="167" fontId="37" fillId="48" borderId="15" xfId="31" applyNumberFormat="1" applyFont="1" applyFill="1" applyBorder="1" applyAlignment="1">
      <alignment horizontal="center" vertical="center" wrapText="1"/>
    </xf>
    <xf numFmtId="168" fontId="37" fillId="48" borderId="15" xfId="31" applyNumberFormat="1" applyFont="1" applyFill="1" applyBorder="1" applyAlignment="1">
      <alignment horizontal="center" vertical="center" wrapText="1"/>
    </xf>
    <xf numFmtId="2" fontId="50" fillId="47" borderId="14" xfId="29" applyNumberFormat="1" applyFont="1" applyFill="1" applyBorder="1" applyAlignment="1">
      <alignment horizontal="center" vertical="center" wrapText="1"/>
    </xf>
    <xf numFmtId="166" fontId="37" fillId="48" borderId="15" xfId="31" applyNumberFormat="1" applyFont="1" applyFill="1" applyBorder="1" applyAlignment="1">
      <alignment horizontal="center" vertical="center" wrapText="1"/>
    </xf>
    <xf numFmtId="168" fontId="31" fillId="50" borderId="15" xfId="66" applyNumberFormat="1" applyFont="1" applyFill="1" applyBorder="1" applyAlignment="1">
      <alignment horizontal="center" vertical="center" wrapText="1"/>
    </xf>
    <xf numFmtId="169" fontId="37" fillId="48" borderId="15" xfId="31" applyNumberFormat="1" applyFont="1" applyFill="1" applyBorder="1" applyAlignment="1">
      <alignment horizontal="center" vertical="center" wrapText="1"/>
    </xf>
    <xf numFmtId="168" fontId="37" fillId="49" borderId="15" xfId="66" applyNumberFormat="1" applyFont="1" applyFill="1" applyBorder="1" applyAlignment="1">
      <alignment vertical="center"/>
    </xf>
    <xf numFmtId="168" fontId="37" fillId="47" borderId="15" xfId="66" applyNumberFormat="1" applyFont="1" applyFill="1" applyBorder="1" applyAlignment="1">
      <alignment vertical="center"/>
    </xf>
    <xf numFmtId="168" fontId="37" fillId="47" borderId="15" xfId="28" applyNumberFormat="1" applyFont="1" applyFill="1" applyBorder="1" applyAlignment="1">
      <alignment vertical="center"/>
    </xf>
    <xf numFmtId="168" fontId="36" fillId="49" borderId="15" xfId="66" applyNumberFormat="1" applyFont="1" applyFill="1" applyBorder="1" applyAlignment="1">
      <alignment vertical="center"/>
    </xf>
    <xf numFmtId="0" fontId="37" fillId="47" borderId="15" xfId="28" applyFont="1" applyFill="1" applyBorder="1" applyAlignment="1">
      <alignment horizontal="left" vertical="center" wrapText="1"/>
    </xf>
    <xf numFmtId="17" fontId="37" fillId="47" borderId="15" xfId="28" applyNumberFormat="1" applyFont="1" applyFill="1" applyBorder="1" applyAlignment="1">
      <alignment horizontal="left" vertical="center"/>
    </xf>
    <xf numFmtId="168" fontId="31" fillId="47" borderId="11" xfId="28" applyNumberFormat="1" applyFont="1" applyFill="1" applyBorder="1" applyAlignment="1">
      <alignment vertical="center"/>
    </xf>
    <xf numFmtId="168" fontId="31" fillId="47" borderId="10" xfId="28" applyNumberFormat="1" applyFont="1" applyFill="1" applyBorder="1" applyAlignment="1">
      <alignment vertical="center"/>
    </xf>
    <xf numFmtId="168" fontId="0" fillId="47" borderId="10" xfId="0" applyNumberFormat="1" applyFill="1" applyBorder="1"/>
    <xf numFmtId="165" fontId="31" fillId="47" borderId="10" xfId="66" applyNumberFormat="1" applyFont="1" applyFill="1" applyBorder="1" applyAlignment="1">
      <alignment vertical="center"/>
    </xf>
    <xf numFmtId="0" fontId="37" fillId="49" borderId="0" xfId="28" applyFont="1" applyFill="1" applyAlignment="1">
      <alignment vertical="center"/>
    </xf>
    <xf numFmtId="0" fontId="37" fillId="0" borderId="22" xfId="28" applyFont="1" applyBorder="1" applyAlignment="1">
      <alignment vertical="center"/>
    </xf>
    <xf numFmtId="0" fontId="36" fillId="0" borderId="15" xfId="31" applyFont="1" applyBorder="1" applyAlignment="1">
      <alignment horizontal="center" vertical="center" wrapText="1"/>
    </xf>
    <xf numFmtId="167" fontId="36" fillId="0" borderId="15" xfId="31" applyNumberFormat="1" applyFont="1" applyBorder="1" applyAlignment="1">
      <alignment horizontal="center" vertical="center" wrapText="1"/>
    </xf>
    <xf numFmtId="2" fontId="37" fillId="0" borderId="15" xfId="29" applyNumberFormat="1" applyFont="1" applyBorder="1" applyAlignment="1">
      <alignment horizontal="center" vertical="center"/>
    </xf>
    <xf numFmtId="2" fontId="36" fillId="0" borderId="15" xfId="31" applyNumberFormat="1" applyFont="1" applyBorder="1" applyAlignment="1">
      <alignment horizontal="center" vertical="center" wrapText="1"/>
    </xf>
    <xf numFmtId="166" fontId="36" fillId="0" borderId="15" xfId="31" applyNumberFormat="1" applyFont="1" applyBorder="1" applyAlignment="1">
      <alignment horizontal="center" vertical="center" wrapText="1"/>
    </xf>
    <xf numFmtId="2" fontId="37" fillId="0" borderId="15" xfId="68" applyNumberFormat="1" applyFont="1" applyBorder="1" applyAlignment="1">
      <alignment horizontal="center" vertical="center"/>
    </xf>
    <xf numFmtId="165" fontId="37" fillId="0" borderId="15" xfId="66" applyNumberFormat="1" applyFont="1" applyFill="1" applyBorder="1" applyAlignment="1">
      <alignment horizontal="center" vertical="center" wrapText="1"/>
    </xf>
    <xf numFmtId="0" fontId="37" fillId="0" borderId="15" xfId="31" applyFont="1" applyBorder="1" applyAlignment="1">
      <alignment horizontal="left" vertical="center"/>
    </xf>
    <xf numFmtId="168" fontId="36" fillId="0" borderId="15" xfId="66" applyNumberFormat="1" applyFont="1" applyFill="1" applyBorder="1" applyAlignment="1">
      <alignment horizontal="center" vertical="center" wrapText="1"/>
    </xf>
    <xf numFmtId="0" fontId="37" fillId="0" borderId="15" xfId="28" applyFont="1" applyBorder="1" applyAlignment="1">
      <alignment horizontal="left" vertical="center"/>
    </xf>
    <xf numFmtId="0" fontId="37" fillId="0" borderId="15" xfId="28" applyFont="1" applyBorder="1" applyAlignment="1">
      <alignment horizontal="center" vertical="center"/>
    </xf>
    <xf numFmtId="0" fontId="37" fillId="0" borderId="23" xfId="28" applyFont="1" applyBorder="1" applyAlignment="1">
      <alignment vertical="center"/>
    </xf>
    <xf numFmtId="0" fontId="37" fillId="0" borderId="0" xfId="28" applyFont="1" applyAlignment="1">
      <alignment vertical="center"/>
    </xf>
    <xf numFmtId="165" fontId="37" fillId="0" borderId="0" xfId="28" applyNumberFormat="1" applyFont="1" applyAlignment="1">
      <alignment vertical="center"/>
    </xf>
    <xf numFmtId="0" fontId="36" fillId="0" borderId="15" xfId="28" applyFont="1" applyBorder="1" applyAlignment="1">
      <alignment vertical="center"/>
    </xf>
    <xf numFmtId="0" fontId="37" fillId="0" borderId="42" xfId="28" applyFont="1" applyBorder="1" applyAlignment="1">
      <alignment vertical="center"/>
    </xf>
    <xf numFmtId="0" fontId="37" fillId="24" borderId="42" xfId="28" applyFont="1" applyFill="1" applyBorder="1" applyAlignment="1">
      <alignment vertical="center"/>
    </xf>
    <xf numFmtId="0" fontId="36" fillId="0" borderId="18" xfId="31" applyFont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/>
    </xf>
    <xf numFmtId="0" fontId="37" fillId="47" borderId="16" xfId="28" applyFont="1" applyFill="1" applyBorder="1" applyAlignment="1">
      <alignment vertical="center"/>
    </xf>
    <xf numFmtId="0" fontId="36" fillId="48" borderId="16" xfId="31" applyFont="1" applyFill="1" applyBorder="1" applyAlignment="1">
      <alignment horizontal="center" vertical="center" wrapText="1"/>
    </xf>
    <xf numFmtId="2" fontId="37" fillId="35" borderId="13" xfId="31" applyNumberFormat="1" applyFont="1" applyFill="1" applyBorder="1" applyAlignment="1">
      <alignment horizontal="center" vertical="center" wrapText="1"/>
    </xf>
    <xf numFmtId="0" fontId="37" fillId="35" borderId="13" xfId="31" applyFont="1" applyFill="1" applyBorder="1" applyAlignment="1">
      <alignment horizontal="center" vertical="center" wrapText="1"/>
    </xf>
    <xf numFmtId="0" fontId="37" fillId="24" borderId="13" xfId="31" applyFont="1" applyFill="1" applyBorder="1" applyAlignment="1">
      <alignment horizontal="center" vertical="center"/>
    </xf>
    <xf numFmtId="0" fontId="36" fillId="0" borderId="19" xfId="28" applyFont="1" applyBorder="1" applyAlignment="1">
      <alignment vertical="center"/>
    </xf>
    <xf numFmtId="0" fontId="36" fillId="0" borderId="20" xfId="28" applyFont="1" applyBorder="1" applyAlignment="1">
      <alignment vertical="center"/>
    </xf>
    <xf numFmtId="0" fontId="36" fillId="0" borderId="21" xfId="31" applyFont="1" applyBorder="1" applyAlignment="1">
      <alignment horizontal="center" vertical="center" wrapText="1"/>
    </xf>
    <xf numFmtId="0" fontId="36" fillId="0" borderId="22" xfId="28" applyFont="1" applyBorder="1" applyAlignment="1">
      <alignment vertical="center"/>
    </xf>
    <xf numFmtId="1" fontId="36" fillId="0" borderId="23" xfId="31" applyNumberFormat="1" applyFont="1" applyBorder="1" applyAlignment="1">
      <alignment horizontal="center" vertical="center" wrapText="1"/>
    </xf>
    <xf numFmtId="0" fontId="36" fillId="0" borderId="23" xfId="31" applyFont="1" applyBorder="1" applyAlignment="1">
      <alignment horizontal="center" vertical="center" wrapText="1"/>
    </xf>
    <xf numFmtId="0" fontId="37" fillId="24" borderId="24" xfId="28" applyFont="1" applyFill="1" applyBorder="1" applyAlignment="1">
      <alignment vertical="center"/>
    </xf>
    <xf numFmtId="0" fontId="37" fillId="24" borderId="25" xfId="28" applyFont="1" applyFill="1" applyBorder="1" applyAlignment="1">
      <alignment vertical="center"/>
    </xf>
    <xf numFmtId="0" fontId="36" fillId="26" borderId="25" xfId="28" applyFont="1" applyFill="1" applyBorder="1" applyAlignment="1">
      <alignment vertical="center"/>
    </xf>
    <xf numFmtId="1" fontId="36" fillId="26" borderId="26" xfId="28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37" fillId="41" borderId="15" xfId="31" applyFont="1" applyFill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37" fillId="38" borderId="0" xfId="28" applyFont="1" applyFill="1" applyAlignment="1">
      <alignment horizontal="center" vertical="center" wrapText="1"/>
    </xf>
    <xf numFmtId="0" fontId="37" fillId="51" borderId="22" xfId="28" applyFont="1" applyFill="1" applyBorder="1" applyAlignment="1">
      <alignment vertical="center"/>
    </xf>
    <xf numFmtId="0" fontId="33" fillId="25" borderId="15" xfId="31" applyFont="1" applyFill="1" applyBorder="1" applyAlignment="1">
      <alignment horizontal="center" vertical="center" wrapText="1"/>
    </xf>
    <xf numFmtId="0" fontId="37" fillId="38" borderId="27" xfId="28" applyFont="1" applyFill="1" applyBorder="1" applyAlignment="1">
      <alignment vertical="center"/>
    </xf>
    <xf numFmtId="0" fontId="37" fillId="0" borderId="16" xfId="31" applyFont="1" applyBorder="1" applyAlignment="1">
      <alignment horizontal="center" vertical="center" wrapText="1"/>
    </xf>
    <xf numFmtId="0" fontId="37" fillId="35" borderId="16" xfId="31" applyFont="1" applyFill="1" applyBorder="1" applyAlignment="1">
      <alignment horizontal="center" vertical="center" wrapText="1"/>
    </xf>
    <xf numFmtId="2" fontId="37" fillId="35" borderId="16" xfId="31" applyNumberFormat="1" applyFont="1" applyFill="1" applyBorder="1" applyAlignment="1">
      <alignment horizontal="center" vertical="center" wrapText="1"/>
    </xf>
    <xf numFmtId="0" fontId="37" fillId="24" borderId="16" xfId="31" applyFont="1" applyFill="1" applyBorder="1" applyAlignment="1">
      <alignment horizontal="center" vertical="center"/>
    </xf>
    <xf numFmtId="167" fontId="37" fillId="35" borderId="16" xfId="31" applyNumberFormat="1" applyFont="1" applyFill="1" applyBorder="1" applyAlignment="1">
      <alignment horizontal="center" vertical="center" wrapText="1"/>
    </xf>
    <xf numFmtId="168" fontId="37" fillId="35" borderId="16" xfId="31" applyNumberFormat="1" applyFont="1" applyFill="1" applyBorder="1" applyAlignment="1">
      <alignment horizontal="center" vertical="center" wrapText="1"/>
    </xf>
    <xf numFmtId="2" fontId="37" fillId="24" borderId="16" xfId="29" applyNumberFormat="1" applyFont="1" applyFill="1" applyBorder="1" applyAlignment="1">
      <alignment horizontal="center" vertical="center"/>
    </xf>
    <xf numFmtId="2" fontId="33" fillId="42" borderId="16" xfId="31" applyNumberFormat="1" applyFont="1" applyFill="1" applyBorder="1" applyAlignment="1">
      <alignment horizontal="center" vertical="center" wrapText="1"/>
    </xf>
    <xf numFmtId="166" fontId="37" fillId="35" borderId="16" xfId="31" applyNumberFormat="1" applyFont="1" applyFill="1" applyBorder="1" applyAlignment="1">
      <alignment horizontal="center" vertical="center" wrapText="1"/>
    </xf>
    <xf numFmtId="2" fontId="28" fillId="42" borderId="16" xfId="31" applyNumberFormat="1" applyFont="1" applyFill="1" applyBorder="1" applyAlignment="1">
      <alignment horizontal="center" vertical="center" wrapText="1"/>
    </xf>
    <xf numFmtId="168" fontId="31" fillId="33" borderId="16" xfId="66" applyNumberFormat="1" applyFont="1" applyFill="1" applyBorder="1" applyAlignment="1">
      <alignment horizontal="center" vertical="center" wrapText="1"/>
    </xf>
    <xf numFmtId="2" fontId="37" fillId="24" borderId="16" xfId="68" applyNumberFormat="1" applyFont="1" applyFill="1" applyBorder="1" applyAlignment="1">
      <alignment horizontal="center" vertical="center"/>
    </xf>
    <xf numFmtId="169" fontId="37" fillId="35" borderId="16" xfId="31" applyNumberFormat="1" applyFont="1" applyFill="1" applyBorder="1" applyAlignment="1">
      <alignment horizontal="center" vertical="center" wrapText="1"/>
    </xf>
    <xf numFmtId="165" fontId="37" fillId="35" borderId="16" xfId="66" applyNumberFormat="1" applyFont="1" applyFill="1" applyBorder="1" applyAlignment="1">
      <alignment horizontal="center" vertical="center" wrapText="1"/>
    </xf>
    <xf numFmtId="0" fontId="37" fillId="24" borderId="16" xfId="31" applyFont="1" applyFill="1" applyBorder="1" applyAlignment="1">
      <alignment horizontal="left" vertical="center"/>
    </xf>
    <xf numFmtId="168" fontId="37" fillId="38" borderId="16" xfId="66" applyNumberFormat="1" applyFont="1" applyFill="1" applyBorder="1" applyAlignment="1">
      <alignment vertical="center"/>
    </xf>
    <xf numFmtId="168" fontId="37" fillId="24" borderId="16" xfId="66" applyNumberFormat="1" applyFont="1" applyFill="1" applyBorder="1" applyAlignment="1">
      <alignment vertical="center"/>
    </xf>
    <xf numFmtId="168" fontId="37" fillId="24" borderId="16" xfId="28" applyNumberFormat="1" applyFont="1" applyFill="1" applyBorder="1" applyAlignment="1">
      <alignment vertical="center"/>
    </xf>
    <xf numFmtId="168" fontId="36" fillId="38" borderId="16" xfId="66" applyNumberFormat="1" applyFont="1" applyFill="1" applyBorder="1" applyAlignment="1">
      <alignment vertical="center"/>
    </xf>
    <xf numFmtId="0" fontId="37" fillId="24" borderId="16" xfId="28" applyFont="1" applyFill="1" applyBorder="1" applyAlignment="1">
      <alignment horizontal="left" vertical="center" wrapText="1"/>
    </xf>
    <xf numFmtId="17" fontId="37" fillId="24" borderId="16" xfId="28" applyNumberFormat="1" applyFont="1" applyFill="1" applyBorder="1" applyAlignment="1">
      <alignment horizontal="left" vertical="center"/>
    </xf>
    <xf numFmtId="0" fontId="37" fillId="24" borderId="16" xfId="28" applyFont="1" applyFill="1" applyBorder="1" applyAlignment="1">
      <alignment horizontal="center" vertical="center"/>
    </xf>
    <xf numFmtId="0" fontId="37" fillId="24" borderId="28" xfId="28" applyFont="1" applyFill="1" applyBorder="1" applyAlignment="1">
      <alignment vertical="center"/>
    </xf>
    <xf numFmtId="168" fontId="31" fillId="25" borderId="16" xfId="28" applyNumberFormat="1" applyFont="1" applyFill="1" applyBorder="1" applyAlignment="1">
      <alignment vertical="center"/>
    </xf>
    <xf numFmtId="168" fontId="0" fillId="0" borderId="16" xfId="0" applyNumberFormat="1" applyBorder="1"/>
    <xf numFmtId="165" fontId="31" fillId="25" borderId="16" xfId="66" applyNumberFormat="1" applyFont="1" applyFill="1" applyBorder="1" applyAlignment="1">
      <alignment vertical="center"/>
    </xf>
    <xf numFmtId="0" fontId="37" fillId="47" borderId="43" xfId="28" applyFont="1" applyFill="1" applyBorder="1" applyAlignment="1">
      <alignment vertical="center"/>
    </xf>
    <xf numFmtId="0" fontId="36" fillId="48" borderId="44" xfId="31" applyFont="1" applyFill="1" applyBorder="1" applyAlignment="1">
      <alignment horizontal="center" vertical="center" wrapText="1"/>
    </xf>
    <xf numFmtId="0" fontId="37" fillId="47" borderId="44" xfId="28" applyFont="1" applyFill="1" applyBorder="1" applyAlignment="1">
      <alignment vertical="center"/>
    </xf>
    <xf numFmtId="167" fontId="36" fillId="48" borderId="44" xfId="31" applyNumberFormat="1" applyFont="1" applyFill="1" applyBorder="1" applyAlignment="1">
      <alignment horizontal="center" vertical="center" wrapText="1"/>
    </xf>
    <xf numFmtId="2" fontId="37" fillId="47" borderId="44" xfId="29" applyNumberFormat="1" applyFont="1" applyFill="1" applyBorder="1" applyAlignment="1">
      <alignment horizontal="center" vertical="center"/>
    </xf>
    <xf numFmtId="2" fontId="36" fillId="48" borderId="44" xfId="31" applyNumberFormat="1" applyFont="1" applyFill="1" applyBorder="1" applyAlignment="1">
      <alignment horizontal="center" vertical="center" wrapText="1"/>
    </xf>
    <xf numFmtId="166" fontId="36" fillId="48" borderId="44" xfId="31" applyNumberFormat="1" applyFont="1" applyFill="1" applyBorder="1" applyAlignment="1">
      <alignment horizontal="center" vertical="center" wrapText="1"/>
    </xf>
    <xf numFmtId="2" fontId="37" fillId="47" borderId="44" xfId="68" applyNumberFormat="1" applyFont="1" applyFill="1" applyBorder="1" applyAlignment="1">
      <alignment horizontal="center" vertical="center"/>
    </xf>
    <xf numFmtId="165" fontId="37" fillId="48" borderId="44" xfId="66" applyNumberFormat="1" applyFont="1" applyFill="1" applyBorder="1" applyAlignment="1">
      <alignment horizontal="center" vertical="center" wrapText="1"/>
    </xf>
    <xf numFmtId="0" fontId="37" fillId="47" borderId="44" xfId="31" applyFont="1" applyFill="1" applyBorder="1" applyAlignment="1">
      <alignment horizontal="left" vertical="center"/>
    </xf>
    <xf numFmtId="168" fontId="36" fillId="48" borderId="44" xfId="66" applyNumberFormat="1" applyFont="1" applyFill="1" applyBorder="1" applyAlignment="1">
      <alignment horizontal="center" vertical="center" wrapText="1"/>
    </xf>
    <xf numFmtId="0" fontId="37" fillId="47" borderId="44" xfId="28" applyFont="1" applyFill="1" applyBorder="1" applyAlignment="1">
      <alignment horizontal="left" vertical="center"/>
    </xf>
    <xf numFmtId="0" fontId="37" fillId="47" borderId="44" xfId="28" applyFont="1" applyFill="1" applyBorder="1" applyAlignment="1">
      <alignment horizontal="center" vertical="center"/>
    </xf>
    <xf numFmtId="0" fontId="37" fillId="47" borderId="45" xfId="28" applyFont="1" applyFill="1" applyBorder="1" applyAlignment="1">
      <alignment vertical="center"/>
    </xf>
    <xf numFmtId="0" fontId="37" fillId="38" borderId="15" xfId="28" applyFont="1" applyFill="1" applyBorder="1" applyAlignment="1">
      <alignment vertical="center"/>
    </xf>
    <xf numFmtId="0" fontId="0" fillId="0" borderId="15" xfId="0" applyBorder="1"/>
    <xf numFmtId="0" fontId="36" fillId="0" borderId="42" xfId="31" applyFont="1" applyBorder="1" applyAlignment="1">
      <alignment horizontal="center" vertical="center" wrapText="1"/>
    </xf>
    <xf numFmtId="0" fontId="37" fillId="0" borderId="17" xfId="31" applyFont="1" applyBorder="1" applyAlignment="1">
      <alignment horizontal="center" vertical="center" wrapText="1"/>
    </xf>
    <xf numFmtId="0" fontId="37" fillId="38" borderId="48" xfId="28" applyFont="1" applyFill="1" applyBorder="1" applyAlignment="1">
      <alignment vertical="center"/>
    </xf>
    <xf numFmtId="0" fontId="0" fillId="0" borderId="17" xfId="0" applyBorder="1" applyAlignment="1">
      <alignment horizontal="center" wrapText="1"/>
    </xf>
    <xf numFmtId="0" fontId="37" fillId="35" borderId="17" xfId="31" applyFont="1" applyFill="1" applyBorder="1" applyAlignment="1">
      <alignment horizontal="center" vertical="center" wrapText="1"/>
    </xf>
    <xf numFmtId="2" fontId="37" fillId="35" borderId="17" xfId="31" applyNumberFormat="1" applyFont="1" applyFill="1" applyBorder="1" applyAlignment="1">
      <alignment horizontal="center" vertical="center" wrapText="1"/>
    </xf>
    <xf numFmtId="0" fontId="37" fillId="24" borderId="17" xfId="31" applyFont="1" applyFill="1" applyBorder="1" applyAlignment="1">
      <alignment horizontal="center" vertical="center"/>
    </xf>
    <xf numFmtId="167" fontId="37" fillId="35" borderId="17" xfId="31" applyNumberFormat="1" applyFont="1" applyFill="1" applyBorder="1" applyAlignment="1">
      <alignment horizontal="center" vertical="center" wrapText="1"/>
    </xf>
    <xf numFmtId="168" fontId="37" fillId="35" borderId="17" xfId="31" applyNumberFormat="1" applyFont="1" applyFill="1" applyBorder="1" applyAlignment="1">
      <alignment horizontal="center" vertical="center" wrapText="1"/>
    </xf>
    <xf numFmtId="2" fontId="37" fillId="24" borderId="17" xfId="29" applyNumberFormat="1" applyFont="1" applyFill="1" applyBorder="1" applyAlignment="1">
      <alignment horizontal="center" vertical="center"/>
    </xf>
    <xf numFmtId="168" fontId="31" fillId="33" borderId="17" xfId="66" applyNumberFormat="1" applyFont="1" applyFill="1" applyBorder="1" applyAlignment="1">
      <alignment horizontal="center" vertical="center" wrapText="1"/>
    </xf>
    <xf numFmtId="2" fontId="37" fillId="24" borderId="17" xfId="68" applyNumberFormat="1" applyFont="1" applyFill="1" applyBorder="1" applyAlignment="1">
      <alignment horizontal="center" vertical="center"/>
    </xf>
    <xf numFmtId="169" fontId="37" fillId="35" borderId="17" xfId="31" applyNumberFormat="1" applyFont="1" applyFill="1" applyBorder="1" applyAlignment="1">
      <alignment horizontal="center" vertical="center" wrapText="1"/>
    </xf>
    <xf numFmtId="165" fontId="37" fillId="35" borderId="17" xfId="66" applyNumberFormat="1" applyFont="1" applyFill="1" applyBorder="1" applyAlignment="1">
      <alignment horizontal="center" vertical="center" wrapText="1"/>
    </xf>
    <xf numFmtId="0" fontId="37" fillId="24" borderId="17" xfId="31" applyFont="1" applyFill="1" applyBorder="1" applyAlignment="1">
      <alignment horizontal="left" vertical="center"/>
    </xf>
    <xf numFmtId="168" fontId="37" fillId="38" borderId="17" xfId="66" applyNumberFormat="1" applyFont="1" applyFill="1" applyBorder="1" applyAlignment="1">
      <alignment vertical="center"/>
    </xf>
    <xf numFmtId="168" fontId="37" fillId="24" borderId="17" xfId="66" applyNumberFormat="1" applyFont="1" applyFill="1" applyBorder="1" applyAlignment="1">
      <alignment vertical="center"/>
    </xf>
    <xf numFmtId="168" fontId="37" fillId="24" borderId="17" xfId="28" applyNumberFormat="1" applyFont="1" applyFill="1" applyBorder="1" applyAlignment="1">
      <alignment vertical="center"/>
    </xf>
    <xf numFmtId="168" fontId="36" fillId="38" borderId="17" xfId="66" applyNumberFormat="1" applyFont="1" applyFill="1" applyBorder="1" applyAlignment="1">
      <alignment vertical="center"/>
    </xf>
    <xf numFmtId="0" fontId="37" fillId="24" borderId="17" xfId="28" applyFont="1" applyFill="1" applyBorder="1" applyAlignment="1">
      <alignment horizontal="left" vertical="center" wrapText="1"/>
    </xf>
    <xf numFmtId="17" fontId="37" fillId="24" borderId="17" xfId="28" applyNumberFormat="1" applyFont="1" applyFill="1" applyBorder="1" applyAlignment="1">
      <alignment horizontal="left" vertical="center"/>
    </xf>
    <xf numFmtId="0" fontId="37" fillId="24" borderId="17" xfId="28" applyFont="1" applyFill="1" applyBorder="1" applyAlignment="1">
      <alignment horizontal="center" vertical="center"/>
    </xf>
    <xf numFmtId="0" fontId="37" fillId="24" borderId="49" xfId="28" applyFont="1" applyFill="1" applyBorder="1" applyAlignment="1">
      <alignment vertical="center"/>
    </xf>
    <xf numFmtId="0" fontId="40" fillId="24" borderId="15" xfId="28" applyFont="1" applyFill="1" applyBorder="1" applyAlignment="1">
      <alignment vertical="center"/>
    </xf>
    <xf numFmtId="2" fontId="33" fillId="36" borderId="16" xfId="31" applyNumberFormat="1" applyFont="1" applyFill="1" applyBorder="1" applyAlignment="1">
      <alignment horizontal="center" vertical="center" wrapText="1"/>
    </xf>
    <xf numFmtId="17" fontId="40" fillId="24" borderId="16" xfId="28" applyNumberFormat="1" applyFont="1" applyFill="1" applyBorder="1" applyAlignment="1">
      <alignment horizontal="left" vertical="center"/>
    </xf>
    <xf numFmtId="0" fontId="40" fillId="24" borderId="16" xfId="28" applyFont="1" applyFill="1" applyBorder="1" applyAlignment="1">
      <alignment horizontal="center" vertical="center"/>
    </xf>
    <xf numFmtId="0" fontId="40" fillId="24" borderId="28" xfId="28" applyFont="1" applyFill="1" applyBorder="1" applyAlignment="1">
      <alignment vertical="center"/>
    </xf>
    <xf numFmtId="0" fontId="28" fillId="0" borderId="16" xfId="31" applyFont="1" applyBorder="1" applyAlignment="1">
      <alignment horizontal="center" vertical="center" wrapText="1"/>
    </xf>
    <xf numFmtId="0" fontId="37" fillId="38" borderId="15" xfId="28" applyFont="1" applyFill="1" applyBorder="1" applyAlignment="1">
      <alignment vertical="center" wrapText="1"/>
    </xf>
    <xf numFmtId="2" fontId="0" fillId="0" borderId="0" xfId="0" applyNumberFormat="1" applyAlignment="1">
      <alignment wrapText="1"/>
    </xf>
    <xf numFmtId="0" fontId="37" fillId="41" borderId="16" xfId="31" applyFont="1" applyFill="1" applyBorder="1" applyAlignment="1">
      <alignment horizontal="center" vertical="center" wrapText="1"/>
    </xf>
    <xf numFmtId="0" fontId="37" fillId="0" borderId="15" xfId="31" applyFont="1" applyBorder="1" applyAlignment="1">
      <alignment horizontal="left" vertical="center" wrapText="1"/>
    </xf>
    <xf numFmtId="168" fontId="37" fillId="45" borderId="15" xfId="66" applyNumberFormat="1" applyFont="1" applyFill="1" applyBorder="1" applyAlignment="1">
      <alignment horizontal="center" vertical="center" wrapText="1"/>
    </xf>
    <xf numFmtId="0" fontId="37" fillId="35" borderId="15" xfId="66" applyNumberFormat="1" applyFont="1" applyFill="1" applyBorder="1" applyAlignment="1">
      <alignment horizontal="center" vertical="center" wrapText="1"/>
    </xf>
    <xf numFmtId="0" fontId="36" fillId="0" borderId="15" xfId="28" applyFont="1" applyBorder="1" applyAlignment="1">
      <alignment horizontal="center" vertical="center"/>
    </xf>
    <xf numFmtId="2" fontId="37" fillId="48" borderId="16" xfId="31" applyNumberFormat="1" applyFont="1" applyFill="1" applyBorder="1" applyAlignment="1">
      <alignment horizontal="center" vertical="center" wrapText="1"/>
    </xf>
    <xf numFmtId="2" fontId="37" fillId="48" borderId="17" xfId="31" applyNumberFormat="1" applyFont="1" applyFill="1" applyBorder="1" applyAlignment="1">
      <alignment horizontal="center" vertical="center" wrapText="1"/>
    </xf>
    <xf numFmtId="2" fontId="37" fillId="48" borderId="13" xfId="31" applyNumberFormat="1" applyFont="1" applyFill="1" applyBorder="1" applyAlignment="1">
      <alignment horizontal="center" vertical="center" wrapText="1"/>
    </xf>
    <xf numFmtId="14" fontId="37" fillId="0" borderId="15" xfId="31" applyNumberFormat="1" applyFont="1" applyBorder="1" applyAlignment="1">
      <alignment horizontal="center" vertical="center" wrapText="1"/>
    </xf>
    <xf numFmtId="2" fontId="33" fillId="45" borderId="15" xfId="31" applyNumberFormat="1" applyFont="1" applyFill="1" applyBorder="1" applyAlignment="1">
      <alignment horizontal="center" vertical="center" wrapText="1"/>
    </xf>
    <xf numFmtId="2" fontId="37" fillId="45" borderId="15" xfId="31" applyNumberFormat="1" applyFont="1" applyFill="1" applyBorder="1" applyAlignment="1">
      <alignment horizontal="center" vertical="center" wrapText="1"/>
    </xf>
    <xf numFmtId="0" fontId="37" fillId="25" borderId="15" xfId="31" applyFont="1" applyFill="1" applyBorder="1" applyAlignment="1">
      <alignment horizontal="center" vertical="center" wrapText="1"/>
    </xf>
    <xf numFmtId="0" fontId="33" fillId="41" borderId="15" xfId="31" applyFont="1" applyFill="1" applyBorder="1" applyAlignment="1">
      <alignment horizontal="center" vertical="center" wrapText="1"/>
    </xf>
    <xf numFmtId="0" fontId="37" fillId="38" borderId="15" xfId="28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left" wrapText="1"/>
    </xf>
    <xf numFmtId="14" fontId="0" fillId="0" borderId="15" xfId="0" applyNumberFormat="1" applyBorder="1" applyAlignment="1">
      <alignment horizontal="center" wrapText="1"/>
    </xf>
    <xf numFmtId="0" fontId="37" fillId="0" borderId="13" xfId="31" applyFont="1" applyBorder="1" applyAlignment="1">
      <alignment horizontal="center" vertical="center" wrapText="1"/>
    </xf>
    <xf numFmtId="0" fontId="37" fillId="25" borderId="15" xfId="28" applyFont="1" applyFill="1" applyBorder="1" applyAlignment="1">
      <alignment vertical="center"/>
    </xf>
    <xf numFmtId="166" fontId="37" fillId="25" borderId="15" xfId="28" applyNumberFormat="1" applyFont="1" applyFill="1" applyBorder="1" applyAlignment="1">
      <alignment vertical="center"/>
    </xf>
    <xf numFmtId="2" fontId="37" fillId="25" borderId="15" xfId="28" applyNumberFormat="1" applyFont="1" applyFill="1" applyBorder="1" applyAlignment="1">
      <alignment vertical="center"/>
    </xf>
    <xf numFmtId="0" fontId="37" fillId="25" borderId="15" xfId="28" applyFont="1" applyFill="1" applyBorder="1" applyAlignment="1">
      <alignment horizontal="center" vertical="center"/>
    </xf>
    <xf numFmtId="2" fontId="37" fillId="25" borderId="15" xfId="28" applyNumberFormat="1" applyFont="1" applyFill="1" applyBorder="1" applyAlignment="1">
      <alignment horizontal="center" vertical="center"/>
    </xf>
    <xf numFmtId="0" fontId="37" fillId="25" borderId="15" xfId="31" applyFont="1" applyFill="1" applyBorder="1" applyAlignment="1">
      <alignment horizontal="center" vertical="center"/>
    </xf>
    <xf numFmtId="2" fontId="37" fillId="25" borderId="15" xfId="29" applyNumberFormat="1" applyFont="1" applyFill="1" applyBorder="1" applyAlignment="1">
      <alignment horizontal="center" vertical="center"/>
    </xf>
    <xf numFmtId="0" fontId="37" fillId="24" borderId="27" xfId="28" applyFont="1" applyFill="1" applyBorder="1" applyAlignment="1">
      <alignment vertical="center"/>
    </xf>
    <xf numFmtId="168" fontId="37" fillId="35" borderId="16" xfId="66" applyNumberFormat="1" applyFont="1" applyFill="1" applyBorder="1" applyAlignment="1">
      <alignment horizontal="center" vertical="center" wrapText="1"/>
    </xf>
    <xf numFmtId="168" fontId="37" fillId="37" borderId="16" xfId="31" applyNumberFormat="1" applyFont="1" applyFill="1" applyBorder="1" applyAlignment="1">
      <alignment horizontal="center" vertical="center" wrapText="1"/>
    </xf>
    <xf numFmtId="0" fontId="37" fillId="24" borderId="46" xfId="28" applyFont="1" applyFill="1" applyBorder="1" applyAlignment="1">
      <alignment vertical="center"/>
    </xf>
    <xf numFmtId="167" fontId="37" fillId="35" borderId="13" xfId="31" applyNumberFormat="1" applyFont="1" applyFill="1" applyBorder="1" applyAlignment="1">
      <alignment horizontal="center" vertical="center" wrapText="1"/>
    </xf>
    <xf numFmtId="168" fontId="37" fillId="35" borderId="13" xfId="31" applyNumberFormat="1" applyFont="1" applyFill="1" applyBorder="1" applyAlignment="1">
      <alignment horizontal="center" vertical="center" wrapText="1"/>
    </xf>
    <xf numFmtId="2" fontId="37" fillId="24" borderId="13" xfId="29" applyNumberFormat="1" applyFont="1" applyFill="1" applyBorder="1" applyAlignment="1">
      <alignment horizontal="center" vertical="center"/>
    </xf>
    <xf numFmtId="2" fontId="33" fillId="42" borderId="13" xfId="31" applyNumberFormat="1" applyFont="1" applyFill="1" applyBorder="1" applyAlignment="1">
      <alignment horizontal="center" vertical="center" wrapText="1"/>
    </xf>
    <xf numFmtId="166" fontId="37" fillId="35" borderId="13" xfId="31" applyNumberFormat="1" applyFont="1" applyFill="1" applyBorder="1" applyAlignment="1">
      <alignment horizontal="center" vertical="center" wrapText="1"/>
    </xf>
    <xf numFmtId="168" fontId="31" fillId="33" borderId="13" xfId="66" applyNumberFormat="1" applyFont="1" applyFill="1" applyBorder="1" applyAlignment="1">
      <alignment horizontal="center" vertical="center" wrapText="1"/>
    </xf>
    <xf numFmtId="2" fontId="37" fillId="24" borderId="13" xfId="68" applyNumberFormat="1" applyFont="1" applyFill="1" applyBorder="1" applyAlignment="1">
      <alignment horizontal="center" vertical="center"/>
    </xf>
    <xf numFmtId="169" fontId="37" fillId="0" borderId="13" xfId="31" applyNumberFormat="1" applyFont="1" applyBorder="1" applyAlignment="1">
      <alignment horizontal="center" vertical="center" wrapText="1"/>
    </xf>
    <xf numFmtId="165" fontId="37" fillId="35" borderId="13" xfId="66" applyNumberFormat="1" applyFont="1" applyFill="1" applyBorder="1" applyAlignment="1">
      <alignment horizontal="center" vertical="center" wrapText="1"/>
    </xf>
    <xf numFmtId="0" fontId="37" fillId="24" borderId="13" xfId="31" applyFont="1" applyFill="1" applyBorder="1" applyAlignment="1">
      <alignment horizontal="left" vertical="center"/>
    </xf>
    <xf numFmtId="168" fontId="37" fillId="38" borderId="13" xfId="66" applyNumberFormat="1" applyFont="1" applyFill="1" applyBorder="1" applyAlignment="1">
      <alignment vertical="center"/>
    </xf>
    <xf numFmtId="168" fontId="37" fillId="24" borderId="13" xfId="66" applyNumberFormat="1" applyFont="1" applyFill="1" applyBorder="1" applyAlignment="1">
      <alignment vertical="center"/>
    </xf>
    <xf numFmtId="168" fontId="37" fillId="24" borderId="13" xfId="28" applyNumberFormat="1" applyFont="1" applyFill="1" applyBorder="1" applyAlignment="1">
      <alignment vertical="center"/>
    </xf>
    <xf numFmtId="168" fontId="36" fillId="38" borderId="13" xfId="66" applyNumberFormat="1" applyFont="1" applyFill="1" applyBorder="1" applyAlignment="1">
      <alignment vertical="center"/>
    </xf>
    <xf numFmtId="0" fontId="28" fillId="24" borderId="13" xfId="28" applyFont="1" applyFill="1" applyBorder="1" applyAlignment="1">
      <alignment horizontal="left" vertical="center"/>
    </xf>
    <xf numFmtId="17" fontId="28" fillId="24" borderId="13" xfId="28" applyNumberFormat="1" applyFont="1" applyFill="1" applyBorder="1" applyAlignment="1">
      <alignment horizontal="left" vertical="center"/>
    </xf>
    <xf numFmtId="0" fontId="28" fillId="24" borderId="13" xfId="28" applyFont="1" applyFill="1" applyBorder="1" applyAlignment="1">
      <alignment horizontal="center" vertical="center"/>
    </xf>
    <xf numFmtId="0" fontId="28" fillId="24" borderId="50" xfId="28" applyFont="1" applyFill="1" applyBorder="1" applyAlignment="1">
      <alignment horizontal="left" vertical="center"/>
    </xf>
    <xf numFmtId="168" fontId="31" fillId="25" borderId="13" xfId="28" applyNumberFormat="1" applyFont="1" applyFill="1" applyBorder="1" applyAlignment="1">
      <alignment vertical="center"/>
    </xf>
    <xf numFmtId="168" fontId="0" fillId="0" borderId="13" xfId="0" applyNumberFormat="1" applyBorder="1"/>
    <xf numFmtId="165" fontId="31" fillId="25" borderId="13" xfId="66" applyNumberFormat="1" applyFont="1" applyFill="1" applyBorder="1" applyAlignment="1">
      <alignment vertical="center"/>
    </xf>
    <xf numFmtId="165" fontId="37" fillId="25" borderId="15" xfId="66" applyNumberFormat="1" applyFont="1" applyFill="1" applyBorder="1" applyAlignment="1">
      <alignment vertical="center"/>
    </xf>
    <xf numFmtId="0" fontId="37" fillId="25" borderId="15" xfId="28" applyFont="1" applyFill="1" applyBorder="1" applyAlignment="1">
      <alignment horizontal="left" vertical="center"/>
    </xf>
    <xf numFmtId="0" fontId="28" fillId="35" borderId="16" xfId="31" applyFont="1" applyFill="1" applyBorder="1" applyAlignment="1">
      <alignment horizontal="center" vertical="center" wrapText="1"/>
    </xf>
    <xf numFmtId="168" fontId="37" fillId="35" borderId="13" xfId="66" applyNumberFormat="1" applyFont="1" applyFill="1" applyBorder="1" applyAlignment="1">
      <alignment horizontal="center" vertical="center" wrapText="1"/>
    </xf>
    <xf numFmtId="2" fontId="33" fillId="36" borderId="13" xfId="31" applyNumberFormat="1" applyFont="1" applyFill="1" applyBorder="1" applyAlignment="1">
      <alignment horizontal="center" vertical="center" wrapText="1"/>
    </xf>
    <xf numFmtId="169" fontId="37" fillId="35" borderId="13" xfId="31" applyNumberFormat="1" applyFont="1" applyFill="1" applyBorder="1" applyAlignment="1">
      <alignment horizontal="center" vertical="center" wrapText="1"/>
    </xf>
    <xf numFmtId="0" fontId="37" fillId="24" borderId="13" xfId="28" applyFont="1" applyFill="1" applyBorder="1" applyAlignment="1">
      <alignment horizontal="left" vertical="center" wrapText="1"/>
    </xf>
    <xf numFmtId="17" fontId="37" fillId="24" borderId="13" xfId="28" applyNumberFormat="1" applyFont="1" applyFill="1" applyBorder="1" applyAlignment="1">
      <alignment horizontal="left" vertical="center"/>
    </xf>
    <xf numFmtId="0" fontId="37" fillId="24" borderId="13" xfId="28" applyFont="1" applyFill="1" applyBorder="1" applyAlignment="1">
      <alignment horizontal="center" vertical="center"/>
    </xf>
    <xf numFmtId="0" fontId="37" fillId="24" borderId="50" xfId="28" applyFont="1" applyFill="1" applyBorder="1" applyAlignment="1">
      <alignment vertical="center"/>
    </xf>
    <xf numFmtId="0" fontId="28" fillId="45" borderId="16" xfId="31" applyFont="1" applyFill="1" applyBorder="1" applyAlignment="1">
      <alignment horizontal="left" vertical="center" wrapText="1"/>
    </xf>
    <xf numFmtId="0" fontId="37" fillId="45" borderId="16" xfId="31" applyFont="1" applyFill="1" applyBorder="1" applyAlignment="1">
      <alignment horizontal="center" vertical="center" wrapText="1"/>
    </xf>
    <xf numFmtId="2" fontId="37" fillId="45" borderId="16" xfId="31" applyNumberFormat="1" applyFont="1" applyFill="1" applyBorder="1" applyAlignment="1">
      <alignment horizontal="center" vertical="center" wrapText="1"/>
    </xf>
    <xf numFmtId="0" fontId="37" fillId="25" borderId="13" xfId="31" applyFont="1" applyFill="1" applyBorder="1" applyAlignment="1">
      <alignment horizontal="center" vertical="center"/>
    </xf>
    <xf numFmtId="0" fontId="37" fillId="25" borderId="22" xfId="28" applyFont="1" applyFill="1" applyBorder="1" applyAlignment="1">
      <alignment vertical="center"/>
    </xf>
    <xf numFmtId="0" fontId="0" fillId="25" borderId="15" xfId="0" applyFill="1" applyBorder="1" applyAlignment="1">
      <alignment horizontal="center" wrapText="1"/>
    </xf>
    <xf numFmtId="2" fontId="36" fillId="48" borderId="15" xfId="31" applyNumberFormat="1" applyFont="1" applyFill="1" applyBorder="1" applyAlignment="1">
      <alignment vertical="center" wrapText="1"/>
    </xf>
    <xf numFmtId="166" fontId="36" fillId="48" borderId="15" xfId="31" applyNumberFormat="1" applyFont="1" applyFill="1" applyBorder="1" applyAlignment="1">
      <alignment vertical="center" wrapText="1"/>
    </xf>
    <xf numFmtId="168" fontId="37" fillId="45" borderId="55" xfId="85" applyNumberFormat="1" applyFont="1" applyFill="1" applyBorder="1" applyAlignment="1">
      <alignment horizontal="center" vertical="center" wrapText="1"/>
    </xf>
    <xf numFmtId="0" fontId="37" fillId="38" borderId="56" xfId="28" applyFont="1" applyFill="1" applyBorder="1" applyAlignment="1">
      <alignment vertical="center"/>
    </xf>
    <xf numFmtId="0" fontId="33" fillId="0" borderId="55" xfId="31" applyFont="1" applyBorder="1" applyAlignment="1">
      <alignment horizontal="center" vertical="center" wrapText="1"/>
    </xf>
    <xf numFmtId="0" fontId="0" fillId="0" borderId="55" xfId="0" applyBorder="1" applyAlignment="1">
      <alignment horizontal="center" wrapText="1"/>
    </xf>
    <xf numFmtId="0" fontId="37" fillId="35" borderId="55" xfId="31" applyFont="1" applyFill="1" applyBorder="1" applyAlignment="1">
      <alignment horizontal="center" vertical="center" wrapText="1"/>
    </xf>
    <xf numFmtId="2" fontId="37" fillId="35" borderId="55" xfId="31" applyNumberFormat="1" applyFont="1" applyFill="1" applyBorder="1" applyAlignment="1">
      <alignment horizontal="center" vertical="center" wrapText="1"/>
    </xf>
    <xf numFmtId="0" fontId="37" fillId="24" borderId="55" xfId="31" applyFont="1" applyFill="1" applyBorder="1" applyAlignment="1">
      <alignment horizontal="center" vertical="center"/>
    </xf>
    <xf numFmtId="167" fontId="37" fillId="35" borderId="55" xfId="31" applyNumberFormat="1" applyFont="1" applyFill="1" applyBorder="1" applyAlignment="1">
      <alignment horizontal="center" vertical="center" wrapText="1"/>
    </xf>
    <xf numFmtId="168" fontId="37" fillId="35" borderId="55" xfId="31" applyNumberFormat="1" applyFont="1" applyFill="1" applyBorder="1" applyAlignment="1">
      <alignment horizontal="center" vertical="center" wrapText="1"/>
    </xf>
    <xf numFmtId="2" fontId="37" fillId="24" borderId="55" xfId="29" applyNumberFormat="1" applyFont="1" applyFill="1" applyBorder="1" applyAlignment="1">
      <alignment horizontal="center" vertical="center"/>
    </xf>
    <xf numFmtId="2" fontId="33" fillId="36" borderId="55" xfId="31" applyNumberFormat="1" applyFont="1" applyFill="1" applyBorder="1" applyAlignment="1">
      <alignment horizontal="center" vertical="center" wrapText="1"/>
    </xf>
    <xf numFmtId="168" fontId="31" fillId="33" borderId="55" xfId="66" applyNumberFormat="1" applyFont="1" applyFill="1" applyBorder="1" applyAlignment="1">
      <alignment horizontal="center" vertical="center" wrapText="1"/>
    </xf>
    <xf numFmtId="2" fontId="37" fillId="24" borderId="55" xfId="68" applyNumberFormat="1" applyFont="1" applyFill="1" applyBorder="1" applyAlignment="1">
      <alignment horizontal="center" vertical="center"/>
    </xf>
    <xf numFmtId="169" fontId="37" fillId="35" borderId="55" xfId="31" applyNumberFormat="1" applyFont="1" applyFill="1" applyBorder="1" applyAlignment="1">
      <alignment horizontal="center" vertical="center" wrapText="1"/>
    </xf>
    <xf numFmtId="165" fontId="37" fillId="35" borderId="55" xfId="66" applyNumberFormat="1" applyFont="1" applyFill="1" applyBorder="1" applyAlignment="1">
      <alignment horizontal="center" vertical="center" wrapText="1"/>
    </xf>
    <xf numFmtId="0" fontId="37" fillId="24" borderId="55" xfId="31" applyFont="1" applyFill="1" applyBorder="1" applyAlignment="1">
      <alignment horizontal="left" vertical="center"/>
    </xf>
    <xf numFmtId="168" fontId="37" fillId="38" borderId="55" xfId="66" applyNumberFormat="1" applyFont="1" applyFill="1" applyBorder="1" applyAlignment="1">
      <alignment vertical="center"/>
    </xf>
    <xf numFmtId="168" fontId="37" fillId="24" borderId="55" xfId="66" applyNumberFormat="1" applyFont="1" applyFill="1" applyBorder="1" applyAlignment="1">
      <alignment vertical="center"/>
    </xf>
    <xf numFmtId="168" fontId="37" fillId="24" borderId="55" xfId="28" applyNumberFormat="1" applyFont="1" applyFill="1" applyBorder="1" applyAlignment="1">
      <alignment vertical="center"/>
    </xf>
    <xf numFmtId="168" fontId="36" fillId="38" borderId="55" xfId="66" applyNumberFormat="1" applyFont="1" applyFill="1" applyBorder="1" applyAlignment="1">
      <alignment vertical="center"/>
    </xf>
    <xf numFmtId="0" fontId="37" fillId="24" borderId="55" xfId="28" applyFont="1" applyFill="1" applyBorder="1" applyAlignment="1">
      <alignment horizontal="left" vertical="center" wrapText="1"/>
    </xf>
    <xf numFmtId="17" fontId="37" fillId="24" borderId="55" xfId="28" applyNumberFormat="1" applyFont="1" applyFill="1" applyBorder="1" applyAlignment="1">
      <alignment horizontal="left" vertical="center"/>
    </xf>
    <xf numFmtId="0" fontId="37" fillId="24" borderId="55" xfId="28" applyFont="1" applyFill="1" applyBorder="1" applyAlignment="1">
      <alignment horizontal="center" vertical="center"/>
    </xf>
    <xf numFmtId="0" fontId="37" fillId="24" borderId="57" xfId="28" applyFont="1" applyFill="1" applyBorder="1" applyAlignment="1">
      <alignment vertical="center"/>
    </xf>
    <xf numFmtId="168" fontId="31" fillId="25" borderId="55" xfId="28" applyNumberFormat="1" applyFont="1" applyFill="1" applyBorder="1" applyAlignment="1">
      <alignment vertical="center"/>
    </xf>
    <xf numFmtId="168" fontId="0" fillId="0" borderId="55" xfId="0" applyNumberFormat="1" applyBorder="1"/>
    <xf numFmtId="165" fontId="31" fillId="25" borderId="55" xfId="66" applyNumberFormat="1" applyFont="1" applyFill="1" applyBorder="1" applyAlignment="1">
      <alignment vertical="center"/>
    </xf>
    <xf numFmtId="168" fontId="36" fillId="0" borderId="15" xfId="31" applyNumberFormat="1" applyFont="1" applyBorder="1" applyAlignment="1">
      <alignment horizontal="center" vertical="center" wrapText="1"/>
    </xf>
    <xf numFmtId="0" fontId="37" fillId="0" borderId="55" xfId="31" applyFont="1" applyBorder="1" applyAlignment="1">
      <alignment horizontal="center" vertical="center" wrapText="1"/>
    </xf>
    <xf numFmtId="0" fontId="31" fillId="28" borderId="12" xfId="28" applyFont="1" applyFill="1" applyBorder="1" applyAlignment="1">
      <alignment horizontal="center" vertical="center"/>
    </xf>
    <xf numFmtId="0" fontId="32" fillId="30" borderId="40" xfId="29" applyFont="1" applyFill="1" applyBorder="1" applyAlignment="1">
      <alignment horizontal="center" vertical="center" wrapText="1"/>
    </xf>
    <xf numFmtId="0" fontId="32" fillId="30" borderId="29" xfId="29" applyFont="1" applyFill="1" applyBorder="1" applyAlignment="1">
      <alignment horizontal="center" vertical="center" wrapText="1"/>
    </xf>
    <xf numFmtId="0" fontId="27" fillId="34" borderId="12" xfId="29" applyFont="1" applyFill="1" applyBorder="1" applyAlignment="1">
      <alignment horizontal="center" vertical="center"/>
    </xf>
    <xf numFmtId="2" fontId="32" fillId="31" borderId="12" xfId="29" applyNumberFormat="1" applyFont="1" applyFill="1" applyBorder="1" applyAlignment="1">
      <alignment horizontal="center" vertical="center"/>
    </xf>
    <xf numFmtId="166" fontId="32" fillId="31" borderId="12" xfId="29" applyNumberFormat="1" applyFont="1" applyFill="1" applyBorder="1" applyAlignment="1">
      <alignment horizontal="center" vertical="center"/>
    </xf>
    <xf numFmtId="2" fontId="32" fillId="27" borderId="12" xfId="29" applyNumberFormat="1" applyFont="1" applyFill="1" applyBorder="1" applyAlignment="1">
      <alignment horizontal="center" vertical="center"/>
    </xf>
    <xf numFmtId="165" fontId="32" fillId="27" borderId="12" xfId="66" applyNumberFormat="1" applyFont="1" applyFill="1" applyBorder="1" applyAlignment="1">
      <alignment horizontal="center" vertical="center"/>
    </xf>
    <xf numFmtId="2" fontId="32" fillId="32" borderId="40" xfId="29" applyNumberFormat="1" applyFont="1" applyFill="1" applyBorder="1" applyAlignment="1">
      <alignment horizontal="center" vertical="center"/>
    </xf>
    <xf numFmtId="2" fontId="32" fillId="32" borderId="41" xfId="29" applyNumberFormat="1" applyFont="1" applyFill="1" applyBorder="1" applyAlignment="1">
      <alignment horizontal="center" vertical="center"/>
    </xf>
    <xf numFmtId="2" fontId="32" fillId="32" borderId="29" xfId="29" applyNumberFormat="1" applyFont="1" applyFill="1" applyBorder="1" applyAlignment="1">
      <alignment horizontal="center" vertical="center"/>
    </xf>
    <xf numFmtId="0" fontId="32" fillId="27" borderId="12" xfId="28" applyFont="1" applyFill="1" applyBorder="1" applyAlignment="1">
      <alignment horizontal="center" vertical="center"/>
    </xf>
    <xf numFmtId="2" fontId="46" fillId="24" borderId="13" xfId="29" applyNumberFormat="1" applyFont="1" applyFill="1" applyBorder="1" applyAlignment="1">
      <alignment horizontal="left" vertical="center" wrapText="1"/>
    </xf>
    <xf numFmtId="0" fontId="36" fillId="46" borderId="14" xfId="29" applyFont="1" applyFill="1" applyBorder="1" applyAlignment="1">
      <alignment horizontal="right" vertical="center" wrapText="1"/>
    </xf>
    <xf numFmtId="0" fontId="36" fillId="46" borderId="15" xfId="29" applyFont="1" applyFill="1" applyBorder="1" applyAlignment="1">
      <alignment horizontal="right" vertical="center" wrapText="1"/>
    </xf>
    <xf numFmtId="2" fontId="46" fillId="24" borderId="30" xfId="29" applyNumberFormat="1" applyFont="1" applyFill="1" applyBorder="1" applyAlignment="1">
      <alignment horizontal="center" vertical="center" wrapText="1"/>
    </xf>
    <xf numFmtId="2" fontId="46" fillId="24" borderId="31" xfId="29" applyNumberFormat="1" applyFont="1" applyFill="1" applyBorder="1" applyAlignment="1">
      <alignment horizontal="center" vertical="center" wrapText="1"/>
    </xf>
    <xf numFmtId="2" fontId="46" fillId="24" borderId="32" xfId="29" applyNumberFormat="1" applyFont="1" applyFill="1" applyBorder="1" applyAlignment="1">
      <alignment horizontal="center" vertical="center" wrapText="1"/>
    </xf>
    <xf numFmtId="0" fontId="37" fillId="24" borderId="16" xfId="28" applyFont="1" applyFill="1" applyBorder="1" applyAlignment="1">
      <alignment horizontal="center" vertical="center" wrapText="1"/>
    </xf>
    <xf numFmtId="0" fontId="37" fillId="24" borderId="17" xfId="28" applyFont="1" applyFill="1" applyBorder="1" applyAlignment="1">
      <alignment horizontal="center" vertical="center" wrapText="1"/>
    </xf>
    <xf numFmtId="0" fontId="37" fillId="24" borderId="13" xfId="28" applyFont="1" applyFill="1" applyBorder="1" applyAlignment="1">
      <alignment horizontal="center" vertical="center" wrapText="1"/>
    </xf>
    <xf numFmtId="2" fontId="46" fillId="24" borderId="36" xfId="29" applyNumberFormat="1" applyFont="1" applyFill="1" applyBorder="1" applyAlignment="1">
      <alignment horizontal="center" vertical="center" wrapText="1"/>
    </xf>
    <xf numFmtId="2" fontId="46" fillId="24" borderId="37" xfId="29" applyNumberFormat="1" applyFont="1" applyFill="1" applyBorder="1" applyAlignment="1">
      <alignment horizontal="center" vertical="center" wrapText="1"/>
    </xf>
    <xf numFmtId="2" fontId="46" fillId="24" borderId="38" xfId="29" applyNumberFormat="1" applyFont="1" applyFill="1" applyBorder="1" applyAlignment="1">
      <alignment horizontal="center" vertical="center" wrapText="1"/>
    </xf>
    <xf numFmtId="0" fontId="37" fillId="24" borderId="12" xfId="28" applyFont="1" applyFill="1" applyBorder="1" applyAlignment="1">
      <alignment horizontal="right" vertical="center" wrapText="1"/>
    </xf>
    <xf numFmtId="0" fontId="37" fillId="24" borderId="13" xfId="28" applyFont="1" applyFill="1" applyBorder="1" applyAlignment="1">
      <alignment horizontal="right" vertical="center" wrapText="1"/>
    </xf>
    <xf numFmtId="2" fontId="28" fillId="42" borderId="15" xfId="31" applyNumberFormat="1" applyFont="1" applyFill="1" applyBorder="1" applyAlignment="1">
      <alignment horizontal="center" vertical="center" wrapText="1"/>
    </xf>
    <xf numFmtId="0" fontId="33" fillId="0" borderId="15" xfId="31" applyFont="1" applyBorder="1" applyAlignment="1">
      <alignment horizontal="center" vertical="center" wrapText="1"/>
    </xf>
    <xf numFmtId="0" fontId="33" fillId="0" borderId="16" xfId="31" applyFont="1" applyBorder="1" applyAlignment="1">
      <alignment horizontal="center" vertical="center" wrapText="1"/>
    </xf>
    <xf numFmtId="0" fontId="33" fillId="0" borderId="17" xfId="31" applyFont="1" applyBorder="1" applyAlignment="1">
      <alignment horizontal="center" vertical="center" wrapText="1"/>
    </xf>
    <xf numFmtId="0" fontId="33" fillId="0" borderId="13" xfId="31" applyFont="1" applyBorder="1" applyAlignment="1">
      <alignment horizontal="center" vertical="center" wrapText="1"/>
    </xf>
    <xf numFmtId="2" fontId="37" fillId="48" borderId="16" xfId="31" applyNumberFormat="1" applyFont="1" applyFill="1" applyBorder="1" applyAlignment="1">
      <alignment horizontal="center" vertical="center" wrapText="1"/>
    </xf>
    <xf numFmtId="2" fontId="37" fillId="48" borderId="17" xfId="31" applyNumberFormat="1" applyFont="1" applyFill="1" applyBorder="1" applyAlignment="1">
      <alignment horizontal="center" vertical="center" wrapText="1"/>
    </xf>
    <xf numFmtId="2" fontId="37" fillId="48" borderId="13" xfId="31" applyNumberFormat="1" applyFont="1" applyFill="1" applyBorder="1" applyAlignment="1">
      <alignment horizontal="center" vertical="center" wrapText="1"/>
    </xf>
    <xf numFmtId="0" fontId="37" fillId="0" borderId="16" xfId="31" applyFont="1" applyBorder="1" applyAlignment="1">
      <alignment horizontal="center" vertical="center" wrapText="1"/>
    </xf>
    <xf numFmtId="0" fontId="37" fillId="0" borderId="17" xfId="31" applyFont="1" applyBorder="1" applyAlignment="1">
      <alignment horizontal="center" vertical="center" wrapText="1"/>
    </xf>
    <xf numFmtId="0" fontId="37" fillId="0" borderId="13" xfId="31" applyFont="1" applyBorder="1" applyAlignment="1">
      <alignment horizontal="center" vertical="center" wrapText="1"/>
    </xf>
    <xf numFmtId="0" fontId="37" fillId="0" borderId="15" xfId="31" applyFont="1" applyBorder="1" applyAlignment="1">
      <alignment horizontal="center" vertical="center" wrapText="1"/>
    </xf>
    <xf numFmtId="2" fontId="28" fillId="42" borderId="16" xfId="31" applyNumberFormat="1" applyFont="1" applyFill="1" applyBorder="1" applyAlignment="1">
      <alignment horizontal="center" vertical="center" wrapText="1"/>
    </xf>
    <xf numFmtId="2" fontId="28" fillId="42" borderId="17" xfId="31" applyNumberFormat="1" applyFont="1" applyFill="1" applyBorder="1" applyAlignment="1">
      <alignment horizontal="center" vertical="center" wrapText="1"/>
    </xf>
    <xf numFmtId="2" fontId="28" fillId="42" borderId="13" xfId="31" applyNumberFormat="1" applyFont="1" applyFill="1" applyBorder="1" applyAlignment="1">
      <alignment horizontal="center" vertical="center" wrapText="1"/>
    </xf>
    <xf numFmtId="0" fontId="37" fillId="35" borderId="16" xfId="31" applyFont="1" applyFill="1" applyBorder="1" applyAlignment="1">
      <alignment horizontal="center" vertical="center" wrapText="1"/>
    </xf>
    <xf numFmtId="0" fontId="37" fillId="35" borderId="17" xfId="31" applyFont="1" applyFill="1" applyBorder="1" applyAlignment="1">
      <alignment horizontal="center" vertical="center" wrapText="1"/>
    </xf>
    <xf numFmtId="0" fontId="37" fillId="35" borderId="13" xfId="31" applyFont="1" applyFill="1" applyBorder="1" applyAlignment="1">
      <alignment horizontal="center" vertical="center" wrapText="1"/>
    </xf>
    <xf numFmtId="0" fontId="28" fillId="0" borderId="16" xfId="31" applyFont="1" applyBorder="1" applyAlignment="1">
      <alignment horizontal="center" vertical="center" wrapText="1"/>
    </xf>
    <xf numFmtId="0" fontId="28" fillId="0" borderId="17" xfId="31" applyFont="1" applyBorder="1" applyAlignment="1">
      <alignment horizontal="center" vertical="center" wrapText="1"/>
    </xf>
    <xf numFmtId="0" fontId="28" fillId="0" borderId="13" xfId="31" applyFont="1" applyBorder="1" applyAlignment="1">
      <alignment horizontal="center" vertical="center" wrapText="1"/>
    </xf>
    <xf numFmtId="0" fontId="33" fillId="0" borderId="16" xfId="31" applyFont="1" applyBorder="1" applyAlignment="1">
      <alignment horizontal="center" vertical="center"/>
    </xf>
    <xf numFmtId="0" fontId="33" fillId="0" borderId="13" xfId="31" applyFont="1" applyBorder="1" applyAlignment="1">
      <alignment horizontal="center" vertical="center"/>
    </xf>
    <xf numFmtId="0" fontId="37" fillId="38" borderId="27" xfId="28" applyFont="1" applyFill="1" applyBorder="1" applyAlignment="1">
      <alignment horizontal="left" vertical="center"/>
    </xf>
    <xf numFmtId="0" fontId="37" fillId="38" borderId="47" xfId="28" applyFont="1" applyFill="1" applyBorder="1" applyAlignment="1">
      <alignment horizontal="left" vertical="center"/>
    </xf>
    <xf numFmtId="0" fontId="37" fillId="38" borderId="46" xfId="28" applyFont="1" applyFill="1" applyBorder="1" applyAlignment="1">
      <alignment horizontal="left" vertical="center"/>
    </xf>
    <xf numFmtId="0" fontId="28" fillId="0" borderId="15" xfId="31" applyFont="1" applyBorder="1" applyAlignment="1">
      <alignment horizontal="center" vertical="center" wrapText="1"/>
    </xf>
    <xf numFmtId="0" fontId="37" fillId="38" borderId="27" xfId="28" applyFont="1" applyFill="1" applyBorder="1" applyAlignment="1">
      <alignment horizontal="center" vertical="center"/>
    </xf>
    <xf numFmtId="0" fontId="37" fillId="38" borderId="47" xfId="28" applyFont="1" applyFill="1" applyBorder="1" applyAlignment="1">
      <alignment horizontal="center" vertical="center"/>
    </xf>
    <xf numFmtId="0" fontId="37" fillId="38" borderId="46" xfId="28" applyFont="1" applyFill="1" applyBorder="1" applyAlignment="1">
      <alignment horizontal="center" vertical="center"/>
    </xf>
    <xf numFmtId="0" fontId="36" fillId="25" borderId="36" xfId="29" applyFont="1" applyFill="1" applyBorder="1" applyAlignment="1">
      <alignment horizontal="center" vertical="center"/>
    </xf>
    <xf numFmtId="0" fontId="37" fillId="0" borderId="59" xfId="31" applyFont="1" applyBorder="1" applyAlignment="1">
      <alignment horizontal="center" vertical="center" wrapText="1"/>
    </xf>
    <xf numFmtId="0" fontId="28" fillId="0" borderId="59" xfId="31" applyFont="1" applyBorder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37" fillId="0" borderId="59" xfId="31" applyFont="1" applyBorder="1" applyAlignment="1">
      <alignment vertical="center" wrapText="1"/>
    </xf>
    <xf numFmtId="0" fontId="0" fillId="0" borderId="59" xfId="0" applyBorder="1" applyAlignment="1">
      <alignment wrapText="1"/>
    </xf>
    <xf numFmtId="0" fontId="33" fillId="0" borderId="59" xfId="31" applyFont="1" applyBorder="1" applyAlignment="1">
      <alignment horizontal="left" vertical="center" wrapText="1"/>
    </xf>
    <xf numFmtId="0" fontId="33" fillId="0" borderId="60" xfId="31" applyFont="1" applyBorder="1" applyAlignment="1">
      <alignment horizontal="center" vertical="center" wrapText="1"/>
    </xf>
    <xf numFmtId="0" fontId="33" fillId="0" borderId="59" xfId="31" applyFont="1" applyBorder="1" applyAlignment="1">
      <alignment horizontal="center" vertical="center" wrapText="1"/>
    </xf>
    <xf numFmtId="0" fontId="28" fillId="0" borderId="60" xfId="31" applyFont="1" applyBorder="1" applyAlignment="1">
      <alignment horizontal="center" vertical="center" wrapText="1"/>
    </xf>
    <xf numFmtId="0" fontId="37" fillId="38" borderId="59" xfId="28" applyFont="1" applyFill="1" applyBorder="1" applyAlignment="1">
      <alignment vertical="center" wrapText="1"/>
    </xf>
    <xf numFmtId="0" fontId="28" fillId="0" borderId="60" xfId="31" applyFont="1" applyBorder="1" applyAlignment="1">
      <alignment vertical="center" wrapText="1"/>
    </xf>
    <xf numFmtId="0" fontId="0" fillId="0" borderId="59" xfId="0" applyBorder="1"/>
    <xf numFmtId="0" fontId="27" fillId="34" borderId="61" xfId="29" applyFont="1" applyFill="1" applyBorder="1" applyAlignment="1">
      <alignment horizontal="center" vertical="center"/>
    </xf>
    <xf numFmtId="0" fontId="36" fillId="25" borderId="38" xfId="29" applyFont="1" applyFill="1" applyBorder="1" applyAlignment="1">
      <alignment horizontal="center" vertical="center" wrapText="1"/>
    </xf>
    <xf numFmtId="0" fontId="37" fillId="35" borderId="62" xfId="31" applyFont="1" applyFill="1" applyBorder="1" applyAlignment="1">
      <alignment horizontal="center" vertical="center" wrapText="1"/>
    </xf>
    <xf numFmtId="0" fontId="37" fillId="35" borderId="61" xfId="31" applyFont="1" applyFill="1" applyBorder="1" applyAlignment="1">
      <alignment horizontal="center" vertical="center" wrapText="1"/>
    </xf>
    <xf numFmtId="0" fontId="37" fillId="35" borderId="32" xfId="31" applyFont="1" applyFill="1" applyBorder="1" applyAlignment="1">
      <alignment horizontal="center" vertical="center" wrapText="1"/>
    </xf>
    <xf numFmtId="0" fontId="36" fillId="24" borderId="55" xfId="29" applyFont="1" applyFill="1" applyBorder="1" applyAlignment="1">
      <alignment vertical="center"/>
    </xf>
    <xf numFmtId="0" fontId="32" fillId="30" borderId="55" xfId="29" applyFont="1" applyFill="1" applyBorder="1" applyAlignment="1">
      <alignment horizontal="center" vertical="center" wrapText="1"/>
    </xf>
    <xf numFmtId="0" fontId="36" fillId="25" borderId="55" xfId="29" applyFont="1" applyFill="1" applyBorder="1" applyAlignment="1">
      <alignment horizontal="center" vertical="center"/>
    </xf>
    <xf numFmtId="0" fontId="36" fillId="25" borderId="55" xfId="29" applyFont="1" applyFill="1" applyBorder="1" applyAlignment="1">
      <alignment horizontal="center" vertical="center" wrapText="1"/>
    </xf>
    <xf numFmtId="0" fontId="37" fillId="41" borderId="55" xfId="31" applyFont="1" applyFill="1" applyBorder="1" applyAlignment="1">
      <alignment horizontal="center" vertical="center" wrapText="1"/>
    </xf>
    <xf numFmtId="0" fontId="37" fillId="0" borderId="55" xfId="31" quotePrefix="1" applyFont="1" applyBorder="1" applyAlignment="1">
      <alignment horizontal="center" vertical="center" wrapText="1"/>
    </xf>
    <xf numFmtId="0" fontId="37" fillId="43" borderId="55" xfId="31" applyFont="1" applyFill="1" applyBorder="1" applyAlignment="1">
      <alignment horizontal="center" vertical="center" wrapText="1"/>
    </xf>
    <xf numFmtId="0" fontId="0" fillId="0" borderId="55" xfId="0" applyBorder="1" applyAlignment="1">
      <alignment wrapText="1"/>
    </xf>
    <xf numFmtId="0" fontId="37" fillId="45" borderId="55" xfId="31" applyFont="1" applyFill="1" applyBorder="1" applyAlignment="1">
      <alignment horizontal="center" vertical="center" wrapText="1"/>
    </xf>
    <xf numFmtId="0" fontId="38" fillId="41" borderId="55" xfId="31" applyFont="1" applyFill="1" applyBorder="1" applyAlignment="1">
      <alignment horizontal="center" vertical="center" wrapText="1"/>
    </xf>
    <xf numFmtId="0" fontId="37" fillId="38" borderId="63" xfId="28" applyFont="1" applyFill="1" applyBorder="1" applyAlignment="1">
      <alignment vertical="center"/>
    </xf>
    <xf numFmtId="0" fontId="37" fillId="0" borderId="58" xfId="31" applyFont="1" applyBorder="1" applyAlignment="1">
      <alignment horizontal="center" vertical="center" wrapText="1"/>
    </xf>
    <xf numFmtId="0" fontId="37" fillId="35" borderId="58" xfId="31" applyFont="1" applyFill="1" applyBorder="1" applyAlignment="1">
      <alignment horizontal="center" vertical="center" wrapText="1"/>
    </xf>
    <xf numFmtId="2" fontId="37" fillId="35" borderId="58" xfId="31" applyNumberFormat="1" applyFont="1" applyFill="1" applyBorder="1" applyAlignment="1">
      <alignment horizontal="center" vertical="center" wrapText="1"/>
    </xf>
    <xf numFmtId="0" fontId="37" fillId="24" borderId="58" xfId="31" applyFont="1" applyFill="1" applyBorder="1" applyAlignment="1">
      <alignment horizontal="center" vertical="center"/>
    </xf>
    <xf numFmtId="167" fontId="37" fillId="35" borderId="58" xfId="31" applyNumberFormat="1" applyFont="1" applyFill="1" applyBorder="1" applyAlignment="1">
      <alignment horizontal="center" vertical="center" wrapText="1"/>
    </xf>
    <xf numFmtId="168" fontId="37" fillId="35" borderId="58" xfId="31" applyNumberFormat="1" applyFont="1" applyFill="1" applyBorder="1" applyAlignment="1">
      <alignment horizontal="center" vertical="center" wrapText="1"/>
    </xf>
    <xf numFmtId="2" fontId="37" fillId="24" borderId="58" xfId="29" applyNumberFormat="1" applyFont="1" applyFill="1" applyBorder="1" applyAlignment="1">
      <alignment horizontal="center" vertical="center"/>
    </xf>
    <xf numFmtId="0" fontId="28" fillId="0" borderId="58" xfId="31" applyFont="1" applyBorder="1" applyAlignment="1">
      <alignment horizontal="center" vertical="center" wrapText="1"/>
    </xf>
    <xf numFmtId="2" fontId="33" fillId="36" borderId="58" xfId="31" applyNumberFormat="1" applyFont="1" applyFill="1" applyBorder="1" applyAlignment="1">
      <alignment horizontal="center" vertical="center" wrapText="1"/>
    </xf>
    <xf numFmtId="166" fontId="37" fillId="35" borderId="58" xfId="31" applyNumberFormat="1" applyFont="1" applyFill="1" applyBorder="1" applyAlignment="1">
      <alignment horizontal="center" vertical="center" wrapText="1"/>
    </xf>
    <xf numFmtId="168" fontId="31" fillId="33" borderId="58" xfId="66" applyNumberFormat="1" applyFont="1" applyFill="1" applyBorder="1" applyAlignment="1">
      <alignment horizontal="center" vertical="center" wrapText="1"/>
    </xf>
    <xf numFmtId="2" fontId="37" fillId="24" borderId="58" xfId="68" applyNumberFormat="1" applyFont="1" applyFill="1" applyBorder="1" applyAlignment="1">
      <alignment horizontal="center" vertical="center"/>
    </xf>
    <xf numFmtId="169" fontId="37" fillId="35" borderId="58" xfId="31" applyNumberFormat="1" applyFont="1" applyFill="1" applyBorder="1" applyAlignment="1">
      <alignment horizontal="center" vertical="center" wrapText="1"/>
    </xf>
    <xf numFmtId="165" fontId="37" fillId="35" borderId="58" xfId="66" applyNumberFormat="1" applyFont="1" applyFill="1" applyBorder="1" applyAlignment="1">
      <alignment horizontal="center" vertical="center" wrapText="1"/>
    </xf>
    <xf numFmtId="0" fontId="37" fillId="24" borderId="58" xfId="31" applyFont="1" applyFill="1" applyBorder="1" applyAlignment="1">
      <alignment horizontal="left" vertical="center"/>
    </xf>
    <xf numFmtId="168" fontId="37" fillId="38" borderId="58" xfId="66" applyNumberFormat="1" applyFont="1" applyFill="1" applyBorder="1" applyAlignment="1">
      <alignment vertical="center"/>
    </xf>
    <xf numFmtId="168" fontId="37" fillId="24" borderId="58" xfId="66" applyNumberFormat="1" applyFont="1" applyFill="1" applyBorder="1" applyAlignment="1">
      <alignment vertical="center"/>
    </xf>
    <xf numFmtId="168" fontId="37" fillId="24" borderId="58" xfId="28" applyNumberFormat="1" applyFont="1" applyFill="1" applyBorder="1" applyAlignment="1">
      <alignment vertical="center"/>
    </xf>
    <xf numFmtId="168" fontId="36" fillId="38" borderId="58" xfId="66" applyNumberFormat="1" applyFont="1" applyFill="1" applyBorder="1" applyAlignment="1">
      <alignment vertical="center"/>
    </xf>
    <xf numFmtId="0" fontId="40" fillId="24" borderId="58" xfId="28" applyFont="1" applyFill="1" applyBorder="1" applyAlignment="1">
      <alignment horizontal="left" vertical="center"/>
    </xf>
    <xf numFmtId="17" fontId="40" fillId="24" borderId="58" xfId="28" applyNumberFormat="1" applyFont="1" applyFill="1" applyBorder="1" applyAlignment="1">
      <alignment horizontal="left" vertical="center"/>
    </xf>
    <xf numFmtId="0" fontId="40" fillId="24" borderId="58" xfId="28" applyFont="1" applyFill="1" applyBorder="1" applyAlignment="1">
      <alignment horizontal="center" vertical="center"/>
    </xf>
    <xf numFmtId="0" fontId="40" fillId="24" borderId="64" xfId="28" applyFont="1" applyFill="1" applyBorder="1" applyAlignment="1">
      <alignment vertical="center"/>
    </xf>
    <xf numFmtId="168" fontId="31" fillId="25" borderId="58" xfId="28" applyNumberFormat="1" applyFont="1" applyFill="1" applyBorder="1" applyAlignment="1">
      <alignment vertical="center"/>
    </xf>
    <xf numFmtId="168" fontId="0" fillId="0" borderId="58" xfId="0" applyNumberFormat="1" applyBorder="1"/>
    <xf numFmtId="165" fontId="31" fillId="25" borderId="58" xfId="66" applyNumberFormat="1" applyFont="1" applyFill="1" applyBorder="1" applyAlignment="1">
      <alignment vertical="center"/>
    </xf>
    <xf numFmtId="0" fontId="37" fillId="24" borderId="55" xfId="28" applyFont="1" applyFill="1" applyBorder="1" applyAlignment="1">
      <alignment vertical="center"/>
    </xf>
    <xf numFmtId="0" fontId="21" fillId="0" borderId="55" xfId="0" applyFont="1" applyBorder="1" applyAlignment="1">
      <alignment horizontal="left" wrapText="1"/>
    </xf>
    <xf numFmtId="2" fontId="28" fillId="42" borderId="55" xfId="31" applyNumberFormat="1" applyFont="1" applyFill="1" applyBorder="1" applyAlignment="1">
      <alignment horizontal="center" vertical="center" wrapText="1"/>
    </xf>
    <xf numFmtId="166" fontId="37" fillId="35" borderId="55" xfId="31" applyNumberFormat="1" applyFont="1" applyFill="1" applyBorder="1" applyAlignment="1">
      <alignment horizontal="center" vertical="center" wrapText="1"/>
    </xf>
    <xf numFmtId="0" fontId="37" fillId="35" borderId="55" xfId="66" applyNumberFormat="1" applyFont="1" applyFill="1" applyBorder="1" applyAlignment="1">
      <alignment horizontal="center" vertical="center" wrapText="1"/>
    </xf>
    <xf numFmtId="0" fontId="28" fillId="24" borderId="55" xfId="28" applyFont="1" applyFill="1" applyBorder="1" applyAlignment="1">
      <alignment horizontal="left" vertical="center"/>
    </xf>
    <xf numFmtId="17" fontId="28" fillId="24" borderId="55" xfId="28" applyNumberFormat="1" applyFont="1" applyFill="1" applyBorder="1" applyAlignment="1">
      <alignment horizontal="left" vertical="center"/>
    </xf>
    <xf numFmtId="0" fontId="28" fillId="24" borderId="55" xfId="28" applyFont="1" applyFill="1" applyBorder="1" applyAlignment="1">
      <alignment horizontal="center" vertical="center"/>
    </xf>
    <xf numFmtId="0" fontId="28" fillId="24" borderId="55" xfId="28" applyFont="1" applyFill="1" applyBorder="1" applyAlignment="1">
      <alignment vertical="center"/>
    </xf>
    <xf numFmtId="0" fontId="37" fillId="38" borderId="55" xfId="28" applyFont="1" applyFill="1" applyBorder="1" applyAlignment="1">
      <alignment vertical="center"/>
    </xf>
  </cellXfs>
  <cellStyles count="9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79" xr:uid="{42129294-1EF0-46EC-AE19-AAF3D6614F24}"/>
    <cellStyle name="Check Cell" xfId="27" builtinId="23" customBuiltin="1"/>
    <cellStyle name="Comma" xfId="66" builtinId="3"/>
    <cellStyle name="Comma 2" xfId="85" xr:uid="{05A5D018-916E-4660-92D0-4A9C1344B6AB}"/>
    <cellStyle name="Excel Built-in Hyperlink" xfId="49" xr:uid="{00000000-0005-0000-0000-00001C000000}"/>
    <cellStyle name="Excel Built-in Normal" xfId="28" xr:uid="{00000000-0005-0000-0000-00001D000000}"/>
    <cellStyle name="Excel Built-in Normal 1" xfId="29" xr:uid="{00000000-0005-0000-0000-00001E000000}"/>
    <cellStyle name="Excel Built-in Normal 1 1" xfId="30" xr:uid="{00000000-0005-0000-0000-00001F000000}"/>
    <cellStyle name="Excel Built-in Normal 1 1 1" xfId="31" xr:uid="{00000000-0005-0000-0000-000020000000}"/>
    <cellStyle name="Excel Built-in Normal 1 1 1 1" xfId="48" xr:uid="{00000000-0005-0000-0000-000021000000}"/>
    <cellStyle name="Excel Built-in Normal 1 1 1 1 1" xfId="50" xr:uid="{00000000-0005-0000-0000-000022000000}"/>
    <cellStyle name="Excel Built-in Normal 1 1 1 1 2" xfId="51" xr:uid="{00000000-0005-0000-0000-000023000000}"/>
    <cellStyle name="Excel Built-in Normal 1 1 1 1 2 1" xfId="60" xr:uid="{00000000-0005-0000-0000-000024000000}"/>
    <cellStyle name="Excel Built-in Normal 1 1 1 1 2 1 2" xfId="78" xr:uid="{00000000-0005-0000-0000-000025000000}"/>
    <cellStyle name="Excel Built-in Normal 1 1 1 1 5" xfId="64" xr:uid="{00000000-0005-0000-0000-000026000000}"/>
    <cellStyle name="Excel Built-in Normal 1 1 1 3" xfId="52" xr:uid="{00000000-0005-0000-0000-000027000000}"/>
    <cellStyle name="Excel Built-in Normal 1 1 1 3 2" xfId="61" xr:uid="{00000000-0005-0000-0000-000028000000}"/>
    <cellStyle name="Excel Built-in Normal 1 1 1 4" xfId="53" xr:uid="{00000000-0005-0000-0000-000029000000}"/>
    <cellStyle name="Excel Built-in Normal 1 1 1 4 2" xfId="62" xr:uid="{00000000-0005-0000-0000-00002A000000}"/>
    <cellStyle name="Excel Built-in Normal 1 1 1 4 3" xfId="63" xr:uid="{00000000-0005-0000-0000-00002B000000}"/>
    <cellStyle name="Excel Built-in Normal 1 1 1 5" xfId="54" xr:uid="{00000000-0005-0000-0000-00002C000000}"/>
    <cellStyle name="Excel Built-in Normal 1 1 1 5 4" xfId="65" xr:uid="{00000000-0005-0000-0000-00002D000000}"/>
    <cellStyle name="Excel Built-in Normal 2" xfId="68" xr:uid="{00000000-0005-0000-0000-00002E000000}"/>
    <cellStyle name="Excel Built-in Normal_Airoli" xfId="32" xr:uid="{00000000-0005-0000-0000-00002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 2" xfId="57" xr:uid="{00000000-0005-0000-0000-000036000000}"/>
    <cellStyle name="Hyperlink 3" xfId="58" xr:uid="{00000000-0005-0000-0000-000037000000}"/>
    <cellStyle name="Hyperlink 4" xfId="69" xr:uid="{00000000-0005-0000-0000-000038000000}"/>
    <cellStyle name="Input" xfId="39" builtinId="20" customBuiltin="1"/>
    <cellStyle name="Input 2" xfId="80" xr:uid="{C18D694A-29A0-40A0-A713-0D5F3F73E2C6}"/>
    <cellStyle name="Linked Cell" xfId="40" builtinId="24" customBuiltin="1"/>
    <cellStyle name="Neutral" xfId="41" builtinId="28" customBuiltin="1"/>
    <cellStyle name="Normal" xfId="0" builtinId="0"/>
    <cellStyle name="Normal 10" xfId="71" xr:uid="{00000000-0005-0000-0000-00003D000000}"/>
    <cellStyle name="Normal 11" xfId="72" xr:uid="{00000000-0005-0000-0000-00003E000000}"/>
    <cellStyle name="Normal 11 2" xfId="87" xr:uid="{A9DD8121-74D0-44BD-A6CF-B2E6591B1609}"/>
    <cellStyle name="Normal 14" xfId="73" xr:uid="{00000000-0005-0000-0000-00003F000000}"/>
    <cellStyle name="Normal 14 2" xfId="88" xr:uid="{3E940A50-392B-4105-AC7C-2621001AD05B}"/>
    <cellStyle name="Normal 2" xfId="42" xr:uid="{00000000-0005-0000-0000-000040000000}"/>
    <cellStyle name="Normal 3" xfId="56" xr:uid="{00000000-0005-0000-0000-000041000000}"/>
    <cellStyle name="Normal 4" xfId="59" xr:uid="{00000000-0005-0000-0000-000042000000}"/>
    <cellStyle name="Normal 4 2" xfId="84" xr:uid="{A9AEED42-D7D6-4883-8549-20084028A777}"/>
    <cellStyle name="Normal 5" xfId="67" xr:uid="{00000000-0005-0000-0000-000043000000}"/>
    <cellStyle name="Normal 6" xfId="76" xr:uid="{00000000-0005-0000-0000-000044000000}"/>
    <cellStyle name="Normal 6 2" xfId="77" xr:uid="{00000000-0005-0000-0000-000045000000}"/>
    <cellStyle name="Normal 6 2 2" xfId="89" xr:uid="{EDEE59A2-2223-48C7-8C86-4400C3A0EA9C}"/>
    <cellStyle name="Normal 8" xfId="70" xr:uid="{00000000-0005-0000-0000-000046000000}"/>
    <cellStyle name="Normal 8 2" xfId="86" xr:uid="{2B59F296-CB75-43DC-99D4-D6E1D8B2824A}"/>
    <cellStyle name="Note" xfId="43" builtinId="10" customBuiltin="1"/>
    <cellStyle name="Note 2" xfId="81" xr:uid="{52DC4BD8-8FA9-4B08-9746-A0C57C39B91A}"/>
    <cellStyle name="Output" xfId="44" builtinId="21" customBuiltin="1"/>
    <cellStyle name="Output 2" xfId="82" xr:uid="{37AFC410-1AE3-4F04-B04A-ED90D48CCC3A}"/>
    <cellStyle name="Percent" xfId="75" builtinId="5"/>
    <cellStyle name="Percent 2" xfId="55" xr:uid="{00000000-0005-0000-0000-00004A000000}"/>
    <cellStyle name="TableStyleLight1" xfId="74" xr:uid="{00000000-0005-0000-0000-00004B000000}"/>
    <cellStyle name="Title" xfId="45" builtinId="15" customBuiltin="1"/>
    <cellStyle name="Total" xfId="46" builtinId="25" customBuiltin="1"/>
    <cellStyle name="Total 2" xfId="83" xr:uid="{E8E0AD48-C452-495A-B3E3-6F7FBF867409}"/>
    <cellStyle name="Warning Text" xfId="47" builtinId="11" customBuiltin="1"/>
  </cellStyles>
  <dxfs count="64"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zoomScale="132" workbookViewId="0">
      <selection activeCell="A14" sqref="A14"/>
    </sheetView>
  </sheetViews>
  <sheetFormatPr defaultColWidth="9" defaultRowHeight="13" x14ac:dyDescent="0.3"/>
  <cols>
    <col min="1" max="1" width="24.09765625" style="74" bestFit="1" customWidth="1"/>
    <col min="2" max="11" width="15" style="74" customWidth="1"/>
    <col min="12" max="12" width="19.69921875" style="74" customWidth="1"/>
    <col min="13" max="14" width="15" style="74" customWidth="1"/>
    <col min="15" max="15" width="18.09765625" style="74" customWidth="1"/>
    <col min="16" max="26" width="15" style="74" customWidth="1"/>
    <col min="27" max="27" width="18.3984375" style="74" customWidth="1"/>
    <col min="28" max="16384" width="9" style="74"/>
  </cols>
  <sheetData>
    <row r="1" spans="1:28" x14ac:dyDescent="0.3">
      <c r="A1" s="120" t="s">
        <v>257</v>
      </c>
      <c r="B1" s="121" t="s">
        <v>258</v>
      </c>
      <c r="C1" s="122" t="s">
        <v>267</v>
      </c>
      <c r="D1" s="86"/>
      <c r="E1" s="82"/>
      <c r="F1" s="75"/>
      <c r="G1" s="75"/>
      <c r="H1" s="75"/>
      <c r="I1" s="98"/>
      <c r="J1" s="99"/>
      <c r="K1" s="98"/>
      <c r="L1" s="98"/>
      <c r="M1" s="75"/>
      <c r="N1" s="75"/>
      <c r="O1" s="82"/>
      <c r="P1" s="75"/>
      <c r="Q1" s="75"/>
      <c r="R1" s="75"/>
      <c r="S1" s="82"/>
      <c r="T1" s="82"/>
      <c r="U1" s="82"/>
      <c r="V1" s="82"/>
      <c r="W1" s="82"/>
      <c r="X1" s="100"/>
      <c r="Y1" s="100"/>
      <c r="Z1" s="100"/>
      <c r="AA1" s="101"/>
      <c r="AB1" s="101"/>
    </row>
    <row r="2" spans="1:28" s="79" customFormat="1" ht="39" x14ac:dyDescent="0.3">
      <c r="A2" s="102"/>
      <c r="B2" s="83" t="s">
        <v>268</v>
      </c>
      <c r="C2" s="88" t="s">
        <v>269</v>
      </c>
      <c r="D2" s="87"/>
      <c r="E2" s="83"/>
      <c r="F2" s="76"/>
      <c r="G2" s="76"/>
      <c r="H2" s="76"/>
      <c r="I2" s="30"/>
      <c r="J2" s="67"/>
      <c r="K2" s="30"/>
      <c r="L2" s="30"/>
      <c r="M2" s="76"/>
      <c r="N2" s="75"/>
      <c r="O2" s="83"/>
      <c r="P2" s="76"/>
      <c r="Q2" s="76"/>
      <c r="R2" s="76"/>
      <c r="S2" s="83"/>
      <c r="T2" s="83"/>
      <c r="U2" s="83"/>
      <c r="V2" s="83"/>
      <c r="W2" s="83"/>
      <c r="X2" s="77"/>
      <c r="Y2" s="77"/>
      <c r="Z2" s="77"/>
      <c r="AA2" s="78"/>
      <c r="AB2" s="78"/>
    </row>
    <row r="3" spans="1:28" x14ac:dyDescent="0.3">
      <c r="A3" s="103" t="s">
        <v>241</v>
      </c>
      <c r="B3" s="92" t="s">
        <v>580</v>
      </c>
      <c r="C3" s="129" t="s">
        <v>282</v>
      </c>
      <c r="D3" s="104"/>
      <c r="E3" s="99"/>
      <c r="F3" s="98"/>
      <c r="G3" s="75"/>
      <c r="H3" s="75"/>
      <c r="I3" s="98"/>
      <c r="J3" s="99"/>
      <c r="K3" s="75"/>
      <c r="L3" s="98"/>
      <c r="M3" s="75"/>
      <c r="N3" s="75"/>
      <c r="O3" s="82"/>
      <c r="P3" s="75"/>
      <c r="Q3" s="75"/>
      <c r="R3" s="75"/>
      <c r="S3" s="82"/>
      <c r="T3" s="82"/>
      <c r="U3" s="82"/>
      <c r="V3" s="82"/>
      <c r="W3" s="82"/>
      <c r="X3" s="100"/>
      <c r="Y3" s="100"/>
      <c r="Z3" s="100"/>
      <c r="AA3" s="101"/>
      <c r="AB3" s="101"/>
    </row>
    <row r="4" spans="1:28" ht="26" x14ac:dyDescent="0.3">
      <c r="A4" s="103" t="s">
        <v>242</v>
      </c>
      <c r="B4" s="92">
        <v>75</v>
      </c>
      <c r="C4" s="92"/>
      <c r="D4" s="104"/>
      <c r="E4" s="99"/>
      <c r="F4" s="98"/>
      <c r="G4" s="75"/>
      <c r="H4" s="75"/>
      <c r="I4" s="98"/>
      <c r="J4" s="99"/>
      <c r="K4" s="75"/>
      <c r="L4" s="98"/>
      <c r="M4" s="75"/>
      <c r="N4" s="75"/>
      <c r="O4" s="82"/>
      <c r="P4" s="75"/>
      <c r="Q4" s="75"/>
      <c r="R4" s="75"/>
      <c r="S4" s="82"/>
      <c r="T4" s="82"/>
      <c r="U4" s="82"/>
      <c r="V4" s="82"/>
      <c r="W4" s="82"/>
      <c r="X4" s="100"/>
      <c r="Y4" s="100"/>
      <c r="Z4" s="100"/>
      <c r="AA4" s="101"/>
      <c r="AB4" s="101"/>
    </row>
    <row r="5" spans="1:28" ht="13.5" thickBot="1" x14ac:dyDescent="0.35">
      <c r="A5" s="105"/>
      <c r="B5" s="90"/>
      <c r="C5" s="106"/>
      <c r="D5" s="107"/>
      <c r="E5" s="108"/>
      <c r="F5" s="108"/>
      <c r="G5" s="84"/>
      <c r="H5" s="84"/>
      <c r="I5" s="108"/>
      <c r="J5" s="108"/>
      <c r="K5" s="84"/>
      <c r="L5" s="108"/>
      <c r="M5" s="84"/>
      <c r="N5" s="84"/>
      <c r="O5" s="84"/>
      <c r="P5" s="84"/>
      <c r="Q5" s="84"/>
      <c r="R5" s="84"/>
      <c r="S5" s="84"/>
      <c r="T5" s="84"/>
      <c r="U5" s="84"/>
      <c r="V5" s="84"/>
      <c r="W5" s="90"/>
      <c r="X5" s="109"/>
      <c r="Y5" s="109"/>
      <c r="Z5" s="109"/>
      <c r="AA5" s="101"/>
      <c r="AB5" s="101"/>
    </row>
    <row r="6" spans="1:28" s="110" customFormat="1" ht="78.5" thickBot="1" x14ac:dyDescent="0.35">
      <c r="A6" s="123" t="s">
        <v>243</v>
      </c>
      <c r="B6" s="112" t="s">
        <v>253</v>
      </c>
      <c r="C6" s="124" t="s">
        <v>259</v>
      </c>
      <c r="D6" s="124" t="s">
        <v>273</v>
      </c>
      <c r="E6" s="124" t="s">
        <v>274</v>
      </c>
      <c r="F6" s="124" t="s">
        <v>270</v>
      </c>
      <c r="G6" s="112" t="s">
        <v>254</v>
      </c>
      <c r="H6" s="124" t="s">
        <v>271</v>
      </c>
      <c r="I6" s="124" t="s">
        <v>272</v>
      </c>
      <c r="J6" s="124" t="s">
        <v>274</v>
      </c>
      <c r="K6" s="112" t="s">
        <v>255</v>
      </c>
      <c r="L6" s="124" t="s">
        <v>260</v>
      </c>
      <c r="M6" s="112" t="s">
        <v>296</v>
      </c>
      <c r="N6" s="128" t="s">
        <v>278</v>
      </c>
      <c r="O6" s="128" t="s">
        <v>280</v>
      </c>
      <c r="P6" s="112" t="s">
        <v>263</v>
      </c>
      <c r="Q6" s="112" t="s">
        <v>265</v>
      </c>
      <c r="R6" s="125" t="s">
        <v>266</v>
      </c>
      <c r="S6" s="131" t="s">
        <v>281</v>
      </c>
      <c r="T6" s="203" t="s">
        <v>283</v>
      </c>
      <c r="U6" s="203" t="s">
        <v>284</v>
      </c>
      <c r="V6" s="203" t="s">
        <v>285</v>
      </c>
      <c r="W6" s="203" t="s">
        <v>484</v>
      </c>
      <c r="X6" s="126" t="s">
        <v>286</v>
      </c>
      <c r="Y6" s="126" t="s">
        <v>287</v>
      </c>
      <c r="Z6" s="127" t="s">
        <v>288</v>
      </c>
      <c r="AA6" s="80"/>
      <c r="AB6" s="80"/>
    </row>
    <row r="7" spans="1:28" s="97" customFormat="1" ht="16" x14ac:dyDescent="0.2">
      <c r="A7" s="93"/>
      <c r="B7" s="470" t="s">
        <v>250</v>
      </c>
      <c r="C7" s="471"/>
      <c r="D7" s="471"/>
      <c r="E7" s="471"/>
      <c r="F7" s="472"/>
      <c r="G7" s="476" t="s">
        <v>251</v>
      </c>
      <c r="H7" s="477"/>
      <c r="I7" s="477"/>
      <c r="J7" s="478"/>
      <c r="K7" s="467" t="s">
        <v>252</v>
      </c>
      <c r="L7" s="467"/>
      <c r="M7" s="94" t="s">
        <v>261</v>
      </c>
      <c r="N7" s="94" t="s">
        <v>262</v>
      </c>
      <c r="O7" s="94" t="s">
        <v>279</v>
      </c>
      <c r="P7" s="94" t="s">
        <v>264</v>
      </c>
      <c r="Q7" s="94" t="s">
        <v>264</v>
      </c>
      <c r="R7" s="94" t="s">
        <v>264</v>
      </c>
      <c r="S7" s="94" t="s">
        <v>264</v>
      </c>
      <c r="T7" s="94"/>
      <c r="U7" s="94"/>
      <c r="V7" s="94"/>
      <c r="W7" s="94"/>
      <c r="X7" s="95"/>
      <c r="Y7" s="95"/>
      <c r="Z7" s="95"/>
      <c r="AA7" s="96"/>
      <c r="AB7" s="96"/>
    </row>
    <row r="8" spans="1:28" ht="39" x14ac:dyDescent="0.3">
      <c r="A8" s="111" t="s">
        <v>244</v>
      </c>
      <c r="B8" s="91">
        <f>2750*0.9</f>
        <v>2475</v>
      </c>
      <c r="C8" s="98">
        <v>1</v>
      </c>
      <c r="D8" s="473">
        <f>2750*0.9</f>
        <v>2475</v>
      </c>
      <c r="E8" s="473">
        <v>1</v>
      </c>
      <c r="F8" s="98">
        <v>1046</v>
      </c>
      <c r="G8" s="91">
        <f>3000*0.8</f>
        <v>2400</v>
      </c>
      <c r="H8" s="98">
        <v>1</v>
      </c>
      <c r="I8" s="473">
        <f>3000*0.8</f>
        <v>2400</v>
      </c>
      <c r="J8" s="473">
        <v>1</v>
      </c>
      <c r="K8" s="91">
        <v>2160</v>
      </c>
      <c r="L8" s="98" t="s">
        <v>275</v>
      </c>
      <c r="M8" s="91">
        <v>2160</v>
      </c>
      <c r="N8" s="91">
        <v>2160</v>
      </c>
      <c r="O8" s="91">
        <v>2160</v>
      </c>
      <c r="P8" s="114">
        <f>'Noida-01'!U170</f>
        <v>954.80061011904763</v>
      </c>
      <c r="Q8" s="91">
        <f t="shared" ref="Q8:Q14" si="0">M8-P8</f>
        <v>1205.1993898809524</v>
      </c>
      <c r="R8" s="91">
        <f>M8-N8</f>
        <v>0</v>
      </c>
      <c r="S8" s="130">
        <f>M8-O8</f>
        <v>0</v>
      </c>
      <c r="T8" s="201">
        <v>220</v>
      </c>
      <c r="U8" s="201">
        <v>220</v>
      </c>
      <c r="V8" s="201">
        <v>0</v>
      </c>
      <c r="W8" s="201">
        <v>0</v>
      </c>
      <c r="X8" s="100">
        <v>7384</v>
      </c>
      <c r="Y8" s="100">
        <v>7384</v>
      </c>
      <c r="Z8" s="91">
        <f>X8-Y8</f>
        <v>0</v>
      </c>
      <c r="AA8" s="101"/>
      <c r="AB8" s="101"/>
    </row>
    <row r="9" spans="1:28" ht="39" x14ac:dyDescent="0.3">
      <c r="A9" s="111" t="s">
        <v>245</v>
      </c>
      <c r="B9" s="91">
        <f t="shared" ref="B9:B10" si="1">2750*0.9</f>
        <v>2475</v>
      </c>
      <c r="C9" s="98">
        <v>1</v>
      </c>
      <c r="D9" s="474"/>
      <c r="E9" s="474"/>
      <c r="F9" s="98">
        <v>860</v>
      </c>
      <c r="G9" s="91">
        <f t="shared" ref="G9:G10" si="2">3000*0.8</f>
        <v>2400</v>
      </c>
      <c r="H9" s="98">
        <v>1</v>
      </c>
      <c r="I9" s="474"/>
      <c r="J9" s="474"/>
      <c r="K9" s="91">
        <v>2160</v>
      </c>
      <c r="L9" s="98" t="s">
        <v>275</v>
      </c>
      <c r="M9" s="91">
        <v>2160</v>
      </c>
      <c r="N9" s="91">
        <v>2160</v>
      </c>
      <c r="O9" s="91">
        <v>2160</v>
      </c>
      <c r="P9" s="114">
        <f>'Noida-01'!U171</f>
        <v>737.80375744047615</v>
      </c>
      <c r="Q9" s="91">
        <f t="shared" si="0"/>
        <v>1422.1962425595239</v>
      </c>
      <c r="R9" s="91">
        <f t="shared" ref="R9:R14" si="3">M9-N9</f>
        <v>0</v>
      </c>
      <c r="S9" s="130">
        <f t="shared" ref="S9:S14" si="4">M9-O9</f>
        <v>0</v>
      </c>
      <c r="T9" s="201">
        <v>220</v>
      </c>
      <c r="U9" s="201">
        <v>220</v>
      </c>
      <c r="V9" s="201">
        <v>0</v>
      </c>
      <c r="W9" s="201">
        <v>0</v>
      </c>
      <c r="X9" s="100">
        <v>7384</v>
      </c>
      <c r="Y9" s="100">
        <v>7384</v>
      </c>
      <c r="Z9" s="91">
        <f t="shared" ref="Z9:Z14" si="5">X9-Y9</f>
        <v>0</v>
      </c>
      <c r="AA9" s="101"/>
      <c r="AB9" s="101"/>
    </row>
    <row r="10" spans="1:28" ht="39" x14ac:dyDescent="0.3">
      <c r="A10" s="111" t="s">
        <v>246</v>
      </c>
      <c r="B10" s="91">
        <f t="shared" si="1"/>
        <v>2475</v>
      </c>
      <c r="C10" s="98">
        <v>1</v>
      </c>
      <c r="D10" s="475"/>
      <c r="E10" s="475"/>
      <c r="F10" s="98">
        <v>837</v>
      </c>
      <c r="G10" s="91">
        <f t="shared" si="2"/>
        <v>2400</v>
      </c>
      <c r="H10" s="98">
        <v>1</v>
      </c>
      <c r="I10" s="475"/>
      <c r="J10" s="475"/>
      <c r="K10" s="91">
        <v>2160</v>
      </c>
      <c r="L10" s="98" t="s">
        <v>275</v>
      </c>
      <c r="M10" s="91">
        <v>2160</v>
      </c>
      <c r="N10" s="91">
        <v>2160</v>
      </c>
      <c r="O10" s="91">
        <v>2160</v>
      </c>
      <c r="P10" s="114">
        <f>'Noida-01'!U172</f>
        <v>914.58873511904767</v>
      </c>
      <c r="Q10" s="91">
        <f t="shared" si="0"/>
        <v>1245.4112648809523</v>
      </c>
      <c r="R10" s="91">
        <f t="shared" si="3"/>
        <v>0</v>
      </c>
      <c r="S10" s="130">
        <f t="shared" si="4"/>
        <v>0</v>
      </c>
      <c r="T10" s="201">
        <v>220</v>
      </c>
      <c r="U10" s="201">
        <v>220</v>
      </c>
      <c r="V10" s="201">
        <v>0</v>
      </c>
      <c r="W10" s="201">
        <v>0</v>
      </c>
      <c r="X10" s="100">
        <v>7384</v>
      </c>
      <c r="Y10" s="100">
        <v>7384</v>
      </c>
      <c r="Z10" s="91">
        <f t="shared" si="5"/>
        <v>0</v>
      </c>
      <c r="AA10" s="101"/>
      <c r="AB10" s="101"/>
    </row>
    <row r="11" spans="1:28" ht="39" x14ac:dyDescent="0.3">
      <c r="A11" s="111" t="s">
        <v>247</v>
      </c>
      <c r="B11" s="91">
        <f>2250*0.9</f>
        <v>2025</v>
      </c>
      <c r="C11" s="98">
        <v>1</v>
      </c>
      <c r="D11" s="473">
        <f>2500*0.9</f>
        <v>2250</v>
      </c>
      <c r="E11" s="473">
        <v>1</v>
      </c>
      <c r="F11" s="98">
        <v>1048</v>
      </c>
      <c r="G11" s="91">
        <f>2000*0.8</f>
        <v>1600</v>
      </c>
      <c r="H11" s="98">
        <v>1</v>
      </c>
      <c r="I11" s="473">
        <f>2500*0.8</f>
        <v>2000</v>
      </c>
      <c r="J11" s="473">
        <v>1</v>
      </c>
      <c r="K11" s="91">
        <v>1440</v>
      </c>
      <c r="L11" s="98" t="s">
        <v>276</v>
      </c>
      <c r="M11" s="91">
        <f>1600*0.9</f>
        <v>1440</v>
      </c>
      <c r="N11" s="91">
        <f>'Noida-01'!T122</f>
        <v>1484.18</v>
      </c>
      <c r="O11" s="92">
        <f>'Noida-01'!Y122</f>
        <v>1410.34</v>
      </c>
      <c r="P11" s="115">
        <f>'Noida-01'!Z122</f>
        <v>614.16729166666676</v>
      </c>
      <c r="Q11" s="91">
        <f t="shared" si="0"/>
        <v>825.83270833333324</v>
      </c>
      <c r="R11" s="91">
        <f t="shared" si="3"/>
        <v>-44.180000000000064</v>
      </c>
      <c r="S11" s="130">
        <f t="shared" si="4"/>
        <v>29.660000000000082</v>
      </c>
      <c r="T11" s="201">
        <v>392</v>
      </c>
      <c r="U11" s="201">
        <f>'Noida-01'!L126</f>
        <v>313.95238095238096</v>
      </c>
      <c r="V11" s="201">
        <f>69</f>
        <v>69</v>
      </c>
      <c r="W11" s="201">
        <f>T11-(U11+V11)</f>
        <v>9.0476190476190368</v>
      </c>
      <c r="X11" s="100">
        <v>7300</v>
      </c>
      <c r="Y11" s="100">
        <v>7300</v>
      </c>
      <c r="Z11" s="91">
        <f t="shared" si="5"/>
        <v>0</v>
      </c>
      <c r="AA11" s="101"/>
      <c r="AB11" s="101"/>
    </row>
    <row r="12" spans="1:28" ht="39" x14ac:dyDescent="0.3">
      <c r="A12" s="111" t="s">
        <v>248</v>
      </c>
      <c r="B12" s="91">
        <f>2250*0.9</f>
        <v>2025</v>
      </c>
      <c r="C12" s="98">
        <v>1</v>
      </c>
      <c r="D12" s="474"/>
      <c r="E12" s="474"/>
      <c r="F12" s="479">
        <v>1062</v>
      </c>
      <c r="G12" s="91">
        <f>2250*0.8</f>
        <v>1800</v>
      </c>
      <c r="H12" s="98">
        <v>1</v>
      </c>
      <c r="I12" s="474"/>
      <c r="J12" s="474"/>
      <c r="K12" s="91">
        <v>1440</v>
      </c>
      <c r="L12" s="98" t="s">
        <v>276</v>
      </c>
      <c r="M12" s="91">
        <f>800*0.9+100</f>
        <v>820</v>
      </c>
      <c r="N12" s="91">
        <f>'Noida-01'!T72</f>
        <v>933.87</v>
      </c>
      <c r="O12" s="92">
        <f>'Noida-01'!Y72</f>
        <v>815.68499999999995</v>
      </c>
      <c r="P12" s="115">
        <f>'Noida-01'!Z72</f>
        <v>589.69916666666654</v>
      </c>
      <c r="Q12" s="91">
        <f t="shared" si="0"/>
        <v>230.30083333333346</v>
      </c>
      <c r="R12" s="91">
        <f t="shared" si="3"/>
        <v>-113.87</v>
      </c>
      <c r="S12" s="130">
        <f t="shared" si="4"/>
        <v>4.3150000000000546</v>
      </c>
      <c r="T12" s="201">
        <v>353</v>
      </c>
      <c r="U12" s="201">
        <f>'Noida-01'!L76</f>
        <v>286.14285714285711</v>
      </c>
      <c r="V12" s="201">
        <v>50</v>
      </c>
      <c r="W12" s="201">
        <f t="shared" ref="W12:W14" si="6">T12-(U12+V12)</f>
        <v>16.85714285714289</v>
      </c>
      <c r="X12" s="100">
        <v>9200</v>
      </c>
      <c r="Y12" s="100">
        <v>9200</v>
      </c>
      <c r="Z12" s="91">
        <f t="shared" si="5"/>
        <v>0</v>
      </c>
      <c r="AA12" s="101"/>
      <c r="AB12" s="101"/>
    </row>
    <row r="13" spans="1:28" x14ac:dyDescent="0.3">
      <c r="A13" s="111" t="s">
        <v>130</v>
      </c>
      <c r="B13" s="91"/>
      <c r="C13" s="98"/>
      <c r="D13" s="474"/>
      <c r="E13" s="474"/>
      <c r="F13" s="480"/>
      <c r="G13" s="91"/>
      <c r="H13" s="92"/>
      <c r="I13" s="474"/>
      <c r="J13" s="474"/>
      <c r="K13" s="91"/>
      <c r="L13" s="98"/>
      <c r="M13" s="91">
        <f>720-100</f>
        <v>620</v>
      </c>
      <c r="N13" s="91">
        <f>'Noida-01'!T160</f>
        <v>1080.4899999999998</v>
      </c>
      <c r="O13" s="92">
        <f>'Noida-01'!Y160</f>
        <v>831.245</v>
      </c>
      <c r="P13" s="115">
        <f>'Noida-01'!Z160</f>
        <v>500.87619047619057</v>
      </c>
      <c r="Q13" s="91">
        <f t="shared" si="0"/>
        <v>119.12380952380943</v>
      </c>
      <c r="R13" s="91">
        <f t="shared" si="3"/>
        <v>-460.48999999999978</v>
      </c>
      <c r="S13" s="130">
        <f t="shared" si="4"/>
        <v>-211.245</v>
      </c>
      <c r="T13" s="201">
        <v>258</v>
      </c>
      <c r="U13" s="201">
        <f>'Noida-01'!L164</f>
        <v>244.71428571428572</v>
      </c>
      <c r="V13" s="201">
        <f>34</f>
        <v>34</v>
      </c>
      <c r="W13" s="201">
        <f t="shared" si="6"/>
        <v>-20.714285714285722</v>
      </c>
      <c r="X13" s="100">
        <v>6000</v>
      </c>
      <c r="Y13" s="100">
        <v>6000</v>
      </c>
      <c r="Z13" s="91">
        <f t="shared" si="5"/>
        <v>0</v>
      </c>
      <c r="AA13" s="101"/>
      <c r="AB13" s="101"/>
    </row>
    <row r="14" spans="1:28" ht="39" x14ac:dyDescent="0.3">
      <c r="A14" s="111" t="s">
        <v>249</v>
      </c>
      <c r="B14" s="91">
        <f>2500*0.9</f>
        <v>2250</v>
      </c>
      <c r="C14" s="98">
        <v>1</v>
      </c>
      <c r="D14" s="475"/>
      <c r="E14" s="475"/>
      <c r="F14" s="98">
        <v>193</v>
      </c>
      <c r="G14" s="91">
        <f>2250*0.8</f>
        <v>1800</v>
      </c>
      <c r="H14" s="98">
        <v>1</v>
      </c>
      <c r="I14" s="475"/>
      <c r="J14" s="475"/>
      <c r="K14" s="91">
        <v>1700</v>
      </c>
      <c r="L14" s="98" t="s">
        <v>277</v>
      </c>
      <c r="M14" s="91">
        <v>1400</v>
      </c>
      <c r="N14" s="91">
        <f>'Noida-01'!T228</f>
        <v>1436.8</v>
      </c>
      <c r="O14" s="92">
        <f>'Noida-01'!Y228</f>
        <v>1346.4</v>
      </c>
      <c r="P14" s="115">
        <f>'Noida-01'!Z228</f>
        <v>563.71504464285692</v>
      </c>
      <c r="Q14" s="91">
        <f t="shared" si="0"/>
        <v>836.28495535714308</v>
      </c>
      <c r="R14" s="91">
        <f t="shared" si="3"/>
        <v>-36.799999999999955</v>
      </c>
      <c r="S14" s="130">
        <f t="shared" si="4"/>
        <v>53.599999999999909</v>
      </c>
      <c r="T14" s="201">
        <v>261</v>
      </c>
      <c r="U14" s="201">
        <f>'Noida-01'!L233</f>
        <v>251.71428571428572</v>
      </c>
      <c r="V14" s="201">
        <v>13</v>
      </c>
      <c r="W14" s="201">
        <f t="shared" si="6"/>
        <v>-3.7142857142857224</v>
      </c>
      <c r="X14" s="100">
        <v>6850</v>
      </c>
      <c r="Y14" s="100">
        <v>6850</v>
      </c>
      <c r="Z14" s="91">
        <f t="shared" si="5"/>
        <v>0</v>
      </c>
      <c r="AA14" s="74" t="s">
        <v>581</v>
      </c>
      <c r="AB14" s="101"/>
    </row>
    <row r="15" spans="1:28" x14ac:dyDescent="0.3">
      <c r="A15" s="468" t="s">
        <v>0</v>
      </c>
      <c r="B15" s="468"/>
      <c r="C15" s="468"/>
      <c r="D15" s="469"/>
      <c r="E15" s="469"/>
      <c r="F15" s="468"/>
      <c r="G15" s="468"/>
      <c r="H15" s="468"/>
      <c r="I15" s="468"/>
      <c r="J15" s="116"/>
      <c r="K15" s="117">
        <f>SUM(K8:K14)</f>
        <v>11060</v>
      </c>
      <c r="L15" s="118"/>
      <c r="M15" s="113">
        <f>SUM(M8:M14)</f>
        <v>10760</v>
      </c>
      <c r="N15" s="117">
        <f>SUM(N8:N14)</f>
        <v>11415.34</v>
      </c>
      <c r="O15" s="119">
        <f>SUM(O8:O14)</f>
        <v>10883.67</v>
      </c>
      <c r="P15" s="117">
        <f>SUM(P8:P14)</f>
        <v>4875.6507961309517</v>
      </c>
      <c r="Q15" s="117">
        <f>SUM(Q8:Q14)</f>
        <v>5884.3492038690483</v>
      </c>
      <c r="R15" s="117"/>
      <c r="S15" s="119"/>
      <c r="T15" s="202">
        <f>SUM(T8:T14)</f>
        <v>1924</v>
      </c>
      <c r="U15" s="202">
        <f>SUM(U8:U14)</f>
        <v>1756.5238095238096</v>
      </c>
      <c r="V15" s="202">
        <f>SUM(V8:V14)</f>
        <v>166</v>
      </c>
      <c r="W15" s="202"/>
      <c r="X15" s="100"/>
      <c r="Y15" s="100"/>
      <c r="Z15" s="100"/>
      <c r="AA15" s="101"/>
      <c r="AB15" s="101"/>
    </row>
    <row r="16" spans="1:28" x14ac:dyDescent="0.3">
      <c r="T16" s="358"/>
      <c r="U16" s="358"/>
      <c r="X16" s="358"/>
    </row>
    <row r="17" spans="20:24" x14ac:dyDescent="0.3">
      <c r="T17" s="358">
        <f>T15</f>
        <v>1924</v>
      </c>
      <c r="U17" s="358">
        <f>U15+V15</f>
        <v>1922.5238095238096</v>
      </c>
      <c r="V17" s="358"/>
      <c r="W17" s="358"/>
      <c r="X17" s="358"/>
    </row>
  </sheetData>
  <mergeCells count="13">
    <mergeCell ref="K7:L7"/>
    <mergeCell ref="A15:I15"/>
    <mergeCell ref="B7:F7"/>
    <mergeCell ref="D8:D10"/>
    <mergeCell ref="D11:D14"/>
    <mergeCell ref="I8:I10"/>
    <mergeCell ref="I11:I14"/>
    <mergeCell ref="E8:E10"/>
    <mergeCell ref="E11:E14"/>
    <mergeCell ref="J8:J10"/>
    <mergeCell ref="J11:J14"/>
    <mergeCell ref="G7:J7"/>
    <mergeCell ref="F12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7FEB-8A96-4F0A-9694-21FB1412EC42}">
  <dimension ref="A1:CA49"/>
  <sheetViews>
    <sheetView topLeftCell="A43" workbookViewId="0">
      <selection activeCell="A49" sqref="A49:BX49"/>
    </sheetView>
  </sheetViews>
  <sheetFormatPr defaultRowHeight="13" x14ac:dyDescent="0.3"/>
  <cols>
    <col min="2" max="2" width="13.69921875" bestFit="1" customWidth="1"/>
    <col min="3" max="3" width="24.69921875" customWidth="1"/>
    <col min="4" max="4" width="16.796875" customWidth="1"/>
    <col min="5" max="5" width="15.5" customWidth="1"/>
    <col min="6" max="6" width="19.5" customWidth="1"/>
    <col min="7" max="7" width="16.09765625" customWidth="1"/>
    <col min="9" max="9" width="17" customWidth="1"/>
  </cols>
  <sheetData>
    <row r="1" spans="1:78" s="5" customFormat="1" x14ac:dyDescent="0.3">
      <c r="B1" s="7"/>
      <c r="C1" s="529"/>
      <c r="D1" s="529"/>
      <c r="E1" s="529"/>
      <c r="F1" s="11"/>
      <c r="G1" s="11"/>
      <c r="H1" s="11"/>
      <c r="I1" s="11"/>
      <c r="J1" s="3"/>
      <c r="K1" s="12"/>
      <c r="L1" s="9"/>
      <c r="M1" s="9"/>
      <c r="N1" s="9"/>
      <c r="O1" s="13"/>
      <c r="P1" s="13"/>
      <c r="Q1" s="9"/>
      <c r="R1" s="3"/>
      <c r="S1" s="14" t="s">
        <v>10</v>
      </c>
      <c r="T1" s="15"/>
      <c r="U1" s="15">
        <v>0.5</v>
      </c>
      <c r="V1" s="20" t="s">
        <v>84</v>
      </c>
      <c r="W1" s="15"/>
      <c r="X1" s="21" t="e">
        <f>#REF!</f>
        <v>#REF!</v>
      </c>
      <c r="Y1" s="15"/>
      <c r="Z1" s="1" t="s">
        <v>81</v>
      </c>
      <c r="AA1" s="18">
        <v>2.21</v>
      </c>
      <c r="AB1" s="1" t="s">
        <v>82</v>
      </c>
      <c r="AC1" s="22">
        <v>10.35</v>
      </c>
      <c r="AD1" s="2">
        <f>+AA1*(AC1*(30.5*24-AF1)+AF1*20)</f>
        <v>18246.920249999999</v>
      </c>
      <c r="AE1" s="2" t="s">
        <v>83</v>
      </c>
      <c r="AF1" s="19">
        <v>70.5</v>
      </c>
      <c r="AG1" s="15"/>
      <c r="AH1" s="15"/>
      <c r="AI1" s="15"/>
      <c r="AJ1" s="15"/>
      <c r="AK1" s="15"/>
      <c r="AL1" s="15"/>
      <c r="AT1" s="8"/>
      <c r="AU1" s="8"/>
      <c r="AV1" s="8"/>
      <c r="AW1" s="8"/>
    </row>
    <row r="2" spans="1:78" s="5" customFormat="1" ht="13.5" thickBot="1" x14ac:dyDescent="0.35">
      <c r="B2" s="7"/>
      <c r="C2" s="529"/>
      <c r="D2" s="530" t="s">
        <v>12</v>
      </c>
      <c r="E2" s="530"/>
      <c r="F2" s="524" t="s">
        <v>3</v>
      </c>
      <c r="G2" s="458"/>
      <c r="H2" s="458"/>
      <c r="I2" s="458"/>
      <c r="J2" s="458"/>
      <c r="K2" s="458"/>
      <c r="L2" s="458"/>
      <c r="M2" s="458"/>
      <c r="N2" s="458"/>
      <c r="O2" s="459" t="s">
        <v>13</v>
      </c>
      <c r="P2" s="459"/>
      <c r="Q2" s="459"/>
      <c r="R2" s="459"/>
      <c r="S2" s="460"/>
      <c r="T2" s="459"/>
      <c r="U2" s="459"/>
      <c r="V2" s="459"/>
      <c r="W2" s="459"/>
      <c r="X2" s="459"/>
      <c r="Y2" s="459"/>
      <c r="Z2" s="461" t="s">
        <v>14</v>
      </c>
      <c r="AA2" s="461"/>
      <c r="AB2" s="461"/>
      <c r="AC2" s="461"/>
      <c r="AD2" s="462"/>
      <c r="AE2" s="463" t="s">
        <v>15</v>
      </c>
      <c r="AF2" s="464"/>
      <c r="AG2" s="464"/>
      <c r="AH2" s="464"/>
      <c r="AI2" s="464"/>
      <c r="AJ2" s="464"/>
      <c r="AK2" s="464"/>
      <c r="AL2" s="465"/>
      <c r="AM2" s="466" t="s">
        <v>16</v>
      </c>
      <c r="AN2" s="466"/>
      <c r="AO2" s="466"/>
      <c r="AP2" s="466"/>
      <c r="AQ2" s="466"/>
      <c r="AR2" s="466"/>
      <c r="AS2" s="466"/>
      <c r="AT2" s="455" t="s">
        <v>17</v>
      </c>
      <c r="AU2" s="455"/>
      <c r="AV2" s="455"/>
      <c r="AW2" s="455"/>
    </row>
    <row r="3" spans="1:78" s="5" customFormat="1" ht="169" x14ac:dyDescent="0.3">
      <c r="A3" s="200" t="s">
        <v>256</v>
      </c>
      <c r="B3" s="511" t="s">
        <v>2</v>
      </c>
      <c r="C3" s="531" t="s">
        <v>1</v>
      </c>
      <c r="D3" s="532" t="s">
        <v>18</v>
      </c>
      <c r="E3" s="532" t="s">
        <v>19</v>
      </c>
      <c r="F3" s="525" t="s">
        <v>6</v>
      </c>
      <c r="G3" s="184" t="s">
        <v>20</v>
      </c>
      <c r="H3" s="185" t="s">
        <v>21</v>
      </c>
      <c r="I3" s="184" t="s">
        <v>4</v>
      </c>
      <c r="J3" s="183" t="s">
        <v>7</v>
      </c>
      <c r="K3" s="186" t="s">
        <v>22</v>
      </c>
      <c r="L3" s="184" t="s">
        <v>23</v>
      </c>
      <c r="M3" s="184" t="s">
        <v>24</v>
      </c>
      <c r="N3" s="184" t="s">
        <v>25</v>
      </c>
      <c r="O3" s="187" t="s">
        <v>26</v>
      </c>
      <c r="P3" s="185" t="s">
        <v>21</v>
      </c>
      <c r="Q3" s="185" t="s">
        <v>27</v>
      </c>
      <c r="R3" s="185" t="s">
        <v>28</v>
      </c>
      <c r="S3" s="188" t="s">
        <v>29</v>
      </c>
      <c r="T3" s="184" t="s">
        <v>30</v>
      </c>
      <c r="U3" s="185" t="s">
        <v>31</v>
      </c>
      <c r="V3" s="204" t="s">
        <v>297</v>
      </c>
      <c r="W3" s="189" t="s">
        <v>113</v>
      </c>
      <c r="X3" s="185" t="s">
        <v>32</v>
      </c>
      <c r="Y3" s="185" t="s">
        <v>33</v>
      </c>
      <c r="Z3" s="185" t="s">
        <v>34</v>
      </c>
      <c r="AA3" s="190" t="s">
        <v>35</v>
      </c>
      <c r="AB3" s="191" t="s">
        <v>36</v>
      </c>
      <c r="AC3" s="191" t="s">
        <v>37</v>
      </c>
      <c r="AD3" s="192" t="s">
        <v>38</v>
      </c>
      <c r="AE3" s="192" t="s">
        <v>26</v>
      </c>
      <c r="AF3" s="192" t="s">
        <v>21</v>
      </c>
      <c r="AG3" s="184" t="s">
        <v>4</v>
      </c>
      <c r="AH3" s="183" t="s">
        <v>7</v>
      </c>
      <c r="AI3" s="184" t="s">
        <v>9</v>
      </c>
      <c r="AJ3" s="184" t="s">
        <v>23</v>
      </c>
      <c r="AK3" s="184" t="s">
        <v>30</v>
      </c>
      <c r="AL3" s="184" t="s">
        <v>39</v>
      </c>
      <c r="AM3" s="191" t="s">
        <v>40</v>
      </c>
      <c r="AN3" s="191" t="s">
        <v>41</v>
      </c>
      <c r="AO3" s="191" t="s">
        <v>42</v>
      </c>
      <c r="AP3" s="191" t="s">
        <v>15</v>
      </c>
      <c r="AQ3" s="191" t="s">
        <v>43</v>
      </c>
      <c r="AR3" s="191" t="s">
        <v>44</v>
      </c>
      <c r="AS3" s="191" t="s">
        <v>45</v>
      </c>
      <c r="AT3" s="193" t="s">
        <v>46</v>
      </c>
      <c r="AU3" s="193" t="s">
        <v>47</v>
      </c>
      <c r="AV3" s="193" t="s">
        <v>48</v>
      </c>
      <c r="AW3" s="193" t="s">
        <v>49</v>
      </c>
      <c r="AX3" s="194" t="s">
        <v>50</v>
      </c>
      <c r="AZ3" s="23" t="s">
        <v>51</v>
      </c>
      <c r="BA3" s="23" t="s">
        <v>74</v>
      </c>
      <c r="BB3" s="23" t="s">
        <v>75</v>
      </c>
      <c r="BC3" s="23" t="s">
        <v>76</v>
      </c>
      <c r="BD3" s="23" t="s">
        <v>77</v>
      </c>
      <c r="BE3" s="23"/>
      <c r="BF3" s="23" t="s">
        <v>85</v>
      </c>
      <c r="BG3" s="23" t="s">
        <v>86</v>
      </c>
      <c r="BH3" s="23" t="s">
        <v>87</v>
      </c>
      <c r="BI3" s="23" t="s">
        <v>78</v>
      </c>
      <c r="BJ3" s="23" t="s">
        <v>79</v>
      </c>
      <c r="BK3" s="23" t="s">
        <v>80</v>
      </c>
      <c r="BL3" s="23" t="s">
        <v>88</v>
      </c>
      <c r="BM3" s="23" t="s">
        <v>89</v>
      </c>
      <c r="BN3" s="23" t="s">
        <v>90</v>
      </c>
      <c r="BO3" s="23" t="s">
        <v>91</v>
      </c>
      <c r="BP3" s="23" t="s">
        <v>92</v>
      </c>
      <c r="BQ3" s="24" t="s">
        <v>58</v>
      </c>
      <c r="BR3" s="24"/>
      <c r="BS3" s="23" t="s">
        <v>91</v>
      </c>
      <c r="BT3" s="23" t="s">
        <v>90</v>
      </c>
      <c r="BU3" s="23" t="s">
        <v>93</v>
      </c>
      <c r="BV3" s="23" t="s">
        <v>94</v>
      </c>
      <c r="BW3" s="23" t="s">
        <v>95</v>
      </c>
      <c r="BX3" s="23" t="s">
        <v>96</v>
      </c>
    </row>
    <row r="4" spans="1:78" s="5" customFormat="1" ht="52" x14ac:dyDescent="0.3">
      <c r="A4" s="195" t="s">
        <v>248</v>
      </c>
      <c r="B4" s="512" t="s">
        <v>198</v>
      </c>
      <c r="C4" s="533" t="s">
        <v>71</v>
      </c>
      <c r="D4" s="430" t="s">
        <v>11</v>
      </c>
      <c r="E4" s="431" t="s">
        <v>52</v>
      </c>
      <c r="F4" s="526" t="s">
        <v>8</v>
      </c>
      <c r="G4" s="33" t="s">
        <v>61</v>
      </c>
      <c r="H4" s="31" t="str">
        <f>IF(F4="Rack","No of Racks",(IF(F4="Space","Sq Ft","U Space")))</f>
        <v>No of Racks</v>
      </c>
      <c r="I4" s="33">
        <v>1</v>
      </c>
      <c r="J4" s="33">
        <v>0</v>
      </c>
      <c r="K4" s="35">
        <f>I4-J4</f>
        <v>1</v>
      </c>
      <c r="L4" s="33">
        <v>0</v>
      </c>
      <c r="M4" s="33"/>
      <c r="N4" s="137">
        <f>((5736886/6)/12)*0+(420000+200000)/12</f>
        <v>51666.666666666664</v>
      </c>
      <c r="O4" s="43" t="str">
        <f>D4</f>
        <v>Rated</v>
      </c>
      <c r="P4" s="33" t="s">
        <v>54</v>
      </c>
      <c r="Q4" s="34">
        <v>0</v>
      </c>
      <c r="R4" s="45">
        <v>0</v>
      </c>
      <c r="S4" s="46">
        <f>Q4-R4</f>
        <v>0</v>
      </c>
      <c r="T4" s="34"/>
      <c r="U4" s="34">
        <f>IF(S4&lt;=0,0,(IF(O4="Rated",(S4+T4)*'Noida-01'!$X$1,(S4+T4))))</f>
        <v>0</v>
      </c>
      <c r="V4" s="34">
        <f>IF(O4="Rated",Q4*'Noida-01'!$X$1,Q4)</f>
        <v>0</v>
      </c>
      <c r="W4" s="65">
        <v>0</v>
      </c>
      <c r="X4" s="34">
        <f>IF((S4*-1)&gt;0, (S4*-1), 0)</f>
        <v>0</v>
      </c>
      <c r="Y4" s="47">
        <v>0</v>
      </c>
      <c r="Z4" s="48" t="str">
        <f>E4</f>
        <v>Bundled</v>
      </c>
      <c r="AA4" s="34"/>
      <c r="AB4" s="34"/>
      <c r="AC4" s="49"/>
      <c r="AD4" s="34"/>
      <c r="AE4" s="50"/>
      <c r="AF4" s="51" t="str">
        <f>IF(AE4="No of Seats","No of Seats",(IF(AE4="Space","Sq Ft","")))</f>
        <v/>
      </c>
      <c r="AG4" s="34"/>
      <c r="AH4" s="34"/>
      <c r="AI4" s="34">
        <f>AG4-AH4</f>
        <v>0</v>
      </c>
      <c r="AJ4" s="34"/>
      <c r="AK4" s="34"/>
      <c r="AL4" s="42"/>
      <c r="AM4" s="52">
        <f>N4*L4</f>
        <v>0</v>
      </c>
      <c r="AN4" s="52">
        <f>Y4*X4</f>
        <v>0</v>
      </c>
      <c r="AO4" s="53">
        <f>AD4*AC4*AA4</f>
        <v>0</v>
      </c>
      <c r="AP4" s="52">
        <f>AL4*AJ4</f>
        <v>0</v>
      </c>
      <c r="AQ4" s="54">
        <f>(1923838/6)/12</f>
        <v>26719.972222222223</v>
      </c>
      <c r="AR4" s="55">
        <f>SUBTOTAL(9,AM4:AQ4)</f>
        <v>26719.972222222223</v>
      </c>
      <c r="AS4" s="55"/>
      <c r="AT4" s="62" t="s">
        <v>64</v>
      </c>
      <c r="AU4" s="63"/>
      <c r="AV4" s="64"/>
      <c r="AW4" s="63"/>
      <c r="AX4" s="197"/>
      <c r="AZ4" s="25">
        <f>IF(F4="Rack",AR4/I4,0)+IF(F4="U Space",AR4*40/I4,0)+IF(F4="Space",AR4*30/I4,0)</f>
        <v>26719.972222222223</v>
      </c>
      <c r="BA4" s="25" t="e">
        <f>+AR4/V4</f>
        <v>#DIV/0!</v>
      </c>
      <c r="BB4" s="25" t="e">
        <f t="shared" ref="BB4:BC6" si="0">+($AM4+$AN4+$AO4-BI4)/$V4</f>
        <v>#DIV/0!</v>
      </c>
      <c r="BC4" s="25" t="e">
        <f t="shared" si="0"/>
        <v>#DIV/0!</v>
      </c>
      <c r="BD4" s="25" t="e">
        <f>+($AM4+$AN4+IF(E4="Bundled",0,V4*0.85*AA4*AC4*30.5*24)-BK4)/$V4</f>
        <v>#DIV/0!</v>
      </c>
      <c r="BE4" s="25"/>
      <c r="BF4" s="26">
        <f>+AM4+AN4+AO4</f>
        <v>0</v>
      </c>
      <c r="BG4" s="26" t="e">
        <f>+BF4-BH4</f>
        <v>#REF!</v>
      </c>
      <c r="BH4" s="26" t="e">
        <f>IF(E4="Bundled",MIN(V4*'Noida-01'!$AG$1*(1+#REF!),BF4),AO4)</f>
        <v>#REF!</v>
      </c>
      <c r="BI4" s="27">
        <f>IF($AD4&gt;0,$AD4*'Noida-01'!$AD$1*'Noida-01'!$AF$1*(1+'Noida-01'!$AI$1*(20/'Noida-01'!$AF$1)/732),'Noida-01'!$AG$1*W4)</f>
        <v>0</v>
      </c>
      <c r="BJ4" s="27">
        <f>IF($AD4&gt;0,$AD4*'Noida-01'!$AD$1*'Noida-01'!$AF$1*(1+'Noida-01'!$AI$1*(20/'Noida-01'!$AF$1)/732),+'Noida-01'!$AG$1*(W4+U4))</f>
        <v>0</v>
      </c>
      <c r="BK4" s="27">
        <f>IF(E4="Bundled",'Noida-01'!$AG$1*V4,'Noida-01'!$AG$1*V4*0.85)</f>
        <v>0</v>
      </c>
      <c r="BL4" s="27" t="e">
        <f>+BB4*V4</f>
        <v>#DIV/0!</v>
      </c>
      <c r="BM4" s="27" t="e">
        <f>+#REF!*V4</f>
        <v>#REF!</v>
      </c>
      <c r="BN4" s="27" t="e">
        <f>+BG4-BM4</f>
        <v>#REF!</v>
      </c>
      <c r="BO4" s="27" t="e">
        <f>+BH4-BI4</f>
        <v>#REF!</v>
      </c>
      <c r="BP4" s="27" t="e">
        <f>+BN4+BO4</f>
        <v>#REF!</v>
      </c>
      <c r="BQ4" s="27">
        <f>+V4</f>
        <v>0</v>
      </c>
      <c r="BR4" s="27" t="e">
        <f>+BB4</f>
        <v>#DIV/0!</v>
      </c>
      <c r="BS4" s="27">
        <f>IF(E4="Bundled",BK4-BI4,AO4-BI4)</f>
        <v>0</v>
      </c>
      <c r="BT4" s="27" t="e">
        <f>IF(E4="Bundled",+(BD4-#REF!)*V4,(AM4+AN4)-V4*#REF!)</f>
        <v>#DIV/0!</v>
      </c>
      <c r="BU4" s="27" t="e">
        <f>+BS4+BT4</f>
        <v>#DIV/0!</v>
      </c>
      <c r="BV4" s="27" t="e">
        <f t="shared" ref="BV4:BX6" si="1">+BS4/$BQ4</f>
        <v>#DIV/0!</v>
      </c>
      <c r="BW4" s="27" t="e">
        <f t="shared" si="1"/>
        <v>#DIV/0!</v>
      </c>
      <c r="BX4" s="27" t="e">
        <f t="shared" si="1"/>
        <v>#DIV/0!</v>
      </c>
    </row>
    <row r="5" spans="1:78" s="16" customFormat="1" ht="52" x14ac:dyDescent="0.3">
      <c r="A5" s="199" t="s">
        <v>247</v>
      </c>
      <c r="B5" s="513" t="s">
        <v>212</v>
      </c>
      <c r="C5" s="454" t="s">
        <v>115</v>
      </c>
      <c r="D5" s="430" t="s">
        <v>11</v>
      </c>
      <c r="E5" s="431" t="s">
        <v>52</v>
      </c>
      <c r="F5" s="526" t="s">
        <v>8</v>
      </c>
      <c r="G5" s="33" t="s">
        <v>61</v>
      </c>
      <c r="H5" s="31" t="str">
        <f>IF(F5="Rack","No of Racks",(IF(F5="Space","Sq Ft","U Space")))</f>
        <v>No of Racks</v>
      </c>
      <c r="I5" s="33">
        <v>4</v>
      </c>
      <c r="J5" s="33">
        <v>0</v>
      </c>
      <c r="K5" s="35">
        <v>0</v>
      </c>
      <c r="L5" s="33">
        <v>0</v>
      </c>
      <c r="M5" s="33"/>
      <c r="N5" s="42">
        <f>((175000+619000+619000+619000)/4)/12</f>
        <v>42333.333333333336</v>
      </c>
      <c r="O5" s="43" t="str">
        <f>D5</f>
        <v>Rated</v>
      </c>
      <c r="P5" s="33" t="s">
        <v>54</v>
      </c>
      <c r="Q5" s="34">
        <v>0</v>
      </c>
      <c r="R5" s="45">
        <v>0</v>
      </c>
      <c r="S5" s="46">
        <f>Q5-R5</f>
        <v>0</v>
      </c>
      <c r="T5" s="34"/>
      <c r="U5" s="34">
        <f>IF(S5&lt;=0,0,(IF(O5="Rated",(S5+T5)*'Noida-01'!$X$1,(S5+T5))))</f>
        <v>0</v>
      </c>
      <c r="V5" s="34">
        <f>IF(O5="Rated",Q5*'Noida-01'!$X$1,Q5)</f>
        <v>0</v>
      </c>
      <c r="W5" s="65">
        <v>0</v>
      </c>
      <c r="X5" s="34">
        <f>IF((S5*-1)&gt;0, (S5*-1), 0)</f>
        <v>0</v>
      </c>
      <c r="Y5" s="47">
        <f>70000/12</f>
        <v>5833.333333333333</v>
      </c>
      <c r="Z5" s="48" t="str">
        <f>E5</f>
        <v>Bundled</v>
      </c>
      <c r="AA5" s="34"/>
      <c r="AB5" s="34"/>
      <c r="AC5" s="49"/>
      <c r="AD5" s="34"/>
      <c r="AE5" s="50"/>
      <c r="AF5" s="51"/>
      <c r="AG5" s="34"/>
      <c r="AH5" s="34"/>
      <c r="AI5" s="34">
        <f>AG5-AH5</f>
        <v>0</v>
      </c>
      <c r="AJ5" s="34"/>
      <c r="AK5" s="34"/>
      <c r="AL5" s="42">
        <f>(0)/12</f>
        <v>0</v>
      </c>
      <c r="AM5" s="52">
        <f>N5*L5</f>
        <v>0</v>
      </c>
      <c r="AN5" s="52">
        <f>Y5*X5</f>
        <v>0</v>
      </c>
      <c r="AO5" s="53">
        <f>AD5*AC5*AA5</f>
        <v>0</v>
      </c>
      <c r="AP5" s="52">
        <f>AL5*AJ5</f>
        <v>0</v>
      </c>
      <c r="AQ5" s="54">
        <f>(140000+88000+45000)/12</f>
        <v>22750</v>
      </c>
      <c r="AR5" s="55">
        <f>SUBTOTAL(9,AM5:AQ5)</f>
        <v>22750</v>
      </c>
      <c r="AS5" s="55"/>
      <c r="AT5" s="67" t="s">
        <v>121</v>
      </c>
      <c r="AU5" s="68">
        <v>43831</v>
      </c>
      <c r="AV5" s="69">
        <v>1</v>
      </c>
      <c r="AW5" s="68">
        <v>44196</v>
      </c>
      <c r="AX5" s="89"/>
      <c r="AY5" s="5"/>
      <c r="AZ5" s="29">
        <f>IF(F5="Rack",AR5/I5,0)+IF(F5="U Space",AR5*40/I5,0)+IF(F5="Space",AR5*30/I5,0)</f>
        <v>5687.5</v>
      </c>
      <c r="BA5" s="29" t="e">
        <f>+AR5/V5</f>
        <v>#DIV/0!</v>
      </c>
      <c r="BB5" s="25" t="e">
        <f t="shared" si="0"/>
        <v>#DIV/0!</v>
      </c>
      <c r="BC5" s="25" t="e">
        <f t="shared" si="0"/>
        <v>#DIV/0!</v>
      </c>
      <c r="BD5" s="25" t="e">
        <f>+($AM5+$AN5+IF(E5="Bundled",0,V5*0.85*AA5*AC5*30.5*24)-BK5)/$V5</f>
        <v>#DIV/0!</v>
      </c>
      <c r="BE5" s="29"/>
      <c r="BF5" s="26">
        <f>+AM5+AN5+AO5</f>
        <v>0</v>
      </c>
      <c r="BG5" s="26" t="e">
        <f>+BF5-BH5</f>
        <v>#REF!</v>
      </c>
      <c r="BH5" s="26" t="e">
        <f>IF(E5="Bundled",MIN(V5*'Noida-01'!$AG$1*(1+#REF!),BF5),AO5)</f>
        <v>#REF!</v>
      </c>
      <c r="BI5" s="27">
        <f>IF($AD5&gt;0,$AD5*'Noida-01'!$AD$1*'Noida-01'!$AF$1*(1+'Noida-01'!$AI$1*(20/'Noida-01'!$AF$1)/732),'Noida-01'!$AG$1*W5)</f>
        <v>0</v>
      </c>
      <c r="BJ5" s="27">
        <f>IF($AD5&gt;0,$AD5*'Noida-01'!$AD$1*'Noida-01'!$AF$1*(1+'Noida-01'!$AI$1*(20/'Noida-01'!$AF$1)/732),+'Noida-01'!$AG$1*(W5+U5))</f>
        <v>0</v>
      </c>
      <c r="BK5" s="27">
        <f>IF(E5="Bundled",'Noida-01'!$AG$1*V5,'Noida-01'!$AG$1*V5*0.85)</f>
        <v>0</v>
      </c>
      <c r="BL5" s="27" t="e">
        <f>+BB5*V5</f>
        <v>#DIV/0!</v>
      </c>
      <c r="BM5" s="27" t="e">
        <f>+#REF!*V5</f>
        <v>#REF!</v>
      </c>
      <c r="BN5" s="27" t="e">
        <f>+BG5-BM5</f>
        <v>#REF!</v>
      </c>
      <c r="BO5" s="27" t="e">
        <f>+BH5-BI5</f>
        <v>#REF!</v>
      </c>
      <c r="BP5" s="27" t="e">
        <f>+BN5+BO5</f>
        <v>#REF!</v>
      </c>
      <c r="BQ5" s="27">
        <f>+V5</f>
        <v>0</v>
      </c>
      <c r="BR5" s="27" t="e">
        <f>+BB5</f>
        <v>#DIV/0!</v>
      </c>
      <c r="BS5" s="27">
        <f>IF(E5="Bundled",BK5-BI5,AO5-BI5)</f>
        <v>0</v>
      </c>
      <c r="BT5" s="27" t="e">
        <f>IF(E5="Bundled",+(BD5-#REF!)*V5,(AM5+AN5)-V5*#REF!)</f>
        <v>#DIV/0!</v>
      </c>
      <c r="BU5" s="27" t="e">
        <f>+BS5+BT5</f>
        <v>#DIV/0!</v>
      </c>
      <c r="BV5" s="27" t="e">
        <f t="shared" si="1"/>
        <v>#DIV/0!</v>
      </c>
      <c r="BW5" s="27" t="e">
        <f t="shared" si="1"/>
        <v>#DIV/0!</v>
      </c>
      <c r="BX5" s="27" t="e">
        <f t="shared" si="1"/>
        <v>#DIV/0!</v>
      </c>
    </row>
    <row r="6" spans="1:78" s="16" customFormat="1" ht="26" x14ac:dyDescent="0.3">
      <c r="A6" s="199" t="s">
        <v>248</v>
      </c>
      <c r="B6" s="512" t="s">
        <v>204</v>
      </c>
      <c r="C6" s="429" t="s">
        <v>350</v>
      </c>
      <c r="D6" s="430" t="s">
        <v>11</v>
      </c>
      <c r="E6" s="431" t="s">
        <v>52</v>
      </c>
      <c r="F6" s="526" t="s">
        <v>8</v>
      </c>
      <c r="G6" s="33" t="s">
        <v>61</v>
      </c>
      <c r="H6" s="31" t="str">
        <f>IF(F6="Rack","No of Racks",(IF(F6="Space","Sq Ft","U Space")))</f>
        <v>No of Racks</v>
      </c>
      <c r="I6" s="33">
        <v>2</v>
      </c>
      <c r="J6" s="33">
        <v>0</v>
      </c>
      <c r="K6" s="35">
        <v>0</v>
      </c>
      <c r="L6" s="33">
        <v>0</v>
      </c>
      <c r="M6" s="33"/>
      <c r="N6" s="42">
        <f>800000/12</f>
        <v>66666.666666666672</v>
      </c>
      <c r="O6" s="43" t="str">
        <f>D6</f>
        <v>Rated</v>
      </c>
      <c r="P6" s="135" t="s">
        <v>54</v>
      </c>
      <c r="Q6" s="34">
        <v>0</v>
      </c>
      <c r="R6" s="45">
        <v>0</v>
      </c>
      <c r="S6" s="46">
        <f>Q6-R6</f>
        <v>0</v>
      </c>
      <c r="T6" s="34"/>
      <c r="U6" s="34">
        <f>IF(S6&lt;=0,0,(IF(O6="Rated",(S6+T6)*'Noida-01'!$X$1,(S6+T6))))</f>
        <v>0</v>
      </c>
      <c r="V6" s="34">
        <f>IF(O6="Rated",Q6*'Noida-01'!$X$1,Q6)</f>
        <v>0</v>
      </c>
      <c r="W6" s="65">
        <v>0</v>
      </c>
      <c r="X6" s="34">
        <f>IF((S6*-1)&gt;0, (S6*-1), 0)</f>
        <v>0</v>
      </c>
      <c r="Y6" s="47">
        <f>80000/12</f>
        <v>6666.666666666667</v>
      </c>
      <c r="Z6" s="48" t="str">
        <f>E6</f>
        <v>Bundled</v>
      </c>
      <c r="AA6" s="34"/>
      <c r="AB6" s="34"/>
      <c r="AC6" s="49"/>
      <c r="AD6" s="34"/>
      <c r="AE6" s="50" t="s">
        <v>55</v>
      </c>
      <c r="AF6" s="51" t="str">
        <f>IF(AE6="No of Seats","No of Seats",(IF(AE6="Space","Sq Ft","")))</f>
        <v>No of Seats</v>
      </c>
      <c r="AG6" s="34">
        <v>0</v>
      </c>
      <c r="AH6" s="34">
        <v>0</v>
      </c>
      <c r="AI6" s="34">
        <f>AG6-AH6</f>
        <v>0</v>
      </c>
      <c r="AJ6" s="34">
        <v>0</v>
      </c>
      <c r="AK6" s="34"/>
      <c r="AL6" s="42">
        <v>0</v>
      </c>
      <c r="AM6" s="52">
        <f>N6*L6</f>
        <v>0</v>
      </c>
      <c r="AN6" s="52">
        <f>Y6*X6</f>
        <v>0</v>
      </c>
      <c r="AO6" s="53">
        <f>AD6*AC6*AA6</f>
        <v>0</v>
      </c>
      <c r="AP6" s="52">
        <f>AL6*AJ6</f>
        <v>0</v>
      </c>
      <c r="AQ6" s="54"/>
      <c r="AR6" s="55">
        <f>SUBTOTAL(9,AM6:AQ6)</f>
        <v>0</v>
      </c>
      <c r="AS6" s="55"/>
      <c r="AT6" s="67">
        <v>721004949</v>
      </c>
      <c r="AU6" s="57"/>
      <c r="AV6" s="58"/>
      <c r="AW6" s="57"/>
      <c r="AX6" s="198"/>
      <c r="AZ6" s="25">
        <f>IF(F6="Rack",AR6/I6,0)+IF(F6="U Space",AR6*40/I6,0)+IF(F6="Space",AR6*30/I6,0)</f>
        <v>0</v>
      </c>
      <c r="BA6" s="25" t="e">
        <f>+AR6/V6</f>
        <v>#DIV/0!</v>
      </c>
      <c r="BB6" s="25" t="e">
        <f t="shared" si="0"/>
        <v>#DIV/0!</v>
      </c>
      <c r="BC6" s="25" t="e">
        <f t="shared" si="0"/>
        <v>#DIV/0!</v>
      </c>
      <c r="BD6" s="25" t="e">
        <f>+($AM6+$AN6+IF(E6="Bundled",0,V6*0.85*AA6*AC6*30.5*24)-BK6)/$V6</f>
        <v>#DIV/0!</v>
      </c>
      <c r="BE6" s="25"/>
      <c r="BF6" s="26">
        <f>+AM6+AN6+AO6</f>
        <v>0</v>
      </c>
      <c r="BG6" s="26" t="e">
        <f>+BF6-BH6</f>
        <v>#REF!</v>
      </c>
      <c r="BH6" s="26" t="e">
        <f>IF(E6="Bundled",MIN(V6*'Noida-01'!$AG$1*(1+#REF!),BF6),AO6)</f>
        <v>#REF!</v>
      </c>
      <c r="BI6" s="27">
        <f>IF($AD6&gt;0,$AD6*'Noida-01'!$AD$1*'Noida-01'!$AF$1*(1+'Noida-01'!$AI$1*(20/'Noida-01'!$AF$1)/732),'Noida-01'!$AG$1*W6)</f>
        <v>0</v>
      </c>
      <c r="BJ6" s="27">
        <f>IF($AD6&gt;0,$AD6*'Noida-01'!$AD$1*'Noida-01'!$AF$1*(1+'Noida-01'!$AI$1*(20/'Noida-01'!$AF$1)/732),+'Noida-01'!$AG$1*(W6+U6))</f>
        <v>0</v>
      </c>
      <c r="BK6" s="27">
        <f>IF(E6="Bundled",'Noida-01'!$AG$1*V6,'Noida-01'!$AG$1*V6*0.85)</f>
        <v>0</v>
      </c>
      <c r="BL6" s="27" t="e">
        <f>+BB6*V6</f>
        <v>#DIV/0!</v>
      </c>
      <c r="BM6" s="27" t="e">
        <f>+#REF!*V6</f>
        <v>#REF!</v>
      </c>
      <c r="BN6" s="27" t="e">
        <f>+BG6-BM6</f>
        <v>#REF!</v>
      </c>
      <c r="BO6" s="27" t="e">
        <f>+BH6-BI6</f>
        <v>#REF!</v>
      </c>
      <c r="BP6" s="27" t="e">
        <f>+BN6+BO6</f>
        <v>#REF!</v>
      </c>
      <c r="BQ6" s="27">
        <f>+V6</f>
        <v>0</v>
      </c>
      <c r="BR6" s="27" t="e">
        <f>+BB6</f>
        <v>#DIV/0!</v>
      </c>
      <c r="BS6" s="27">
        <f>IF(E6="Bundled",BK6-BI6,AO6-BI6)</f>
        <v>0</v>
      </c>
      <c r="BT6" s="27" t="e">
        <f>IF(E6="Bundled",+(BD6-#REF!)*V6,(AM6+AN6)-V6*#REF!)</f>
        <v>#DIV/0!</v>
      </c>
      <c r="BU6" s="27" t="e">
        <f>+BS6+BT6</f>
        <v>#DIV/0!</v>
      </c>
      <c r="BV6" s="27" t="e">
        <f t="shared" si="1"/>
        <v>#DIV/0!</v>
      </c>
      <c r="BW6" s="27" t="e">
        <f t="shared" si="1"/>
        <v>#DIV/0!</v>
      </c>
      <c r="BX6" s="27" t="e">
        <f t="shared" si="1"/>
        <v>#DIV/0!</v>
      </c>
    </row>
    <row r="7" spans="1:78" s="16" customFormat="1" x14ac:dyDescent="0.3">
      <c r="A7" s="199" t="s">
        <v>247</v>
      </c>
      <c r="B7" s="514" t="s">
        <v>388</v>
      </c>
      <c r="C7" s="454" t="s">
        <v>146</v>
      </c>
      <c r="D7" s="430" t="s">
        <v>11</v>
      </c>
      <c r="E7" s="431" t="s">
        <v>52</v>
      </c>
      <c r="F7" s="526" t="s">
        <v>60</v>
      </c>
      <c r="G7" s="33" t="s">
        <v>61</v>
      </c>
      <c r="H7" s="31" t="str">
        <f t="shared" ref="H7:H9" si="2">IF(F7="Rack","No of Racks",(IF(F7="Space","Sq Ft","U Space")))</f>
        <v>U Space</v>
      </c>
      <c r="I7" s="33">
        <v>2</v>
      </c>
      <c r="J7" s="33">
        <v>0</v>
      </c>
      <c r="K7" s="35">
        <f t="shared" ref="K7:K9" si="3">I7-J7</f>
        <v>2</v>
      </c>
      <c r="L7" s="33">
        <v>0</v>
      </c>
      <c r="M7" s="33"/>
      <c r="N7" s="42">
        <f>55000/12/2</f>
        <v>2291.6666666666665</v>
      </c>
      <c r="O7" s="43" t="str">
        <f t="shared" ref="O7:O9" si="4">D7</f>
        <v>Rated</v>
      </c>
      <c r="P7" s="33" t="s">
        <v>54</v>
      </c>
      <c r="Q7" s="34">
        <v>0</v>
      </c>
      <c r="R7" s="45">
        <v>0</v>
      </c>
      <c r="S7" s="46">
        <f t="shared" ref="S7:S9" si="5">Q7-R7</f>
        <v>0</v>
      </c>
      <c r="T7" s="34"/>
      <c r="U7" s="34">
        <f>IF(S7&lt;=0,0,(IF(O7="Rated",(S7+T7)*$U$1,(S7+T7))))</f>
        <v>0</v>
      </c>
      <c r="V7" s="34">
        <f>IF(O7="Rated",Q7*$U$1,Q7)</f>
        <v>0</v>
      </c>
      <c r="W7"/>
      <c r="X7" s="34">
        <f t="shared" ref="X7:X9" si="6">IF((S7*-1)&gt;0, (S7*-1), 0)</f>
        <v>0</v>
      </c>
      <c r="Y7" s="47">
        <f>90000/12</f>
        <v>7500</v>
      </c>
      <c r="Z7" s="48" t="str">
        <f t="shared" ref="Z7:Z9" si="7">E7</f>
        <v>Bundled</v>
      </c>
      <c r="AA7" s="34"/>
      <c r="AB7" s="34"/>
      <c r="AC7" s="49"/>
      <c r="AD7" s="34"/>
      <c r="AE7" s="50"/>
      <c r="AF7" s="51"/>
      <c r="AG7" s="34"/>
      <c r="AH7" s="34"/>
      <c r="AI7" s="34">
        <f t="shared" ref="AI7:AI9" si="8">AG7-AH7</f>
        <v>0</v>
      </c>
      <c r="AJ7" s="34"/>
      <c r="AK7" s="34"/>
      <c r="AL7" s="42">
        <f t="shared" ref="AL7" si="9">(0)/12</f>
        <v>0</v>
      </c>
      <c r="AM7" s="52">
        <f t="shared" ref="AM7:AM9" si="10">N7*L7</f>
        <v>0</v>
      </c>
      <c r="AN7" s="52">
        <f t="shared" ref="AN7:AN9" si="11">Y7*X7</f>
        <v>0</v>
      </c>
      <c r="AO7" s="53">
        <f t="shared" ref="AO7:AO9" si="12">AD7*AC7*AA7</f>
        <v>0</v>
      </c>
      <c r="AP7" s="52">
        <f t="shared" ref="AP7:AP9" si="13">AL7*AJ7</f>
        <v>0</v>
      </c>
      <c r="AQ7" s="54">
        <f t="shared" ref="AQ7" si="14">0/12</f>
        <v>0</v>
      </c>
      <c r="AR7" s="55">
        <f t="shared" ref="AR7:AR9" si="15">SUBTOTAL(9,AM7:AQ7)</f>
        <v>0</v>
      </c>
      <c r="AS7" s="55"/>
      <c r="AT7" s="67"/>
      <c r="AU7" s="68"/>
      <c r="AV7" s="69"/>
      <c r="AW7" s="68"/>
      <c r="AX7" s="89"/>
      <c r="AY7" s="5"/>
      <c r="AZ7" s="29">
        <f t="shared" ref="AZ7:AZ9" si="16">IF(F7="Rack",AR7/I7,0)+IF(F7="U Space",AR7*40/I7,0)+IF(F7="Space",AR7*30/I7,0)</f>
        <v>0</v>
      </c>
      <c r="BA7" s="29" t="e">
        <f t="shared" ref="BA7:BA9" si="17">+AR7/V7</f>
        <v>#DIV/0!</v>
      </c>
      <c r="BB7" s="25" t="e">
        <f t="shared" ref="BB7:BC9" si="18">+($AM7+$AN7+$AO7-BI7)/$V7</f>
        <v>#DIV/0!</v>
      </c>
      <c r="BC7" s="25" t="e">
        <f t="shared" si="18"/>
        <v>#DIV/0!</v>
      </c>
      <c r="BD7" s="25" t="e">
        <f t="shared" ref="BD7:BD9" si="19">+($AM7+$AN7+IF(E7="Bundled",0,V7*0.85*AA7*AC7*30.5*24)-BK7)/$V7</f>
        <v>#DIV/0!</v>
      </c>
      <c r="BE7" s="29"/>
      <c r="BF7" s="26">
        <f t="shared" ref="BF7:BF9" si="20">+AM7+AN7+AO7</f>
        <v>0</v>
      </c>
      <c r="BG7" s="26" t="e">
        <f t="shared" ref="BG7:BG9" si="21">+BF7-BH7</f>
        <v>#REF!</v>
      </c>
      <c r="BH7" s="26" t="e">
        <f>IF(E7="Bundled",MIN(V7*$AD$1*(1+#REF!),BF7),AO7)</f>
        <v>#REF!</v>
      </c>
      <c r="BI7" s="27">
        <f>IF($AD7&gt;0,$AD7*$AA$1*$AC$1*(1+$AF$1*(20/$AC$1)/732),$AD$1*W7)</f>
        <v>0</v>
      </c>
      <c r="BJ7" s="27">
        <f>IF($AD7&gt;0,$AD7*$AA$1*$AC$1*(1+$AF$1*(20/$AC$1)/732),+$AD$1*(W7+U7))</f>
        <v>0</v>
      </c>
      <c r="BK7" s="27">
        <f>IF(E7="Bundled",$AD$1*V7,$AD$1*V7*0.85)</f>
        <v>0</v>
      </c>
      <c r="BL7" s="27" t="e">
        <f t="shared" ref="BL7:BL9" si="22">+BB7*V7</f>
        <v>#DIV/0!</v>
      </c>
      <c r="BM7" s="27" t="e">
        <f>+#REF!*V7</f>
        <v>#REF!</v>
      </c>
      <c r="BN7" s="27" t="e">
        <f t="shared" ref="BN7:BN9" si="23">+BG7-BM7</f>
        <v>#REF!</v>
      </c>
      <c r="BO7" s="27" t="e">
        <f t="shared" ref="BO7:BO9" si="24">+BH7-BI7</f>
        <v>#REF!</v>
      </c>
      <c r="BP7" s="27" t="e">
        <f t="shared" ref="BP7:BP9" si="25">+BN7+BO7</f>
        <v>#REF!</v>
      </c>
      <c r="BQ7" s="27">
        <f t="shared" ref="BQ7:BQ9" si="26">+V7</f>
        <v>0</v>
      </c>
      <c r="BR7" s="27" t="e">
        <f t="shared" ref="BR7:BR9" si="27">+BB7</f>
        <v>#DIV/0!</v>
      </c>
      <c r="BS7" s="27">
        <f t="shared" ref="BS7:BS9" si="28">IF(E7="Bundled",BK7-BI7,AO7-BI7)</f>
        <v>0</v>
      </c>
      <c r="BT7" s="27" t="e">
        <f>IF(E7="Bundled",+(BD7-#REF!)*V7,(AM7+AN7)-V7*#REF!)</f>
        <v>#DIV/0!</v>
      </c>
      <c r="BU7" s="27" t="e">
        <f t="shared" ref="BU7:BU9" si="29">+BS7+BT7</f>
        <v>#DIV/0!</v>
      </c>
      <c r="BV7" s="27" t="e">
        <f t="shared" ref="BV7:BX9" si="30">+BS7/$BQ7</f>
        <v>#DIV/0!</v>
      </c>
      <c r="BW7" s="27" t="e">
        <f t="shared" si="30"/>
        <v>#DIV/0!</v>
      </c>
      <c r="BX7" s="27" t="e">
        <f t="shared" si="30"/>
        <v>#DIV/0!</v>
      </c>
    </row>
    <row r="8" spans="1:78" s="16" customFormat="1" x14ac:dyDescent="0.3">
      <c r="A8" s="199" t="s">
        <v>130</v>
      </c>
      <c r="B8" s="514" t="s">
        <v>386</v>
      </c>
      <c r="C8" s="454" t="s">
        <v>171</v>
      </c>
      <c r="D8" s="430" t="s">
        <v>11</v>
      </c>
      <c r="E8" s="431" t="s">
        <v>52</v>
      </c>
      <c r="F8" s="526" t="s">
        <v>60</v>
      </c>
      <c r="G8" s="33" t="s">
        <v>61</v>
      </c>
      <c r="H8" s="31" t="str">
        <f t="shared" si="2"/>
        <v>U Space</v>
      </c>
      <c r="I8" s="33">
        <v>2</v>
      </c>
      <c r="J8" s="33">
        <v>2</v>
      </c>
      <c r="K8" s="35">
        <f t="shared" si="3"/>
        <v>0</v>
      </c>
      <c r="L8" s="33">
        <v>2</v>
      </c>
      <c r="M8" s="33"/>
      <c r="N8" s="42">
        <f>(35000)/12</f>
        <v>2916.6666666666665</v>
      </c>
      <c r="O8" s="43" t="str">
        <f t="shared" si="4"/>
        <v>Rated</v>
      </c>
      <c r="P8" s="44" t="s">
        <v>54</v>
      </c>
      <c r="Q8" s="34">
        <v>0.5</v>
      </c>
      <c r="R8" s="45">
        <v>0.28000000000000003</v>
      </c>
      <c r="S8" s="46">
        <f t="shared" si="5"/>
        <v>0.21999999999999997</v>
      </c>
      <c r="T8" s="34"/>
      <c r="U8" s="34">
        <f>IF(S8&lt;=0,0,(IF(O8="Rated",(S8+T8)*$U$1,(S8+T8))))</f>
        <v>0.10999999999999999</v>
      </c>
      <c r="V8" s="34">
        <f>IF(O8="Rated",Q8*$U$1,Q8)</f>
        <v>0.25</v>
      </c>
      <c r="W8"/>
      <c r="X8" s="34">
        <f t="shared" si="6"/>
        <v>0</v>
      </c>
      <c r="Y8" s="47">
        <f>99000/12</f>
        <v>8250</v>
      </c>
      <c r="Z8" s="48" t="str">
        <f t="shared" si="7"/>
        <v>Bundled</v>
      </c>
      <c r="AA8" s="34"/>
      <c r="AB8" s="34"/>
      <c r="AC8" s="49"/>
      <c r="AD8" s="34"/>
      <c r="AE8" s="50"/>
      <c r="AF8" s="51" t="str">
        <f t="shared" ref="AF8" si="31">IF(AE8="No of Seats","No of Seats",(IF(AE8="Space","Sq Ft","")))</f>
        <v/>
      </c>
      <c r="AG8" s="34"/>
      <c r="AH8" s="34"/>
      <c r="AI8" s="34">
        <f t="shared" si="8"/>
        <v>0</v>
      </c>
      <c r="AJ8" s="34"/>
      <c r="AK8" s="34"/>
      <c r="AL8" s="42"/>
      <c r="AM8" s="52">
        <f t="shared" si="10"/>
        <v>5833.333333333333</v>
      </c>
      <c r="AN8" s="52">
        <f t="shared" si="11"/>
        <v>0</v>
      </c>
      <c r="AO8" s="53">
        <f t="shared" si="12"/>
        <v>0</v>
      </c>
      <c r="AP8" s="52">
        <f t="shared" si="13"/>
        <v>0</v>
      </c>
      <c r="AQ8" s="54">
        <v>0</v>
      </c>
      <c r="AR8" s="55">
        <f t="shared" si="15"/>
        <v>5833.333333333333</v>
      </c>
      <c r="AS8" s="55"/>
      <c r="AT8" s="56"/>
      <c r="AU8" s="57"/>
      <c r="AV8" s="58"/>
      <c r="AW8" s="57"/>
      <c r="AX8" s="198"/>
      <c r="AY8" s="5"/>
      <c r="AZ8" s="25">
        <f t="shared" si="16"/>
        <v>116666.66666666666</v>
      </c>
      <c r="BA8" s="25">
        <f t="shared" si="17"/>
        <v>23333.333333333332</v>
      </c>
      <c r="BB8" s="25">
        <f t="shared" si="18"/>
        <v>23333.333333333332</v>
      </c>
      <c r="BC8" s="25">
        <f t="shared" si="18"/>
        <v>15304.688423333333</v>
      </c>
      <c r="BD8" s="25">
        <f t="shared" si="19"/>
        <v>5086.4130833333329</v>
      </c>
      <c r="BE8" s="25"/>
      <c r="BF8" s="26">
        <f t="shared" si="20"/>
        <v>5833.333333333333</v>
      </c>
      <c r="BG8" s="26" t="e">
        <f t="shared" si="21"/>
        <v>#REF!</v>
      </c>
      <c r="BH8" s="26" t="e">
        <f>IF(E8="Bundled",MIN(V8*$AD$1*(1+#REF!),BF8),AO8)</f>
        <v>#REF!</v>
      </c>
      <c r="BI8" s="27">
        <f>IF($AD8&gt;0,$AD8*$AA$1*$AC$1*(1+$AF$1*(20/$AC$1)/732),$AD$1*W8)</f>
        <v>0</v>
      </c>
      <c r="BJ8" s="27">
        <f>IF($AD8&gt;0,$AD8*$AA$1*$AC$1*(1+$AF$1*(20/$AC$1)/732),+$AD$1*(W8+U8))</f>
        <v>2007.1612274999998</v>
      </c>
      <c r="BK8" s="27">
        <f>IF(E8="Bundled",$AD$1*V8,$AD$1*V8*0.85)</f>
        <v>4561.7300624999998</v>
      </c>
      <c r="BL8" s="27">
        <f t="shared" si="22"/>
        <v>5833.333333333333</v>
      </c>
      <c r="BM8" s="27" t="e">
        <f>+#REF!*V8</f>
        <v>#REF!</v>
      </c>
      <c r="BN8" s="27" t="e">
        <f t="shared" si="23"/>
        <v>#REF!</v>
      </c>
      <c r="BO8" s="27" t="e">
        <f t="shared" si="24"/>
        <v>#REF!</v>
      </c>
      <c r="BP8" s="27" t="e">
        <f t="shared" si="25"/>
        <v>#REF!</v>
      </c>
      <c r="BQ8" s="27">
        <f t="shared" si="26"/>
        <v>0.25</v>
      </c>
      <c r="BR8" s="27">
        <f t="shared" si="27"/>
        <v>23333.333333333332</v>
      </c>
      <c r="BS8" s="27">
        <f t="shared" si="28"/>
        <v>4561.7300624999998</v>
      </c>
      <c r="BT8" s="27" t="e">
        <f>IF(E8="Bundled",+(BD8-#REF!)*V8,(AM8+AN8)-V8*#REF!)</f>
        <v>#REF!</v>
      </c>
      <c r="BU8" s="27" t="e">
        <f t="shared" si="29"/>
        <v>#REF!</v>
      </c>
      <c r="BV8" s="27">
        <f t="shared" si="30"/>
        <v>18246.920249999999</v>
      </c>
      <c r="BW8" s="27" t="e">
        <f t="shared" si="30"/>
        <v>#REF!</v>
      </c>
      <c r="BX8" s="27" t="e">
        <f t="shared" si="30"/>
        <v>#REF!</v>
      </c>
    </row>
    <row r="9" spans="1:78" s="16" customFormat="1" ht="26" x14ac:dyDescent="0.3">
      <c r="A9" s="326" t="s">
        <v>130</v>
      </c>
      <c r="B9" s="512" t="s">
        <v>221</v>
      </c>
      <c r="C9" s="454" t="s">
        <v>183</v>
      </c>
      <c r="D9" s="430" t="s">
        <v>11</v>
      </c>
      <c r="E9" s="431" t="s">
        <v>52</v>
      </c>
      <c r="F9" s="526" t="s">
        <v>8</v>
      </c>
      <c r="G9" s="33" t="s">
        <v>61</v>
      </c>
      <c r="H9" s="31" t="str">
        <f t="shared" si="2"/>
        <v>No of Racks</v>
      </c>
      <c r="I9" s="33">
        <v>2</v>
      </c>
      <c r="J9" s="33">
        <v>0</v>
      </c>
      <c r="K9" s="35">
        <f t="shared" si="3"/>
        <v>2</v>
      </c>
      <c r="L9" s="33">
        <v>0</v>
      </c>
      <c r="M9" s="33"/>
      <c r="N9" s="42">
        <f>(580000)/12</f>
        <v>48333.333333333336</v>
      </c>
      <c r="O9" s="43" t="str">
        <f t="shared" si="4"/>
        <v>Rated</v>
      </c>
      <c r="P9" s="33" t="s">
        <v>54</v>
      </c>
      <c r="Q9" s="34">
        <v>0</v>
      </c>
      <c r="R9" s="45">
        <v>0</v>
      </c>
      <c r="S9" s="46">
        <f t="shared" si="5"/>
        <v>0</v>
      </c>
      <c r="T9" s="34"/>
      <c r="U9" s="34">
        <f>IF(S9&lt;=0,0,(IF(O9="Rated",(S9+T9)*$U$1,(S9+T9))))</f>
        <v>0</v>
      </c>
      <c r="V9" s="34">
        <f>IF(O9="Rated",Q9*$U$1,Q9)</f>
        <v>0</v>
      </c>
      <c r="W9" s="65">
        <v>0</v>
      </c>
      <c r="X9" s="34">
        <f t="shared" si="6"/>
        <v>0</v>
      </c>
      <c r="Y9" s="47">
        <f>110000/12</f>
        <v>9166.6666666666661</v>
      </c>
      <c r="Z9" s="48" t="str">
        <f t="shared" si="7"/>
        <v>Bundled</v>
      </c>
      <c r="AA9" s="34"/>
      <c r="AB9" s="34"/>
      <c r="AC9" s="49"/>
      <c r="AD9" s="34"/>
      <c r="AE9" s="50"/>
      <c r="AF9" s="51"/>
      <c r="AG9" s="34"/>
      <c r="AH9" s="34"/>
      <c r="AI9" s="34">
        <f t="shared" si="8"/>
        <v>0</v>
      </c>
      <c r="AJ9" s="34"/>
      <c r="AK9" s="34"/>
      <c r="AL9" s="42">
        <f t="shared" ref="AL9" si="32">(0)/12</f>
        <v>0</v>
      </c>
      <c r="AM9" s="52">
        <f t="shared" si="10"/>
        <v>0</v>
      </c>
      <c r="AN9" s="52">
        <f t="shared" si="11"/>
        <v>0</v>
      </c>
      <c r="AO9" s="53">
        <f t="shared" si="12"/>
        <v>0</v>
      </c>
      <c r="AP9" s="52">
        <f t="shared" si="13"/>
        <v>0</v>
      </c>
      <c r="AQ9" s="54">
        <f>0/12</f>
        <v>0</v>
      </c>
      <c r="AR9" s="55">
        <f t="shared" si="15"/>
        <v>0</v>
      </c>
      <c r="AS9" s="55"/>
      <c r="AT9" s="67"/>
      <c r="AU9" s="68"/>
      <c r="AV9" s="69"/>
      <c r="AW9" s="68"/>
      <c r="AX9" s="89"/>
      <c r="AY9" s="5"/>
      <c r="AZ9" s="29">
        <f t="shared" si="16"/>
        <v>0</v>
      </c>
      <c r="BA9" s="29" t="e">
        <f t="shared" si="17"/>
        <v>#DIV/0!</v>
      </c>
      <c r="BB9" s="25" t="e">
        <f t="shared" si="18"/>
        <v>#DIV/0!</v>
      </c>
      <c r="BC9" s="25" t="e">
        <f t="shared" si="18"/>
        <v>#DIV/0!</v>
      </c>
      <c r="BD9" s="25" t="e">
        <f t="shared" si="19"/>
        <v>#DIV/0!</v>
      </c>
      <c r="BE9" s="29"/>
      <c r="BF9" s="26">
        <f t="shared" si="20"/>
        <v>0</v>
      </c>
      <c r="BG9" s="26" t="e">
        <f t="shared" si="21"/>
        <v>#REF!</v>
      </c>
      <c r="BH9" s="26" t="e">
        <f>IF(E9="Bundled",MIN(V9*$AD$1*(1+#REF!),BF9),AO9)</f>
        <v>#REF!</v>
      </c>
      <c r="BI9" s="27">
        <f>IF($AD9&gt;0,$AD9*$AA$1*$AC$1*(1+$AF$1*(20/$AC$1)/732),$AD$1*W9)</f>
        <v>0</v>
      </c>
      <c r="BJ9" s="27">
        <f>IF($AD9&gt;0,$AD9*$AA$1*$AC$1*(1+$AF$1*(20/$AC$1)/732),+$AD$1*(W9+U9))</f>
        <v>0</v>
      </c>
      <c r="BK9" s="27">
        <f>IF(E9="Bundled",$AD$1*V9,$AD$1*V9*0.85)</f>
        <v>0</v>
      </c>
      <c r="BL9" s="27" t="e">
        <f t="shared" si="22"/>
        <v>#DIV/0!</v>
      </c>
      <c r="BM9" s="27" t="e">
        <f>+#REF!*V9</f>
        <v>#REF!</v>
      </c>
      <c r="BN9" s="27" t="e">
        <f t="shared" si="23"/>
        <v>#REF!</v>
      </c>
      <c r="BO9" s="27" t="e">
        <f t="shared" si="24"/>
        <v>#REF!</v>
      </c>
      <c r="BP9" s="27" t="e">
        <f t="shared" si="25"/>
        <v>#REF!</v>
      </c>
      <c r="BQ9" s="27">
        <f t="shared" si="26"/>
        <v>0</v>
      </c>
      <c r="BR9" s="27" t="e">
        <f t="shared" si="27"/>
        <v>#DIV/0!</v>
      </c>
      <c r="BS9" s="27">
        <f t="shared" si="28"/>
        <v>0</v>
      </c>
      <c r="BT9" s="27" t="e">
        <f>IF(E9="Bundled",+(BD9-#REF!)*V9,(AM9+AN9)-V9*#REF!)</f>
        <v>#DIV/0!</v>
      </c>
      <c r="BU9" s="27" t="e">
        <f t="shared" si="29"/>
        <v>#DIV/0!</v>
      </c>
      <c r="BV9" s="27" t="e">
        <f t="shared" si="30"/>
        <v>#DIV/0!</v>
      </c>
      <c r="BW9" s="27" t="e">
        <f t="shared" si="30"/>
        <v>#DIV/0!</v>
      </c>
      <c r="BX9" s="27" t="e">
        <f t="shared" si="30"/>
        <v>#DIV/0!</v>
      </c>
    </row>
    <row r="10" spans="1:78" s="5" customFormat="1" ht="26" x14ac:dyDescent="0.3">
      <c r="A10" s="70" t="s">
        <v>248</v>
      </c>
      <c r="B10" s="515" t="s">
        <v>140</v>
      </c>
      <c r="C10" s="429" t="s">
        <v>357</v>
      </c>
      <c r="D10" s="430" t="s">
        <v>11</v>
      </c>
      <c r="E10" s="431" t="s">
        <v>52</v>
      </c>
      <c r="F10" s="526" t="s">
        <v>60</v>
      </c>
      <c r="G10" s="33" t="s">
        <v>61</v>
      </c>
      <c r="H10" s="31" t="str">
        <f t="shared" ref="H10:H12" si="33">IF(F10="Rack","No of Racks",(IF(F10="Space","Sq Ft","U Space")))</f>
        <v>U Space</v>
      </c>
      <c r="I10" s="33">
        <v>5</v>
      </c>
      <c r="J10" s="33">
        <v>5</v>
      </c>
      <c r="K10" s="35">
        <f t="shared" ref="K10:K12" si="34">I10-J10</f>
        <v>0</v>
      </c>
      <c r="L10" s="33">
        <v>5</v>
      </c>
      <c r="M10" s="33"/>
      <c r="N10" s="42">
        <f>(150000/5)/12</f>
        <v>2500</v>
      </c>
      <c r="O10" s="43" t="str">
        <f t="shared" ref="O10:O12" si="35">D10</f>
        <v>Rated</v>
      </c>
      <c r="P10" s="44" t="s">
        <v>54</v>
      </c>
      <c r="Q10" s="34">
        <v>1.25</v>
      </c>
      <c r="R10" s="45">
        <v>1.01</v>
      </c>
      <c r="S10" s="46">
        <f t="shared" ref="S10:S12" si="36">Q10-R10</f>
        <v>0.24</v>
      </c>
      <c r="T10" s="34"/>
      <c r="U10" s="34" t="e">
        <f t="shared" ref="U10:U12" si="37">IF(S10&lt;=0,0,(IF(O10="Rated",(S10+T10)*$V$1,(S10+T10))))</f>
        <v>#VALUE!</v>
      </c>
      <c r="V10" s="34" t="e">
        <f t="shared" ref="V10:V12" si="38">IF(O10="Rated",Q10*$V$1,Q10)</f>
        <v>#VALUE!</v>
      </c>
      <c r="W10"/>
      <c r="X10" s="34">
        <f t="shared" ref="X10:X12" si="39">IF((S10*-1)&gt;0, (S10*-1), 0)</f>
        <v>0</v>
      </c>
      <c r="Y10" s="47">
        <f>105000/12</f>
        <v>8750</v>
      </c>
      <c r="Z10" s="48" t="str">
        <f t="shared" ref="Z10:Z12" si="40">E10</f>
        <v>Bundled</v>
      </c>
      <c r="AA10" s="34"/>
      <c r="AB10" s="34"/>
      <c r="AC10" s="49"/>
      <c r="AD10" s="34"/>
      <c r="AE10" s="50"/>
      <c r="AF10" s="51" t="str">
        <f t="shared" ref="AF10" si="41">IF(AE10="No of Seats","No of Seats",(IF(AE10="Space","Sq Ft","")))</f>
        <v/>
      </c>
      <c r="AG10" s="34"/>
      <c r="AH10" s="34"/>
      <c r="AI10" s="34">
        <f t="shared" ref="AI10:AI12" si="42">AG10-AH10</f>
        <v>0</v>
      </c>
      <c r="AJ10" s="34"/>
      <c r="AK10" s="34"/>
      <c r="AL10" s="42"/>
      <c r="AM10" s="52">
        <f t="shared" ref="AM10:AM12" si="43">N10*L10</f>
        <v>12500</v>
      </c>
      <c r="AN10" s="52">
        <f t="shared" ref="AN10:AN12" si="44">Y10*X10</f>
        <v>0</v>
      </c>
      <c r="AO10" s="53">
        <f t="shared" ref="AO10:AO12" si="45">AD10*AC10*AA10</f>
        <v>0</v>
      </c>
      <c r="AP10" s="52">
        <f>AL10*AJ10</f>
        <v>0</v>
      </c>
      <c r="AQ10" s="54">
        <f>(90000)/12</f>
        <v>7500</v>
      </c>
      <c r="AR10" s="55">
        <f t="shared" ref="AR10:AR12" si="46">SUBTOTAL(9,AM10:AQ10)</f>
        <v>20000</v>
      </c>
      <c r="AS10" s="55"/>
      <c r="AT10" s="62">
        <v>121001215</v>
      </c>
      <c r="AU10" s="63"/>
      <c r="AV10" s="64"/>
      <c r="AW10" s="63"/>
      <c r="AX10" s="197"/>
      <c r="AZ10" s="25">
        <f t="shared" ref="AZ10:AZ12" si="47">IF(F10="Rack",AR10/I10,0)+IF(F10="U Space",AR10*40/I10,0)+IF(F10="Space",AR10*30/I10,0)</f>
        <v>160000</v>
      </c>
      <c r="BA10" s="25" t="e">
        <f t="shared" ref="BA10:BA12" si="48">+AR10/V10</f>
        <v>#VALUE!</v>
      </c>
      <c r="BB10" s="25" t="e">
        <f t="shared" ref="BB10:BC12" si="49">+($AM10+$AN10+$AO10-BI10)/$V10</f>
        <v>#VALUE!</v>
      </c>
      <c r="BC10" s="25" t="e">
        <f t="shared" si="49"/>
        <v>#VALUE!</v>
      </c>
      <c r="BD10" s="25" t="e">
        <f>+($AM10+$AN10+IF(E10="Bundled",0,V10*0.85*AA10*AC10*30.5*24)-BK10)/$V10</f>
        <v>#VALUE!</v>
      </c>
      <c r="BE10" s="25"/>
      <c r="BF10" s="26">
        <f t="shared" ref="BF10:BF12" si="50">+AM10+AN10+AO10</f>
        <v>12500</v>
      </c>
      <c r="BG10" s="26" t="e">
        <f t="shared" ref="BG10:BG12" si="51">+BF10-BH10</f>
        <v>#VALUE!</v>
      </c>
      <c r="BH10" s="26" t="e">
        <f>IF(E10="Bundled",MIN(V10*$AE$1*(1+#REF!),BF10),AO10)</f>
        <v>#VALUE!</v>
      </c>
      <c r="BI10" s="27" t="e">
        <f>IF($AD10&gt;0,$AD10*$AB$1*$AD$1*(1+$AG$1*(20/$AD$1)/732),$AE$1*W10)</f>
        <v>#VALUE!</v>
      </c>
      <c r="BJ10" s="27" t="e">
        <f>IF($AD10&gt;0,$AD10*$AB$1*$AD$1*(1+$AG$1*(20/$AD$1)/732),+$AE$1*(W10+U10))</f>
        <v>#VALUE!</v>
      </c>
      <c r="BK10" s="27" t="e">
        <f t="shared" ref="BK10:BK12" si="52">IF(E10="Bundled",$AE$1*V10,$AE$1*V10*0.85)</f>
        <v>#VALUE!</v>
      </c>
      <c r="BL10" s="27" t="e">
        <f t="shared" ref="BL10:BL12" si="53">+BB10*V10</f>
        <v>#VALUE!</v>
      </c>
      <c r="BM10" s="27" t="e">
        <f>+#REF!*V10</f>
        <v>#REF!</v>
      </c>
      <c r="BN10" s="27" t="e">
        <f t="shared" ref="BN10:BN12" si="54">+BG10-BM10</f>
        <v>#VALUE!</v>
      </c>
      <c r="BO10" s="27" t="e">
        <f t="shared" ref="BO10:BO12" si="55">+BH10-BI10</f>
        <v>#VALUE!</v>
      </c>
      <c r="BP10" s="27" t="e">
        <f t="shared" ref="BP10:BP12" si="56">+BN10+BO10</f>
        <v>#VALUE!</v>
      </c>
      <c r="BQ10" s="27" t="e">
        <f t="shared" ref="BQ10:BQ12" si="57">+V10</f>
        <v>#VALUE!</v>
      </c>
      <c r="BR10" s="27" t="e">
        <f t="shared" ref="BR10:BR12" si="58">+BB10</f>
        <v>#VALUE!</v>
      </c>
      <c r="BS10" s="27" t="e">
        <f t="shared" ref="BS10:BS12" si="59">IF(E10="Bundled",BK10-BI10,AO10-BI10)</f>
        <v>#VALUE!</v>
      </c>
      <c r="BT10" s="27" t="e">
        <f>IF(E10="Bundled",+(BD10-#REF!)*V10,(AM10+AN10)-V10*#REF!)</f>
        <v>#VALUE!</v>
      </c>
      <c r="BU10" s="27" t="e">
        <f t="shared" ref="BU10:BU12" si="60">+BS10+BT10</f>
        <v>#VALUE!</v>
      </c>
      <c r="BV10" s="27" t="e">
        <f t="shared" ref="BV10:BX12" si="61">+BS10/$BQ10</f>
        <v>#VALUE!</v>
      </c>
      <c r="BW10" s="27" t="e">
        <f t="shared" si="61"/>
        <v>#VALUE!</v>
      </c>
      <c r="BX10" s="27" t="e">
        <f t="shared" si="61"/>
        <v>#VALUE!</v>
      </c>
    </row>
    <row r="11" spans="1:78" s="16" customFormat="1" ht="26" x14ac:dyDescent="0.3">
      <c r="A11" s="326" t="s">
        <v>247</v>
      </c>
      <c r="B11" s="516" t="s">
        <v>143</v>
      </c>
      <c r="C11" s="454" t="s">
        <v>172</v>
      </c>
      <c r="D11" s="430" t="s">
        <v>11</v>
      </c>
      <c r="E11" s="431" t="s">
        <v>52</v>
      </c>
      <c r="F11" s="526" t="s">
        <v>60</v>
      </c>
      <c r="G11" s="33" t="s">
        <v>61</v>
      </c>
      <c r="H11" s="31" t="str">
        <f t="shared" si="33"/>
        <v>U Space</v>
      </c>
      <c r="I11" s="33">
        <v>6</v>
      </c>
      <c r="J11" s="33">
        <v>6</v>
      </c>
      <c r="K11" s="35">
        <f t="shared" si="34"/>
        <v>0</v>
      </c>
      <c r="L11" s="33">
        <v>6</v>
      </c>
      <c r="M11" s="33"/>
      <c r="N11" s="42">
        <f>(230000/6)/12</f>
        <v>3194.4444444444448</v>
      </c>
      <c r="O11" s="43" t="str">
        <f t="shared" si="35"/>
        <v>Rated</v>
      </c>
      <c r="P11" s="33" t="s">
        <v>54</v>
      </c>
      <c r="Q11" s="34">
        <f>500/900</f>
        <v>0.55555555555555558</v>
      </c>
      <c r="R11" s="45">
        <v>1.1100000000000001</v>
      </c>
      <c r="S11" s="46">
        <f t="shared" si="36"/>
        <v>-0.55444444444444452</v>
      </c>
      <c r="T11" s="34"/>
      <c r="U11" s="34">
        <f t="shared" si="37"/>
        <v>0</v>
      </c>
      <c r="V11" s="34" t="e">
        <f t="shared" si="38"/>
        <v>#VALUE!</v>
      </c>
      <c r="W11"/>
      <c r="X11" s="34">
        <f t="shared" si="39"/>
        <v>0.55444444444444452</v>
      </c>
      <c r="Y11" s="47">
        <f>99000/12</f>
        <v>8250</v>
      </c>
      <c r="Z11" s="48" t="str">
        <f t="shared" si="40"/>
        <v>Bundled</v>
      </c>
      <c r="AA11" s="34"/>
      <c r="AB11" s="34"/>
      <c r="AC11" s="49"/>
      <c r="AD11" s="34"/>
      <c r="AE11" s="50"/>
      <c r="AF11" s="51"/>
      <c r="AG11" s="34"/>
      <c r="AH11" s="34"/>
      <c r="AI11" s="34">
        <f t="shared" si="42"/>
        <v>0</v>
      </c>
      <c r="AJ11" s="34"/>
      <c r="AK11" s="34"/>
      <c r="AL11" s="42">
        <f t="shared" ref="AL11" si="62">(0)/12</f>
        <v>0</v>
      </c>
      <c r="AM11" s="52">
        <f t="shared" si="43"/>
        <v>19166.666666666668</v>
      </c>
      <c r="AN11" s="52">
        <f t="shared" si="44"/>
        <v>4574.166666666667</v>
      </c>
      <c r="AO11" s="53">
        <f t="shared" si="45"/>
        <v>0</v>
      </c>
      <c r="AP11" s="52">
        <f t="shared" ref="AP11:AP12" si="63">AL11*AJ11</f>
        <v>0</v>
      </c>
      <c r="AQ11" s="54">
        <f t="shared" ref="AQ11" si="64">0/12</f>
        <v>0</v>
      </c>
      <c r="AR11" s="55">
        <f t="shared" si="46"/>
        <v>23740.833333333336</v>
      </c>
      <c r="AS11" s="55"/>
      <c r="AT11" s="67"/>
      <c r="AU11" s="68"/>
      <c r="AV11" s="69"/>
      <c r="AW11" s="68"/>
      <c r="AX11" s="89"/>
      <c r="AY11" s="5"/>
      <c r="AZ11" s="29">
        <f t="shared" si="47"/>
        <v>158272.22222222225</v>
      </c>
      <c r="BA11" s="29" t="e">
        <f t="shared" si="48"/>
        <v>#VALUE!</v>
      </c>
      <c r="BB11" s="25" t="e">
        <f t="shared" si="49"/>
        <v>#VALUE!</v>
      </c>
      <c r="BC11" s="25" t="e">
        <f t="shared" si="49"/>
        <v>#VALUE!</v>
      </c>
      <c r="BD11" s="25" t="e">
        <f>+($AM11+$AN11+IF(E11="Bundled",0,V11*0.85*AA11*AC11*30.5*24)-BK11)/$V11</f>
        <v>#VALUE!</v>
      </c>
      <c r="BE11" s="29"/>
      <c r="BF11" s="26">
        <f t="shared" si="50"/>
        <v>23740.833333333336</v>
      </c>
      <c r="BG11" s="26" t="e">
        <f t="shared" si="51"/>
        <v>#VALUE!</v>
      </c>
      <c r="BH11" s="26" t="e">
        <f>IF(E11="Bundled",MIN(V11*$AE$1*(1+#REF!),BF11),AO11)</f>
        <v>#VALUE!</v>
      </c>
      <c r="BI11" s="27" t="e">
        <f>IF($AD11&gt;0,$AD11*$AB$1*$AD$1*(1+$AG$1*(20/$AD$1)/732),$AE$1*W11)</f>
        <v>#VALUE!</v>
      </c>
      <c r="BJ11" s="27" t="e">
        <f>IF($AD11&gt;0,$AD11*$AB$1*$AD$1*(1+$AG$1*(20/$AD$1)/732),+$AE$1*(W11+U11))</f>
        <v>#VALUE!</v>
      </c>
      <c r="BK11" s="27" t="e">
        <f t="shared" si="52"/>
        <v>#VALUE!</v>
      </c>
      <c r="BL11" s="27" t="e">
        <f t="shared" si="53"/>
        <v>#VALUE!</v>
      </c>
      <c r="BM11" s="27" t="e">
        <f>+#REF!*V11</f>
        <v>#REF!</v>
      </c>
      <c r="BN11" s="27" t="e">
        <f t="shared" si="54"/>
        <v>#VALUE!</v>
      </c>
      <c r="BO11" s="27" t="e">
        <f t="shared" si="55"/>
        <v>#VALUE!</v>
      </c>
      <c r="BP11" s="27" t="e">
        <f t="shared" si="56"/>
        <v>#VALUE!</v>
      </c>
      <c r="BQ11" s="27" t="e">
        <f t="shared" si="57"/>
        <v>#VALUE!</v>
      </c>
      <c r="BR11" s="27" t="e">
        <f t="shared" si="58"/>
        <v>#VALUE!</v>
      </c>
      <c r="BS11" s="27" t="e">
        <f t="shared" si="59"/>
        <v>#VALUE!</v>
      </c>
      <c r="BT11" s="27" t="e">
        <f>IF(E11="Bundled",+(BD11-#REF!)*V11,(AM11+AN11)-V11*#REF!)</f>
        <v>#VALUE!</v>
      </c>
      <c r="BU11" s="27" t="e">
        <f t="shared" si="60"/>
        <v>#VALUE!</v>
      </c>
      <c r="BV11" s="27" t="e">
        <f t="shared" si="61"/>
        <v>#VALUE!</v>
      </c>
      <c r="BW11" s="27" t="e">
        <f t="shared" si="61"/>
        <v>#VALUE!</v>
      </c>
      <c r="BX11" s="27" t="e">
        <f t="shared" si="61"/>
        <v>#VALUE!</v>
      </c>
    </row>
    <row r="12" spans="1:78" s="16" customFormat="1" ht="26" x14ac:dyDescent="0.3">
      <c r="A12" s="326" t="s">
        <v>130</v>
      </c>
      <c r="B12" s="516" t="s">
        <v>163</v>
      </c>
      <c r="C12" s="454" t="s">
        <v>372</v>
      </c>
      <c r="D12" s="430" t="s">
        <v>11</v>
      </c>
      <c r="E12" s="431" t="s">
        <v>52</v>
      </c>
      <c r="F12" s="526" t="s">
        <v>60</v>
      </c>
      <c r="G12" s="33" t="s">
        <v>61</v>
      </c>
      <c r="H12" s="31" t="str">
        <f t="shared" si="33"/>
        <v>U Space</v>
      </c>
      <c r="I12" s="33">
        <v>21</v>
      </c>
      <c r="J12" s="33">
        <v>21</v>
      </c>
      <c r="K12" s="35">
        <f t="shared" si="34"/>
        <v>0</v>
      </c>
      <c r="L12" s="33">
        <v>21</v>
      </c>
      <c r="M12" s="33"/>
      <c r="N12" s="42">
        <f>(350000/21)/12</f>
        <v>1388.8888888888889</v>
      </c>
      <c r="O12" s="43" t="str">
        <f t="shared" si="35"/>
        <v>Rated</v>
      </c>
      <c r="P12" s="44" t="s">
        <v>54</v>
      </c>
      <c r="Q12" s="34">
        <v>1.5</v>
      </c>
      <c r="R12" s="45">
        <v>3.38</v>
      </c>
      <c r="S12" s="46">
        <f t="shared" si="36"/>
        <v>-1.88</v>
      </c>
      <c r="T12" s="34"/>
      <c r="U12" s="34">
        <f t="shared" si="37"/>
        <v>0</v>
      </c>
      <c r="V12" s="34" t="e">
        <f t="shared" si="38"/>
        <v>#VALUE!</v>
      </c>
      <c r="W12"/>
      <c r="X12" s="34">
        <f t="shared" si="39"/>
        <v>1.88</v>
      </c>
      <c r="Y12" s="47">
        <f>100000/12</f>
        <v>8333.3333333333339</v>
      </c>
      <c r="Z12" s="48" t="str">
        <f t="shared" si="40"/>
        <v>Bundled</v>
      </c>
      <c r="AA12" s="34"/>
      <c r="AB12" s="34"/>
      <c r="AC12" s="49"/>
      <c r="AD12" s="34"/>
      <c r="AE12" s="50"/>
      <c r="AF12" s="51" t="str">
        <f t="shared" ref="AF12" si="65">IF(AE12="No of Seats","No of Seats",(IF(AE12="Space","Sq Ft","")))</f>
        <v/>
      </c>
      <c r="AG12" s="34"/>
      <c r="AH12" s="34"/>
      <c r="AI12" s="34">
        <f t="shared" si="42"/>
        <v>0</v>
      </c>
      <c r="AJ12" s="34"/>
      <c r="AK12" s="34"/>
      <c r="AL12" s="42"/>
      <c r="AM12" s="52">
        <f t="shared" si="43"/>
        <v>29166.666666666668</v>
      </c>
      <c r="AN12" s="52">
        <f t="shared" si="44"/>
        <v>15666.666666666666</v>
      </c>
      <c r="AO12" s="53">
        <f t="shared" si="45"/>
        <v>0</v>
      </c>
      <c r="AP12" s="52">
        <f t="shared" si="63"/>
        <v>0</v>
      </c>
      <c r="AQ12" s="54">
        <v>0</v>
      </c>
      <c r="AR12" s="55">
        <f t="shared" si="46"/>
        <v>44833.333333333336</v>
      </c>
      <c r="AS12" s="55"/>
      <c r="AT12" s="56"/>
      <c r="AU12" s="57"/>
      <c r="AV12" s="58"/>
      <c r="AW12" s="57"/>
      <c r="AX12" s="198"/>
      <c r="AY12" s="5"/>
      <c r="AZ12" s="25">
        <f t="shared" si="47"/>
        <v>85396.825396825399</v>
      </c>
      <c r="BA12" s="25" t="e">
        <f t="shared" si="48"/>
        <v>#VALUE!</v>
      </c>
      <c r="BB12" s="25" t="e">
        <f t="shared" si="49"/>
        <v>#VALUE!</v>
      </c>
      <c r="BC12" s="25" t="e">
        <f t="shared" si="49"/>
        <v>#VALUE!</v>
      </c>
      <c r="BD12" s="25" t="e">
        <f>+($AM12+$AN12+IF(E12="Bundled",0,V12*0.85*AA12*AC12*30.5*24)-BK12)/$V12</f>
        <v>#VALUE!</v>
      </c>
      <c r="BE12" s="25"/>
      <c r="BF12" s="26">
        <f t="shared" si="50"/>
        <v>44833.333333333336</v>
      </c>
      <c r="BG12" s="26" t="e">
        <f t="shared" si="51"/>
        <v>#VALUE!</v>
      </c>
      <c r="BH12" s="26" t="e">
        <f>IF(E12="Bundled",MIN(V12*$AE$1*(1+#REF!),BF12),AO12)</f>
        <v>#VALUE!</v>
      </c>
      <c r="BI12" s="27" t="e">
        <f>IF($AD12&gt;0,$AD12*$AB$1*$AD$1*(1+$AG$1*(20/$AD$1)/732),$AE$1*W12)</f>
        <v>#VALUE!</v>
      </c>
      <c r="BJ12" s="27" t="e">
        <f>IF($AD12&gt;0,$AD12*$AB$1*$AD$1*(1+$AG$1*(20/$AD$1)/732),+$AE$1*(W12+U12))</f>
        <v>#VALUE!</v>
      </c>
      <c r="BK12" s="27" t="e">
        <f t="shared" si="52"/>
        <v>#VALUE!</v>
      </c>
      <c r="BL12" s="27" t="e">
        <f t="shared" si="53"/>
        <v>#VALUE!</v>
      </c>
      <c r="BM12" s="27" t="e">
        <f>+#REF!*V12</f>
        <v>#REF!</v>
      </c>
      <c r="BN12" s="27" t="e">
        <f t="shared" si="54"/>
        <v>#VALUE!</v>
      </c>
      <c r="BO12" s="27" t="e">
        <f t="shared" si="55"/>
        <v>#VALUE!</v>
      </c>
      <c r="BP12" s="27" t="e">
        <f t="shared" si="56"/>
        <v>#VALUE!</v>
      </c>
      <c r="BQ12" s="27" t="e">
        <f t="shared" si="57"/>
        <v>#VALUE!</v>
      </c>
      <c r="BR12" s="27" t="e">
        <f t="shared" si="58"/>
        <v>#VALUE!</v>
      </c>
      <c r="BS12" s="27" t="e">
        <f t="shared" si="59"/>
        <v>#VALUE!</v>
      </c>
      <c r="BT12" s="27" t="e">
        <f>IF(E12="Bundled",+(BD12-#REF!)*V12,(AM12+AN12)-V12*#REF!)</f>
        <v>#VALUE!</v>
      </c>
      <c r="BU12" s="27" t="e">
        <f t="shared" si="60"/>
        <v>#VALUE!</v>
      </c>
      <c r="BV12" s="27" t="e">
        <f t="shared" si="61"/>
        <v>#VALUE!</v>
      </c>
      <c r="BW12" s="27" t="e">
        <f t="shared" si="61"/>
        <v>#VALUE!</v>
      </c>
      <c r="BX12" s="27" t="e">
        <f t="shared" si="61"/>
        <v>#VALUE!</v>
      </c>
    </row>
    <row r="13" spans="1:78" s="16" customFormat="1" ht="26" x14ac:dyDescent="0.3">
      <c r="A13" s="199" t="s">
        <v>130</v>
      </c>
      <c r="B13" s="516" t="s">
        <v>164</v>
      </c>
      <c r="C13" s="429" t="s">
        <v>362</v>
      </c>
      <c r="D13" s="430" t="s">
        <v>11</v>
      </c>
      <c r="E13" s="431" t="s">
        <v>52</v>
      </c>
      <c r="F13" s="526" t="s">
        <v>60</v>
      </c>
      <c r="G13" s="33" t="s">
        <v>61</v>
      </c>
      <c r="H13" s="31" t="str">
        <f t="shared" ref="H13:H15" si="66">IF(F13="Rack","No of Racks",(IF(F13="Space","Sq Ft","U Space")))</f>
        <v>U Space</v>
      </c>
      <c r="I13" s="33">
        <v>6</v>
      </c>
      <c r="J13" s="33">
        <v>6</v>
      </c>
      <c r="K13" s="35">
        <f t="shared" ref="K13:K15" si="67">I13-J13</f>
        <v>0</v>
      </c>
      <c r="L13" s="33">
        <v>6</v>
      </c>
      <c r="M13" s="33"/>
      <c r="N13" s="42">
        <f>29000/12</f>
        <v>2416.6666666666665</v>
      </c>
      <c r="O13" s="43" t="str">
        <f t="shared" ref="O13:O15" si="68">D13</f>
        <v>Rated</v>
      </c>
      <c r="P13" s="44" t="s">
        <v>54</v>
      </c>
      <c r="Q13" s="34">
        <v>1.5</v>
      </c>
      <c r="R13" s="45">
        <v>2.67</v>
      </c>
      <c r="S13" s="46">
        <f t="shared" ref="S13:S15" si="69">Q13-R13</f>
        <v>-1.17</v>
      </c>
      <c r="T13" s="34"/>
      <c r="U13" s="34">
        <f t="shared" ref="U13:U15" si="70">IF(S13&lt;=0,0,(IF(O13="Rated",(S13+T13)*$V$1,(S13+T13))))</f>
        <v>0</v>
      </c>
      <c r="V13" s="34" t="e">
        <f t="shared" ref="V13:V15" si="71">IF(O13="Rated",Q13*$V$1,Q13)</f>
        <v>#VALUE!</v>
      </c>
      <c r="W13"/>
      <c r="X13" s="34">
        <f t="shared" ref="X13:X15" si="72">IF((S13*-1)&gt;0, (S13*-1), 0)</f>
        <v>1.17</v>
      </c>
      <c r="Y13" s="47"/>
      <c r="Z13" s="48" t="str">
        <f t="shared" ref="Z13:Z15" si="73">E13</f>
        <v>Bundled</v>
      </c>
      <c r="AA13" s="34"/>
      <c r="AB13" s="34"/>
      <c r="AC13" s="49"/>
      <c r="AD13" s="34"/>
      <c r="AE13" s="50"/>
      <c r="AF13" s="51" t="str">
        <f t="shared" ref="AF13" si="74">IF(AE13="No of Seats","No of Seats",(IF(AE13="Space","Sq Ft","")))</f>
        <v/>
      </c>
      <c r="AG13" s="34"/>
      <c r="AH13" s="34"/>
      <c r="AI13" s="34">
        <f t="shared" ref="AI13:AI14" si="75">AG13-AH13</f>
        <v>0</v>
      </c>
      <c r="AJ13" s="34"/>
      <c r="AK13" s="34"/>
      <c r="AL13" s="42"/>
      <c r="AM13" s="52">
        <f t="shared" ref="AM13:AM14" si="76">N13*L13</f>
        <v>14500</v>
      </c>
      <c r="AN13" s="52">
        <f t="shared" ref="AN13:AN14" si="77">Y13*X13</f>
        <v>0</v>
      </c>
      <c r="AO13" s="53">
        <f t="shared" ref="AO13:AO14" si="78">AD13*AC13*AA13</f>
        <v>0</v>
      </c>
      <c r="AP13" s="52">
        <f t="shared" ref="AP13:AP14" si="79">AL13*AJ13</f>
        <v>0</v>
      </c>
      <c r="AQ13" s="54">
        <v>0</v>
      </c>
      <c r="AR13" s="55">
        <f t="shared" ref="AR13:AR14" si="80">SUBTOTAL(9,AM13:AQ13)</f>
        <v>14500</v>
      </c>
      <c r="AS13" s="55"/>
      <c r="AT13" s="56"/>
      <c r="AU13" s="57"/>
      <c r="AV13" s="58"/>
      <c r="AW13" s="57"/>
      <c r="AX13" s="198"/>
      <c r="AY13" s="5"/>
      <c r="AZ13" s="25">
        <f t="shared" ref="AZ13:AZ14" si="81">IF(F13="Rack",AR13/I13,0)+IF(F13="U Space",AR13*40/I13,0)+IF(F13="Space",AR13*30/I13,0)</f>
        <v>96666.666666666672</v>
      </c>
      <c r="BA13" s="25" t="e">
        <f t="shared" ref="BA13:BA14" si="82">+AR13/V13</f>
        <v>#VALUE!</v>
      </c>
      <c r="BB13" s="25" t="e">
        <f>+($AM13+$AN13+$AO13-BI13)/$V13</f>
        <v>#VALUE!</v>
      </c>
      <c r="BC13" s="25" t="e">
        <f>+($AM13+$AN13+$AO13-BJ13)/$V13</f>
        <v>#VALUE!</v>
      </c>
      <c r="BD13" s="25" t="e">
        <f>+($AM13+$AN13+IF(E13="Bundled",0,V13*0.85*AA13*AC13*30.5*24)-BK13)/$V13</f>
        <v>#VALUE!</v>
      </c>
      <c r="BE13" s="25"/>
      <c r="BF13" s="26">
        <f t="shared" ref="BF13:BF14" si="83">+AM13+AN13+AO13</f>
        <v>14500</v>
      </c>
      <c r="BG13" s="26" t="e">
        <f t="shared" ref="BG13:BG14" si="84">+BF13-BH13</f>
        <v>#VALUE!</v>
      </c>
      <c r="BH13" s="26" t="e">
        <f>IF(E13="Bundled",MIN(V13*$AE$1*(1+#REF!),BF13),AO13)</f>
        <v>#VALUE!</v>
      </c>
      <c r="BI13" s="27" t="e">
        <f>IF($AD13&gt;0,$AD13*$AB$1*$AD$1*(1+$AG$1*(20/$AD$1)/732),$AE$1*W13)</f>
        <v>#VALUE!</v>
      </c>
      <c r="BJ13" s="27" t="e">
        <f>IF($AD13&gt;0,$AD13*$AB$1*$AD$1*(1+$AG$1*(20/$AD$1)/732),+$AE$1*(W13+U13))</f>
        <v>#VALUE!</v>
      </c>
      <c r="BK13" s="27" t="e">
        <f t="shared" ref="BK13:BK15" si="85">IF(E13="Bundled",$AE$1*V13,$AE$1*V13*0.85)</f>
        <v>#VALUE!</v>
      </c>
      <c r="BL13" s="27" t="e">
        <f t="shared" ref="BL13:BL14" si="86">+BB13*V13</f>
        <v>#VALUE!</v>
      </c>
      <c r="BM13" s="27" t="e">
        <f>+#REF!*V13</f>
        <v>#REF!</v>
      </c>
      <c r="BN13" s="27" t="e">
        <f t="shared" ref="BN13:BN14" si="87">+BG13-BM13</f>
        <v>#VALUE!</v>
      </c>
      <c r="BO13" s="27" t="e">
        <f t="shared" ref="BO13:BO14" si="88">+BH13-BI13</f>
        <v>#VALUE!</v>
      </c>
      <c r="BP13" s="27" t="e">
        <f t="shared" ref="BP13:BP14" si="89">+BN13+BO13</f>
        <v>#VALUE!</v>
      </c>
      <c r="BQ13" s="27" t="e">
        <f t="shared" ref="BQ13:BQ15" si="90">+V13</f>
        <v>#VALUE!</v>
      </c>
      <c r="BR13" s="27" t="e">
        <f t="shared" ref="BR13:BR14" si="91">+BB13</f>
        <v>#VALUE!</v>
      </c>
      <c r="BS13" s="27" t="e">
        <f t="shared" ref="BS13:BS14" si="92">IF(E13="Bundled",BK13-BI13,AO13-BI13)</f>
        <v>#VALUE!</v>
      </c>
      <c r="BT13" s="27" t="e">
        <f>IF(E13="Bundled",+(BD13-#REF!)*V13,(AM13+AN13)-V13*#REF!)</f>
        <v>#VALUE!</v>
      </c>
      <c r="BU13" s="27" t="e">
        <f t="shared" ref="BU13:BU14" si="93">+BS13+BT13</f>
        <v>#VALUE!</v>
      </c>
      <c r="BV13" s="27" t="e">
        <f t="shared" ref="BV13:BX14" si="94">+BS13/$BQ13</f>
        <v>#VALUE!</v>
      </c>
      <c r="BW13" s="27" t="e">
        <f t="shared" si="94"/>
        <v>#VALUE!</v>
      </c>
      <c r="BX13" s="27" t="e">
        <f t="shared" si="94"/>
        <v>#VALUE!</v>
      </c>
    </row>
    <row r="14" spans="1:78" s="16" customFormat="1" ht="26" x14ac:dyDescent="0.3">
      <c r="A14" s="199" t="s">
        <v>247</v>
      </c>
      <c r="B14" s="516" t="s">
        <v>143</v>
      </c>
      <c r="C14" s="429" t="s">
        <v>369</v>
      </c>
      <c r="D14" s="430" t="s">
        <v>11</v>
      </c>
      <c r="E14" s="431" t="s">
        <v>52</v>
      </c>
      <c r="F14" s="526" t="s">
        <v>60</v>
      </c>
      <c r="G14" s="33" t="s">
        <v>61</v>
      </c>
      <c r="H14" s="31" t="str">
        <f t="shared" si="66"/>
        <v>U Space</v>
      </c>
      <c r="I14" s="33">
        <v>3</v>
      </c>
      <c r="J14" s="33">
        <v>3</v>
      </c>
      <c r="K14" s="35">
        <f t="shared" si="67"/>
        <v>0</v>
      </c>
      <c r="L14" s="33">
        <v>3</v>
      </c>
      <c r="M14" s="33"/>
      <c r="N14" s="42">
        <f>(35000)/12</f>
        <v>2916.6666666666665</v>
      </c>
      <c r="O14" s="43" t="str">
        <f t="shared" si="68"/>
        <v>Rated</v>
      </c>
      <c r="P14" s="33" t="s">
        <v>54</v>
      </c>
      <c r="Q14" s="34">
        <v>0.75</v>
      </c>
      <c r="R14" s="45">
        <v>0.61</v>
      </c>
      <c r="S14" s="46">
        <f t="shared" si="69"/>
        <v>0.14000000000000001</v>
      </c>
      <c r="T14" s="34"/>
      <c r="U14" s="34" t="e">
        <f t="shared" si="70"/>
        <v>#VALUE!</v>
      </c>
      <c r="V14" s="34" t="e">
        <f t="shared" si="71"/>
        <v>#VALUE!</v>
      </c>
      <c r="W14"/>
      <c r="X14" s="34">
        <f t="shared" si="72"/>
        <v>0</v>
      </c>
      <c r="Y14" s="47">
        <f>90000/12</f>
        <v>7500</v>
      </c>
      <c r="Z14" s="48" t="str">
        <f t="shared" si="73"/>
        <v>Bundled</v>
      </c>
      <c r="AA14" s="34"/>
      <c r="AB14" s="34"/>
      <c r="AC14" s="49"/>
      <c r="AD14" s="34"/>
      <c r="AE14" s="50"/>
      <c r="AF14" s="51"/>
      <c r="AG14" s="34"/>
      <c r="AH14" s="34"/>
      <c r="AI14" s="34">
        <f t="shared" si="75"/>
        <v>0</v>
      </c>
      <c r="AJ14" s="34"/>
      <c r="AK14" s="34"/>
      <c r="AL14" s="42">
        <f t="shared" ref="AL14" si="95">(0)/12</f>
        <v>0</v>
      </c>
      <c r="AM14" s="52">
        <f t="shared" si="76"/>
        <v>8750</v>
      </c>
      <c r="AN14" s="52">
        <f t="shared" si="77"/>
        <v>0</v>
      </c>
      <c r="AO14" s="53">
        <f t="shared" si="78"/>
        <v>0</v>
      </c>
      <c r="AP14" s="52">
        <f t="shared" si="79"/>
        <v>0</v>
      </c>
      <c r="AQ14" s="54">
        <f t="shared" ref="AQ14" si="96">0/12</f>
        <v>0</v>
      </c>
      <c r="AR14" s="55">
        <f t="shared" si="80"/>
        <v>8750</v>
      </c>
      <c r="AS14" s="55"/>
      <c r="AT14" s="67"/>
      <c r="AU14" s="68"/>
      <c r="AV14" s="69"/>
      <c r="AW14" s="68"/>
      <c r="AX14" s="89"/>
      <c r="AY14" s="5"/>
      <c r="AZ14" s="29">
        <f t="shared" si="81"/>
        <v>116666.66666666667</v>
      </c>
      <c r="BA14" s="29" t="e">
        <f t="shared" si="82"/>
        <v>#VALUE!</v>
      </c>
      <c r="BB14" s="25" t="e">
        <f>+($AM14+$AN14+$AO14-BI14)/$V14</f>
        <v>#VALUE!</v>
      </c>
      <c r="BC14" s="25" t="e">
        <f>+($AM14+$AN14+$AO14-BJ14)/$V14</f>
        <v>#VALUE!</v>
      </c>
      <c r="BD14" s="25" t="e">
        <f>+($AM14+$AN14+IF(E14="Bundled",0,V14*0.85*AA14*AC14*30.5*24)-BK14)/$V14</f>
        <v>#VALUE!</v>
      </c>
      <c r="BE14" s="29"/>
      <c r="BF14" s="26">
        <f t="shared" si="83"/>
        <v>8750</v>
      </c>
      <c r="BG14" s="26" t="e">
        <f t="shared" si="84"/>
        <v>#VALUE!</v>
      </c>
      <c r="BH14" s="26" t="e">
        <f>IF(E14="Bundled",MIN(V14*$AE$1*(1+#REF!),BF14),AO14)</f>
        <v>#VALUE!</v>
      </c>
      <c r="BI14" s="27" t="e">
        <f>IF($AD14&gt;0,$AD14*$AB$1*$AD$1*(1+$AG$1*(20/$AD$1)/732),$AE$1*W14)</f>
        <v>#VALUE!</v>
      </c>
      <c r="BJ14" s="27" t="e">
        <f>IF($AD14&gt;0,$AD14*$AB$1*$AD$1*(1+$AG$1*(20/$AD$1)/732),+$AE$1*(W14+U14))</f>
        <v>#VALUE!</v>
      </c>
      <c r="BK14" s="27" t="e">
        <f t="shared" si="85"/>
        <v>#VALUE!</v>
      </c>
      <c r="BL14" s="27" t="e">
        <f t="shared" si="86"/>
        <v>#VALUE!</v>
      </c>
      <c r="BM14" s="27" t="e">
        <f>+#REF!*V14</f>
        <v>#REF!</v>
      </c>
      <c r="BN14" s="27" t="e">
        <f t="shared" si="87"/>
        <v>#VALUE!</v>
      </c>
      <c r="BO14" s="27" t="e">
        <f t="shared" si="88"/>
        <v>#VALUE!</v>
      </c>
      <c r="BP14" s="27" t="e">
        <f t="shared" si="89"/>
        <v>#VALUE!</v>
      </c>
      <c r="BQ14" s="27" t="e">
        <f t="shared" si="90"/>
        <v>#VALUE!</v>
      </c>
      <c r="BR14" s="27" t="e">
        <f t="shared" si="91"/>
        <v>#VALUE!</v>
      </c>
      <c r="BS14" s="27" t="e">
        <f t="shared" si="92"/>
        <v>#VALUE!</v>
      </c>
      <c r="BT14" s="27" t="e">
        <f>IF(E14="Bundled",+(BD14-#REF!)*V14,(AM14+AN14)-V14*#REF!)</f>
        <v>#VALUE!</v>
      </c>
      <c r="BU14" s="27" t="e">
        <f t="shared" si="93"/>
        <v>#VALUE!</v>
      </c>
      <c r="BV14" s="27" t="e">
        <f t="shared" si="94"/>
        <v>#VALUE!</v>
      </c>
      <c r="BW14" s="27" t="e">
        <f t="shared" si="94"/>
        <v>#VALUE!</v>
      </c>
      <c r="BX14" s="27" t="e">
        <f t="shared" si="94"/>
        <v>#VALUE!</v>
      </c>
    </row>
    <row r="15" spans="1:78" s="16" customFormat="1" ht="26" x14ac:dyDescent="0.3">
      <c r="A15" s="199" t="s">
        <v>248</v>
      </c>
      <c r="B15" s="516" t="s">
        <v>145</v>
      </c>
      <c r="C15" s="454" t="s">
        <v>289</v>
      </c>
      <c r="D15" s="430" t="s">
        <v>11</v>
      </c>
      <c r="E15" s="431" t="s">
        <v>52</v>
      </c>
      <c r="F15" s="526" t="s">
        <v>60</v>
      </c>
      <c r="G15" s="33" t="s">
        <v>61</v>
      </c>
      <c r="H15" s="31" t="str">
        <f t="shared" si="66"/>
        <v>U Space</v>
      </c>
      <c r="I15" s="33">
        <v>11</v>
      </c>
      <c r="J15" s="33">
        <v>11</v>
      </c>
      <c r="K15" s="35">
        <f t="shared" si="67"/>
        <v>0</v>
      </c>
      <c r="L15" s="33">
        <v>11</v>
      </c>
      <c r="M15" s="33"/>
      <c r="N15" s="42">
        <f>(120000)/11/12</f>
        <v>909.09090909090912</v>
      </c>
      <c r="O15" s="43" t="str">
        <f t="shared" si="68"/>
        <v>Rated</v>
      </c>
      <c r="P15" s="44" t="s">
        <v>54</v>
      </c>
      <c r="Q15" s="34">
        <v>1</v>
      </c>
      <c r="R15" s="45">
        <v>2.1</v>
      </c>
      <c r="S15" s="46">
        <f t="shared" si="69"/>
        <v>-1.1000000000000001</v>
      </c>
      <c r="T15" s="34"/>
      <c r="U15" s="34">
        <f t="shared" si="70"/>
        <v>0</v>
      </c>
      <c r="V15" s="34" t="e">
        <f t="shared" si="71"/>
        <v>#VALUE!</v>
      </c>
      <c r="W15"/>
      <c r="X15" s="34">
        <f t="shared" si="72"/>
        <v>1.1000000000000001</v>
      </c>
      <c r="Y15" s="47"/>
      <c r="Z15" s="48" t="str">
        <f t="shared" si="73"/>
        <v>Bundled</v>
      </c>
      <c r="AA15" s="34"/>
      <c r="AB15" s="34"/>
      <c r="AC15" s="49"/>
      <c r="AD15" s="34"/>
      <c r="AE15" s="50"/>
      <c r="AF15" s="51"/>
      <c r="AG15" s="34"/>
      <c r="AH15" s="34"/>
      <c r="AI15" s="34"/>
      <c r="AJ15" s="34"/>
      <c r="AK15" s="34"/>
      <c r="AL15" s="42"/>
      <c r="AM15" s="52"/>
      <c r="AN15" s="52"/>
      <c r="AO15" s="53"/>
      <c r="AP15" s="52"/>
      <c r="AQ15" s="54"/>
      <c r="AR15" s="55"/>
      <c r="AS15" s="55"/>
      <c r="AT15" s="56"/>
      <c r="AU15" s="57"/>
      <c r="AV15" s="58"/>
      <c r="AW15" s="57"/>
      <c r="AX15" s="198"/>
      <c r="AY15" s="5"/>
      <c r="AZ15" s="59"/>
      <c r="BA15" s="59"/>
      <c r="BB15" s="59"/>
      <c r="BC15" s="59"/>
      <c r="BD15" s="59"/>
      <c r="BE15" s="59"/>
      <c r="BF15" s="60"/>
      <c r="BG15" s="60"/>
      <c r="BH15" s="60"/>
      <c r="BI15" s="61"/>
      <c r="BJ15" s="61"/>
      <c r="BK15" s="61" t="e">
        <f t="shared" si="85"/>
        <v>#VALUE!</v>
      </c>
      <c r="BL15" s="61"/>
      <c r="BM15" s="61"/>
      <c r="BN15" s="61"/>
      <c r="BO15" s="61"/>
      <c r="BP15" s="61"/>
      <c r="BQ15" s="61" t="e">
        <f t="shared" si="90"/>
        <v>#VALUE!</v>
      </c>
      <c r="BR15" s="61"/>
      <c r="BS15" s="61"/>
      <c r="BT15" s="61"/>
      <c r="BU15" s="61"/>
      <c r="BV15" s="61"/>
      <c r="BW15" s="61"/>
      <c r="BX15" s="61"/>
      <c r="BY15" s="5"/>
      <c r="BZ15" s="5"/>
    </row>
    <row r="16" spans="1:78" s="16" customFormat="1" x14ac:dyDescent="0.3">
      <c r="A16" s="199" t="s">
        <v>249</v>
      </c>
      <c r="B16" s="517" t="s">
        <v>227</v>
      </c>
      <c r="C16" s="534" t="s">
        <v>226</v>
      </c>
      <c r="D16" s="430" t="s">
        <v>11</v>
      </c>
      <c r="E16" s="431" t="s">
        <v>52</v>
      </c>
      <c r="F16" s="526" t="s">
        <v>8</v>
      </c>
      <c r="G16" s="33" t="s">
        <v>61</v>
      </c>
      <c r="H16" s="31" t="str">
        <f>IF(F16="Rack","No of Racks",(IF(F16="Space","Sq Ft","U Space")))</f>
        <v>No of Racks</v>
      </c>
      <c r="I16" s="33">
        <v>1</v>
      </c>
      <c r="J16" s="175">
        <v>1</v>
      </c>
      <c r="K16" s="176">
        <f>I16-J16</f>
        <v>0</v>
      </c>
      <c r="L16" s="175">
        <v>1</v>
      </c>
      <c r="M16" s="175"/>
      <c r="N16" s="177">
        <f>(450000)/12</f>
        <v>37500</v>
      </c>
      <c r="O16" s="43" t="str">
        <f>D16</f>
        <v>Rated</v>
      </c>
      <c r="P16" s="33" t="s">
        <v>54</v>
      </c>
      <c r="Q16" s="34">
        <v>3</v>
      </c>
      <c r="R16" s="45">
        <v>0</v>
      </c>
      <c r="S16" s="46">
        <f>Q16-R16</f>
        <v>3</v>
      </c>
      <c r="T16" s="34"/>
      <c r="U16" s="34">
        <f>IF(S16&lt;=0,0,(IF(O16="Rated",(S16+T16)*'Noida-01'!$X$1,(S16+T16))))</f>
        <v>1.5</v>
      </c>
      <c r="V16" s="34">
        <f>IF(O16="Rated",Q16*'Noida-01'!$X$1,Q16)</f>
        <v>1.5</v>
      </c>
      <c r="W16" s="65">
        <f>AD16/31/24</f>
        <v>0</v>
      </c>
      <c r="X16" s="34">
        <f>IF((S16*-1)&gt;0, (S16*-1), 0)</f>
        <v>0</v>
      </c>
      <c r="Y16" s="47"/>
      <c r="Z16" s="48" t="str">
        <f>E16</f>
        <v>Bundled</v>
      </c>
      <c r="AA16" s="34"/>
      <c r="AB16" s="34"/>
      <c r="AC16" s="49"/>
      <c r="AD16" s="34"/>
      <c r="AE16" s="50"/>
      <c r="AF16" s="51"/>
      <c r="AG16" s="34"/>
      <c r="AH16" s="34"/>
      <c r="AI16" s="34">
        <f>AG16-AH16</f>
        <v>0</v>
      </c>
      <c r="AJ16" s="34"/>
      <c r="AK16" s="34"/>
      <c r="AL16" s="42">
        <f>(0)/12</f>
        <v>0</v>
      </c>
      <c r="AM16" s="52">
        <f>N16*L16</f>
        <v>37500</v>
      </c>
      <c r="AN16" s="52">
        <f>Y16*X16</f>
        <v>0</v>
      </c>
      <c r="AO16" s="53">
        <f>AD16*AC16*AA16</f>
        <v>0</v>
      </c>
      <c r="AP16" s="52">
        <f>AL16*AJ16</f>
        <v>0</v>
      </c>
      <c r="AQ16" s="54">
        <f>0/12</f>
        <v>0</v>
      </c>
      <c r="AR16" s="55">
        <f>SUBTOTAL(9,AM16:AQ16)</f>
        <v>37500</v>
      </c>
      <c r="AS16" s="55"/>
      <c r="AT16" s="67"/>
      <c r="AU16" s="68"/>
      <c r="AV16" s="69"/>
      <c r="AW16" s="68"/>
      <c r="AX16" s="89"/>
      <c r="AY16" s="5"/>
      <c r="AZ16" s="29">
        <f>IF(F16="Rack",AR16/I16,0)+IF(F16="U Space",AR16*40/I16,0)+IF(F16="Space",AR16*30/I16,0)</f>
        <v>37500</v>
      </c>
      <c r="BA16" s="29">
        <f>+AR16/V16</f>
        <v>25000</v>
      </c>
      <c r="BB16" s="25">
        <f t="shared" ref="BB16:BC18" si="97">+($AM16+$AN16+$AO16-BI16)/$V16</f>
        <v>25000</v>
      </c>
      <c r="BC16" s="25">
        <f t="shared" si="97"/>
        <v>6753.0797499999999</v>
      </c>
      <c r="BD16" s="25">
        <f>+($AM16+$AN16+IF(E16="Bundled",0,V16*0.85*AA16*AC16*30.5*24)-BK16)/$V16</f>
        <v>6753.0797499999999</v>
      </c>
      <c r="BE16" s="29"/>
      <c r="BF16" s="26">
        <f>+AM16+AN16+AO16</f>
        <v>37500</v>
      </c>
      <c r="BG16" s="26" t="e">
        <f>+BF16-BH16</f>
        <v>#REF!</v>
      </c>
      <c r="BH16" s="26" t="e">
        <f>IF(E16="Bundled",MIN(V16*'Noida-01'!$AG$1*(1+#REF!),BF16),AO16)</f>
        <v>#REF!</v>
      </c>
      <c r="BI16" s="27">
        <f>IF($AD16&gt;0,$AD16*'Noida-01'!$AD$1*'Noida-01'!$AF$1*(1+'Noida-01'!$AI$1*(20/'Noida-01'!$AF$1)/732),'Noida-01'!$AG$1*W16)</f>
        <v>0</v>
      </c>
      <c r="BJ16" s="27">
        <f>IF($AD16&gt;0,$AD16*'Noida-01'!$AD$1*'Noida-01'!$AF$1*(1+'Noida-01'!$AI$1*(20/'Noida-01'!$AF$1)/732),+'Noida-01'!$AG$1*(W16+U16))</f>
        <v>27370.380375000001</v>
      </c>
      <c r="BK16" s="27">
        <f>IF(E16="Bundled",'Noida-01'!$AG$1*V16,'Noida-01'!$AG$1*V16*0.85)</f>
        <v>27370.380375000001</v>
      </c>
      <c r="BL16" s="27">
        <f>+BB16*V16</f>
        <v>37500</v>
      </c>
      <c r="BM16" s="27" t="e">
        <f>+#REF!*V16</f>
        <v>#REF!</v>
      </c>
      <c r="BN16" s="27" t="e">
        <f>+BG16-BM16</f>
        <v>#REF!</v>
      </c>
      <c r="BO16" s="27" t="e">
        <f>+BH16-BI16</f>
        <v>#REF!</v>
      </c>
      <c r="BP16" s="27" t="e">
        <f>+BN16+BO16</f>
        <v>#REF!</v>
      </c>
      <c r="BQ16" s="27">
        <f>+V16</f>
        <v>1.5</v>
      </c>
      <c r="BR16" s="27">
        <f>+BB16</f>
        <v>25000</v>
      </c>
      <c r="BS16" s="27">
        <f>IF(E16="Bundled",BK16-BI16,AO16-BI16)</f>
        <v>27370.380375000001</v>
      </c>
      <c r="BT16" s="27" t="e">
        <f>IF(E16="Bundled",+(BD16-#REF!)*V16,(AM16+AN16)-V16*#REF!)</f>
        <v>#REF!</v>
      </c>
      <c r="BU16" s="27" t="e">
        <f>+BS16+BT16</f>
        <v>#REF!</v>
      </c>
      <c r="BV16" s="27">
        <f t="shared" ref="BV16:BX18" si="98">+BS16/$BQ16</f>
        <v>18246.920249999999</v>
      </c>
      <c r="BW16" s="27" t="e">
        <f t="shared" si="98"/>
        <v>#REF!</v>
      </c>
      <c r="BX16" s="27" t="e">
        <f t="shared" si="98"/>
        <v>#REF!</v>
      </c>
    </row>
    <row r="17" spans="1:78" s="5" customFormat="1" ht="65" x14ac:dyDescent="0.3">
      <c r="A17" s="195" t="s">
        <v>248</v>
      </c>
      <c r="B17" s="512" t="s">
        <v>187</v>
      </c>
      <c r="C17" s="430" t="s">
        <v>118</v>
      </c>
      <c r="D17" s="430" t="s">
        <v>11</v>
      </c>
      <c r="E17" s="431" t="s">
        <v>52</v>
      </c>
      <c r="F17" s="526" t="s">
        <v>8</v>
      </c>
      <c r="G17" s="33" t="s">
        <v>61</v>
      </c>
      <c r="H17" s="31" t="str">
        <f>IF(F17="Rack","No of Racks",(IF(F17="Space","Sq Ft","U Space")))</f>
        <v>No of Racks</v>
      </c>
      <c r="I17" s="33">
        <v>6</v>
      </c>
      <c r="J17" s="33">
        <v>6</v>
      </c>
      <c r="K17" s="35">
        <f>I17-J17</f>
        <v>0</v>
      </c>
      <c r="L17" s="33">
        <v>6</v>
      </c>
      <c r="M17" s="33"/>
      <c r="N17" s="42">
        <f>((3601628+672384)/6)/12</f>
        <v>59361.277777777781</v>
      </c>
      <c r="O17" s="43" t="str">
        <f>D17</f>
        <v>Rated</v>
      </c>
      <c r="P17" s="33" t="s">
        <v>54</v>
      </c>
      <c r="Q17" s="34">
        <v>84.65</v>
      </c>
      <c r="R17" s="45">
        <v>84.65</v>
      </c>
      <c r="S17" s="46">
        <f>Q17-R17</f>
        <v>0</v>
      </c>
      <c r="T17" s="34"/>
      <c r="U17" s="34">
        <f>IF(S17&lt;=0,0,(IF(O17="Rated",(S17+T17)*'Noida-01'!$X$1,(S17+T17))))</f>
        <v>0</v>
      </c>
      <c r="V17" s="34">
        <f>IF(O17="Rated",Q17*'Noida-01'!$X$1,Q17)</f>
        <v>42.325000000000003</v>
      </c>
      <c r="W17" s="65">
        <v>14.66</v>
      </c>
      <c r="X17" s="34">
        <f>IF((S17*-1)&gt;0, (S17*-1), 0)</f>
        <v>0</v>
      </c>
      <c r="Y17" s="47">
        <f>92700/12</f>
        <v>7725</v>
      </c>
      <c r="Z17" s="48" t="str">
        <f>E17</f>
        <v>Bundled</v>
      </c>
      <c r="AA17" s="34"/>
      <c r="AB17" s="34"/>
      <c r="AC17" s="49"/>
      <c r="AD17" s="34"/>
      <c r="AE17" s="50"/>
      <c r="AF17" s="51" t="str">
        <f>IF(AE17="No of Seats","No of Seats",(IF(AE17="Space","Sq Ft","")))</f>
        <v/>
      </c>
      <c r="AG17" s="34"/>
      <c r="AH17" s="34"/>
      <c r="AI17" s="34">
        <f>AG17-AH17</f>
        <v>0</v>
      </c>
      <c r="AJ17" s="34"/>
      <c r="AK17" s="34"/>
      <c r="AL17" s="42"/>
      <c r="AM17" s="52">
        <f>N17*L17</f>
        <v>356167.66666666669</v>
      </c>
      <c r="AN17" s="52">
        <f>Y17*X17</f>
        <v>0</v>
      </c>
      <c r="AO17" s="53">
        <f>AD17*AC17*AA17</f>
        <v>0</v>
      </c>
      <c r="AP17" s="52">
        <f>AL17*AJ17</f>
        <v>0</v>
      </c>
      <c r="AQ17" s="54"/>
      <c r="AR17" s="55">
        <f>SUBTOTAL(9,AM17:AQ17)</f>
        <v>356167.66666666669</v>
      </c>
      <c r="AS17" s="55"/>
      <c r="AT17" s="134" t="s">
        <v>111</v>
      </c>
      <c r="AU17" s="63">
        <v>43922</v>
      </c>
      <c r="AV17" s="64">
        <v>1</v>
      </c>
      <c r="AW17" s="63">
        <v>44286</v>
      </c>
      <c r="AX17" s="198"/>
      <c r="AZ17" s="25">
        <f>IF(F17="Rack",AR17/I17,0)+IF(F17="U Space",AR17*40/I17,0)+IF(F17="Space",AR17*30/I17,0)</f>
        <v>59361.277777777781</v>
      </c>
      <c r="BA17" s="25">
        <f>+AR17/V17</f>
        <v>8415.0659578657214</v>
      </c>
      <c r="BB17" s="25">
        <f t="shared" si="97"/>
        <v>2094.9277212443399</v>
      </c>
      <c r="BC17" s="25">
        <f t="shared" si="97"/>
        <v>2094.9277212443399</v>
      </c>
      <c r="BD17" s="25">
        <f>+($AM17+$AN17+IF(E17="Bundled",0,V17*0.85*AA17*AC17*30.5*24)-BK17)/$V17</f>
        <v>-9831.8542921342778</v>
      </c>
      <c r="BE17" s="25"/>
      <c r="BF17" s="26">
        <f>+AM17+AN17+AO17</f>
        <v>356167.66666666669</v>
      </c>
      <c r="BG17" s="26" t="e">
        <f>+BF17-BH17</f>
        <v>#REF!</v>
      </c>
      <c r="BH17" s="26" t="e">
        <f>IF(E17="Bundled",MIN(V17*'Noida-01'!$AG$1*(1+#REF!),BF17),AO17)</f>
        <v>#REF!</v>
      </c>
      <c r="BI17" s="27">
        <f>IF($AD17&gt;0,$AD17*'Noida-01'!$AD$1*'Noida-01'!$AF$1*(1+'Noida-01'!$AI$1*(20/'Noida-01'!$AF$1)/732),'Noida-01'!$AG$1*W17)</f>
        <v>267499.85086499999</v>
      </c>
      <c r="BJ17" s="27">
        <f>IF($AD17&gt;0,$AD17*'Noida-01'!$AD$1*'Noida-01'!$AF$1*(1+'Noida-01'!$AI$1*(20/'Noida-01'!$AF$1)/732),+'Noida-01'!$AG$1*(W17+U17))</f>
        <v>267499.85086499999</v>
      </c>
      <c r="BK17" s="27">
        <f>IF(E17="Bundled",'Noida-01'!$AG$1*V17,'Noida-01'!$AG$1*V17*0.85)</f>
        <v>772300.89958125004</v>
      </c>
      <c r="BL17" s="27">
        <f>+BB17*V17</f>
        <v>88667.815801666686</v>
      </c>
      <c r="BM17" s="27" t="e">
        <f>+#REF!*V17</f>
        <v>#REF!</v>
      </c>
      <c r="BN17" s="27" t="e">
        <f>+BG17-BM17</f>
        <v>#REF!</v>
      </c>
      <c r="BO17" s="27" t="e">
        <f>+BH17-BI17</f>
        <v>#REF!</v>
      </c>
      <c r="BP17" s="27" t="e">
        <f>+BN17+BO17</f>
        <v>#REF!</v>
      </c>
      <c r="BQ17" s="27">
        <f>+V17</f>
        <v>42.325000000000003</v>
      </c>
      <c r="BR17" s="27">
        <f>+BB17</f>
        <v>2094.9277212443399</v>
      </c>
      <c r="BS17" s="27">
        <f>IF(E17="Bundled",BK17-BI17,AO17-BI17)</f>
        <v>504801.04871625005</v>
      </c>
      <c r="BT17" s="27" t="e">
        <f>IF(E17="Bundled",+(BD17-#REF!)*V17,(AM17+AN17)-V17*#REF!)</f>
        <v>#REF!</v>
      </c>
      <c r="BU17" s="27" t="e">
        <f>+BS17+BT17</f>
        <v>#REF!</v>
      </c>
      <c r="BV17" s="27">
        <f t="shared" si="98"/>
        <v>11926.782013378619</v>
      </c>
      <c r="BW17" s="27" t="e">
        <f t="shared" si="98"/>
        <v>#REF!</v>
      </c>
      <c r="BX17" s="27" t="e">
        <f t="shared" si="98"/>
        <v>#REF!</v>
      </c>
    </row>
    <row r="18" spans="1:78" s="16" customFormat="1" ht="26" x14ac:dyDescent="0.3">
      <c r="A18" s="285" t="s">
        <v>130</v>
      </c>
      <c r="B18" s="518" t="s">
        <v>167</v>
      </c>
      <c r="C18" s="429" t="s">
        <v>351</v>
      </c>
      <c r="D18" s="430" t="s">
        <v>11</v>
      </c>
      <c r="E18" s="431" t="s">
        <v>52</v>
      </c>
      <c r="F18" s="527" t="s">
        <v>8</v>
      </c>
      <c r="G18" s="287" t="s">
        <v>61</v>
      </c>
      <c r="H18" s="289" t="str">
        <f>IF(F18="Rack","No of Racks",(IF(F18="Space","Sq Ft","U Space")))</f>
        <v>No of Racks</v>
      </c>
      <c r="I18" s="287">
        <v>1</v>
      </c>
      <c r="J18" s="287">
        <v>1</v>
      </c>
      <c r="K18" s="290">
        <f>I18-J18</f>
        <v>0</v>
      </c>
      <c r="L18" s="287">
        <v>1</v>
      </c>
      <c r="M18" s="287"/>
      <c r="N18" s="291">
        <f>(442500)/12</f>
        <v>36875</v>
      </c>
      <c r="O18" s="292" t="str">
        <f>D18</f>
        <v>Rated</v>
      </c>
      <c r="P18" s="287" t="s">
        <v>54</v>
      </c>
      <c r="Q18" s="288">
        <v>3.5</v>
      </c>
      <c r="R18" s="352">
        <v>3.33</v>
      </c>
      <c r="S18" s="294">
        <f>Q18-R18</f>
        <v>0.16999999999999993</v>
      </c>
      <c r="T18" s="288"/>
      <c r="U18" s="288">
        <f>IF(S18&lt;=0,0,(IF(O18="Rated",(S18+T18)*'Noida-01'!$X$1,(S18+T18))))</f>
        <v>8.4999999999999964E-2</v>
      </c>
      <c r="V18" s="288">
        <f>IF(O18="Rated",Q18*'Noida-01'!$X$1,Q18)</f>
        <v>1.75</v>
      </c>
      <c r="W18" s="295">
        <v>2.41</v>
      </c>
      <c r="X18" s="288">
        <f>IF((S18*-1)&gt;0, (S18*-1), 0)</f>
        <v>0</v>
      </c>
      <c r="Y18" s="296">
        <f>90000/12</f>
        <v>7500</v>
      </c>
      <c r="Z18" s="297" t="str">
        <f>E18</f>
        <v>Bundled</v>
      </c>
      <c r="AA18" s="288"/>
      <c r="AB18" s="288"/>
      <c r="AC18" s="298"/>
      <c r="AD18" s="288"/>
      <c r="AE18" s="299"/>
      <c r="AF18" s="300" t="str">
        <f>IF(AE18="No of Seats","No of Seats",(IF(AE18="Space","Sq Ft","")))</f>
        <v/>
      </c>
      <c r="AG18" s="288"/>
      <c r="AH18" s="288"/>
      <c r="AI18" s="288">
        <f>AG18-AH18</f>
        <v>0</v>
      </c>
      <c r="AJ18" s="288"/>
      <c r="AK18" s="288"/>
      <c r="AL18" s="291"/>
      <c r="AM18" s="301">
        <f>N18*L18</f>
        <v>36875</v>
      </c>
      <c r="AN18" s="301">
        <f>Y18*X18</f>
        <v>0</v>
      </c>
      <c r="AO18" s="302">
        <f>AD18*AC18*AA18</f>
        <v>0</v>
      </c>
      <c r="AP18" s="301">
        <f>AL18*AJ18</f>
        <v>0</v>
      </c>
      <c r="AQ18" s="303"/>
      <c r="AR18" s="304">
        <f>SUBTOTAL(9,AM18:AQ18)</f>
        <v>36875</v>
      </c>
      <c r="AS18" s="304"/>
      <c r="AT18" s="305"/>
      <c r="AU18" s="353"/>
      <c r="AV18" s="354"/>
      <c r="AW18" s="353"/>
      <c r="AX18" s="355"/>
      <c r="AZ18" s="309">
        <f>IF(F18="Rack",AR18/I18,0)+IF(F18="U Space",AR18*40/I18,0)+IF(F18="Space",AR18*30/I18,0)</f>
        <v>36875</v>
      </c>
      <c r="BA18" s="309">
        <f>+AR18/V18</f>
        <v>21071.428571428572</v>
      </c>
      <c r="BB18" s="309">
        <f t="shared" si="97"/>
        <v>-4057.1873157142877</v>
      </c>
      <c r="BC18" s="309">
        <f t="shared" si="97"/>
        <v>-4943.4662992857129</v>
      </c>
      <c r="BD18" s="309">
        <f>+($AM18+$AN18+IF(E18="Bundled",0,V18*0.85*AA18*AC18*30.5*24)-BK18)/$V18</f>
        <v>2824.5083214285719</v>
      </c>
      <c r="BE18" s="309"/>
      <c r="BF18" s="310">
        <f>+AM18+AN18+AO18</f>
        <v>36875</v>
      </c>
      <c r="BG18" s="310" t="e">
        <f>+BF18-BH18</f>
        <v>#REF!</v>
      </c>
      <c r="BH18" s="310" t="e">
        <f>IF(E18="Bundled",MIN(V18*'Noida-01'!$AG$1*(1+#REF!),BF18),AO18)</f>
        <v>#REF!</v>
      </c>
      <c r="BI18" s="311">
        <f>IF($AD18&gt;0,$AD18*'Noida-01'!$AD$1*'Noida-01'!$AF$1*(1+'Noida-01'!$AI$1*(20/'Noida-01'!$AF$1)/732),'Noida-01'!$AG$1*W18)</f>
        <v>43975.077802500004</v>
      </c>
      <c r="BJ18" s="311">
        <f>IF($AD18&gt;0,$AD18*'Noida-01'!$AD$1*'Noida-01'!$AF$1*(1+'Noida-01'!$AI$1*(20/'Noida-01'!$AF$1)/732),+'Noida-01'!$AG$1*(W18+U18))</f>
        <v>45526.066023749998</v>
      </c>
      <c r="BK18" s="311">
        <f>IF(E18="Bundled",'Noida-01'!$AG$1*V18,'Noida-01'!$AG$1*V18*0.85)</f>
        <v>31932.1104375</v>
      </c>
      <c r="BL18" s="311">
        <f>+BB18*V18</f>
        <v>-7100.0778025000036</v>
      </c>
      <c r="BM18" s="311" t="e">
        <f>+#REF!*V18</f>
        <v>#REF!</v>
      </c>
      <c r="BN18" s="311" t="e">
        <f>+BG18-BM18</f>
        <v>#REF!</v>
      </c>
      <c r="BO18" s="311" t="e">
        <f>+BH18-BI18</f>
        <v>#REF!</v>
      </c>
      <c r="BP18" s="311" t="e">
        <f>+BN18+BO18</f>
        <v>#REF!</v>
      </c>
      <c r="BQ18" s="311">
        <f>+V18</f>
        <v>1.75</v>
      </c>
      <c r="BR18" s="311">
        <f>+BB18</f>
        <v>-4057.1873157142877</v>
      </c>
      <c r="BS18" s="311">
        <f>IF(E18="Bundled",BK18-BI18,AO18-BI18)</f>
        <v>-12042.967365000004</v>
      </c>
      <c r="BT18" s="311" t="e">
        <f>IF(E18="Bundled",+(BD18-#REF!)*V18,(AM18+AN18)-V18*#REF!)</f>
        <v>#REF!</v>
      </c>
      <c r="BU18" s="311" t="e">
        <f>+BS18+BT18</f>
        <v>#REF!</v>
      </c>
      <c r="BV18" s="311">
        <f t="shared" si="98"/>
        <v>-6881.6956371428596</v>
      </c>
      <c r="BW18" s="311" t="e">
        <f t="shared" si="98"/>
        <v>#REF!</v>
      </c>
      <c r="BX18" s="311" t="e">
        <f t="shared" si="98"/>
        <v>#REF!</v>
      </c>
    </row>
    <row r="19" spans="1:78" s="16" customFormat="1" ht="26" x14ac:dyDescent="0.3">
      <c r="A19" s="326" t="s">
        <v>130</v>
      </c>
      <c r="B19" s="519" t="s">
        <v>168</v>
      </c>
      <c r="C19" s="429" t="s">
        <v>312</v>
      </c>
      <c r="D19" s="430" t="s">
        <v>56</v>
      </c>
      <c r="E19" s="431" t="s">
        <v>57</v>
      </c>
      <c r="F19" s="526" t="s">
        <v>8</v>
      </c>
      <c r="G19" s="33" t="s">
        <v>61</v>
      </c>
      <c r="H19" s="31" t="str">
        <f>IF(F19="Rack","No of Racks",(IF(F19="Space","Sq Ft","U Space")))</f>
        <v>No of Racks</v>
      </c>
      <c r="I19" s="33">
        <v>1</v>
      </c>
      <c r="J19" s="33">
        <v>1</v>
      </c>
      <c r="K19" s="35">
        <f>I19-J19</f>
        <v>0</v>
      </c>
      <c r="L19" s="33">
        <v>1</v>
      </c>
      <c r="M19" s="33"/>
      <c r="N19" s="42">
        <f>(270000)/12</f>
        <v>22500</v>
      </c>
      <c r="O19" s="43" t="str">
        <f>D19</f>
        <v>Subscribed</v>
      </c>
      <c r="P19" s="33" t="s">
        <v>58</v>
      </c>
      <c r="Q19" s="34">
        <v>3</v>
      </c>
      <c r="R19" s="66">
        <f>W19</f>
        <v>3.7634408602150539E-2</v>
      </c>
      <c r="S19" s="46">
        <f>Q19-R19</f>
        <v>2.9623655913978495</v>
      </c>
      <c r="T19" s="34"/>
      <c r="U19" s="34">
        <f>IF(S19&lt;=0,0,(IF(O19="Rated",(S19+T19)*'Noida-01'!$X$1,(S19+T19))))</f>
        <v>2.9623655913978495</v>
      </c>
      <c r="V19" s="34">
        <f>IF(O19="Rated",Q19*'Noida-01'!$X$1,Q19)</f>
        <v>3</v>
      </c>
      <c r="W19" s="65">
        <f>AD19/31/24</f>
        <v>3.7634408602150539E-2</v>
      </c>
      <c r="X19" s="34">
        <f>IF((S19*-1)&gt;0, (S19*-1), 0)</f>
        <v>0</v>
      </c>
      <c r="Y19" s="47">
        <f>95000/12</f>
        <v>7916.666666666667</v>
      </c>
      <c r="Z19" s="48" t="str">
        <f>E19</f>
        <v>Metered</v>
      </c>
      <c r="AA19" s="34">
        <v>1</v>
      </c>
      <c r="AB19" s="34" t="s">
        <v>62</v>
      </c>
      <c r="AC19" s="49">
        <v>17</v>
      </c>
      <c r="AD19" s="34">
        <v>28</v>
      </c>
      <c r="AE19" s="50"/>
      <c r="AF19" s="51"/>
      <c r="AG19" s="34"/>
      <c r="AH19" s="34"/>
      <c r="AI19" s="34">
        <f>AG19-AH19</f>
        <v>0</v>
      </c>
      <c r="AJ19" s="34"/>
      <c r="AK19" s="34"/>
      <c r="AL19" s="42">
        <f>(0)/12</f>
        <v>0</v>
      </c>
      <c r="AM19" s="52">
        <f>N19*L19</f>
        <v>22500</v>
      </c>
      <c r="AN19" s="52">
        <f>Y19*X19</f>
        <v>0</v>
      </c>
      <c r="AO19" s="53">
        <f>AD19*AC19*AA19</f>
        <v>476</v>
      </c>
      <c r="AP19" s="52">
        <f>AL19*AJ19</f>
        <v>0</v>
      </c>
      <c r="AQ19" s="54">
        <f>0/12</f>
        <v>0</v>
      </c>
      <c r="AR19" s="55">
        <f>SUBTOTAL(9,AM19:AQ19)</f>
        <v>22976</v>
      </c>
      <c r="AS19" s="55"/>
      <c r="AT19" s="67"/>
      <c r="AU19" s="68"/>
      <c r="AV19" s="69"/>
      <c r="AW19" s="68"/>
      <c r="AX19" s="70"/>
      <c r="AY19" s="70"/>
      <c r="AZ19" s="59">
        <f>IF(F19="Rack",AR19/I19,0)+IF(F19="U Space",AR19*40/I19,0)+IF(F19="Space",AR19*30/I19,0)</f>
        <v>22976</v>
      </c>
      <c r="BA19" s="59">
        <f>+AR19/V19</f>
        <v>7658.666666666667</v>
      </c>
      <c r="BB19" s="59">
        <f>+($AM19+$AN19+$AO19-BI19)/$V19</f>
        <v>7405.4489726775964</v>
      </c>
      <c r="BC19" s="59">
        <f>+($AM19+$AN19+$AO19-BJ19)/$V19</f>
        <v>7405.4489726775964</v>
      </c>
      <c r="BD19" s="59">
        <f>+($AM19+$AN19+IF(E19="Bundled",0,V19*0.85*AA19*AC19*30.5*24)-BK19)/$V19</f>
        <v>2567.5177874999986</v>
      </c>
      <c r="BE19" s="59"/>
      <c r="BF19" s="60">
        <f>+AM19+AN19+AO19</f>
        <v>22976</v>
      </c>
      <c r="BG19" s="60">
        <f>+BF19-BH19</f>
        <v>22500</v>
      </c>
      <c r="BH19" s="60">
        <f>IF(E19="Bundled",MIN(V19*'Noida-01'!$AG$1*(1+#REF!),BF19),AO19)</f>
        <v>476</v>
      </c>
      <c r="BI19" s="61">
        <f>IF($AD19&gt;0,$AD19*'Noida-01'!$AD$1*'Noida-01'!$AF$1*(1+'Noida-01'!$AI$1*(20/'Noida-01'!$AF$1)/732),'Noida-01'!$AG$1*W19)</f>
        <v>759.6530819672131</v>
      </c>
      <c r="BJ19" s="61">
        <f>IF($AD19&gt;0,$AD19*'Noida-01'!$AD$1*'Noida-01'!$AF$1*(1+'Noida-01'!$AI$1*(20/'Noida-01'!$AF$1)/732),+'Noida-01'!$AG$1*(W19+U19))</f>
        <v>759.6530819672131</v>
      </c>
      <c r="BK19" s="61">
        <f>IF(E19="Bundled",'Noida-01'!$AG$1*V19,'Noida-01'!$AG$1*V19*0.85)</f>
        <v>46529.646637500002</v>
      </c>
      <c r="BL19" s="61">
        <f>+BB19*V19</f>
        <v>22216.346918032788</v>
      </c>
      <c r="BM19" s="61" t="e">
        <f>+#REF!*V19</f>
        <v>#REF!</v>
      </c>
      <c r="BN19" s="61" t="e">
        <f>+BG19-BM19</f>
        <v>#REF!</v>
      </c>
      <c r="BO19" s="61">
        <f>+BH19-BI19</f>
        <v>-283.6530819672131</v>
      </c>
      <c r="BP19" s="61" t="e">
        <f>+BN19+BO19</f>
        <v>#REF!</v>
      </c>
      <c r="BQ19" s="61">
        <f>+V19</f>
        <v>3</v>
      </c>
      <c r="BR19" s="61">
        <f>+BB19</f>
        <v>7405.4489726775964</v>
      </c>
      <c r="BS19" s="61">
        <f>IF(E19="Bundled",BK19-BI19,AO19-BI19)</f>
        <v>-283.6530819672131</v>
      </c>
      <c r="BT19" s="61" t="e">
        <f>IF(E19="Bundled",+(BD19-#REF!)*V19,(AM19+AN19)-V19*#REF!)</f>
        <v>#REF!</v>
      </c>
      <c r="BU19" s="61" t="e">
        <f>+BS19+BT19</f>
        <v>#REF!</v>
      </c>
      <c r="BV19" s="61">
        <f t="shared" ref="BV19:BX20" si="99">+BS19/$BQ19</f>
        <v>-94.551027322404366</v>
      </c>
      <c r="BW19" s="61" t="e">
        <f t="shared" si="99"/>
        <v>#REF!</v>
      </c>
      <c r="BX19" s="61" t="e">
        <f t="shared" si="99"/>
        <v>#REF!</v>
      </c>
    </row>
    <row r="20" spans="1:78" s="16" customFormat="1" ht="26" x14ac:dyDescent="0.3">
      <c r="A20" s="326" t="s">
        <v>249</v>
      </c>
      <c r="B20" s="519" t="s">
        <v>403</v>
      </c>
      <c r="C20" s="535" t="s">
        <v>338</v>
      </c>
      <c r="D20" s="430" t="s">
        <v>56</v>
      </c>
      <c r="E20" s="431" t="s">
        <v>57</v>
      </c>
      <c r="F20" s="526" t="s">
        <v>8</v>
      </c>
      <c r="G20" s="33" t="s">
        <v>61</v>
      </c>
      <c r="H20" s="31" t="str">
        <f>IF(F20="Rack","No of Racks",(IF(F20="Space","Sq Ft","U Space")))</f>
        <v>No of Racks</v>
      </c>
      <c r="I20" s="33">
        <v>4</v>
      </c>
      <c r="J20" s="175">
        <v>4</v>
      </c>
      <c r="K20" s="176">
        <f>I20-J20</f>
        <v>0</v>
      </c>
      <c r="L20" s="175">
        <v>4</v>
      </c>
      <c r="M20" s="175"/>
      <c r="N20" s="177">
        <f>(31100)</f>
        <v>31100</v>
      </c>
      <c r="O20" s="43" t="str">
        <f>D20</f>
        <v>Subscribed</v>
      </c>
      <c r="P20" s="33" t="s">
        <v>58</v>
      </c>
      <c r="Q20" s="34">
        <v>16.600000000000001</v>
      </c>
      <c r="R20" s="66">
        <f>W20</f>
        <v>6.8954166666666659</v>
      </c>
      <c r="S20" s="46">
        <f>Q20-R20</f>
        <v>9.7045833333333356</v>
      </c>
      <c r="T20" s="34"/>
      <c r="U20" s="34">
        <f>IF(S20&lt;=0,0,(IF(O20="Rated",(S20+T20)*'Noida-01'!$X$1,(S20+T20))))</f>
        <v>9.7045833333333356</v>
      </c>
      <c r="V20" s="34">
        <f>IF(O20="Rated",Q20*'Noida-01'!$X$1,Q20)</f>
        <v>16.600000000000001</v>
      </c>
      <c r="W20" s="65">
        <f>AD20/30/24</f>
        <v>6.8954166666666659</v>
      </c>
      <c r="X20" s="34">
        <f>IF((S20*-1)&gt;0, (S20*-1), 0)</f>
        <v>0</v>
      </c>
      <c r="Y20" s="47">
        <f>0/12</f>
        <v>0</v>
      </c>
      <c r="Z20" s="48" t="str">
        <f>E20</f>
        <v>Metered</v>
      </c>
      <c r="AA20" s="34">
        <v>1</v>
      </c>
      <c r="AB20" s="34" t="s">
        <v>62</v>
      </c>
      <c r="AC20" s="49">
        <v>0</v>
      </c>
      <c r="AD20" s="178">
        <v>4964.7</v>
      </c>
      <c r="AE20" s="50"/>
      <c r="AF20" s="51"/>
      <c r="AG20" s="34"/>
      <c r="AH20" s="34"/>
      <c r="AI20" s="34">
        <f>AG20-AH20</f>
        <v>0</v>
      </c>
      <c r="AJ20" s="34"/>
      <c r="AK20" s="34"/>
      <c r="AL20" s="42">
        <f>(0)/12</f>
        <v>0</v>
      </c>
      <c r="AM20" s="52">
        <f>N20*L20</f>
        <v>124400</v>
      </c>
      <c r="AN20" s="52">
        <f>Y20*X20</f>
        <v>0</v>
      </c>
      <c r="AO20" s="53">
        <f>AD20*AC20*AA20</f>
        <v>0</v>
      </c>
      <c r="AP20" s="52">
        <f>AL20*AJ20</f>
        <v>0</v>
      </c>
      <c r="AQ20" s="54">
        <f>0/12</f>
        <v>0</v>
      </c>
      <c r="AR20" s="55">
        <f>SUBTOTAL(9,AM20:AQ20)</f>
        <v>124400</v>
      </c>
      <c r="AS20" s="55"/>
      <c r="AT20" s="67"/>
      <c r="AU20" s="68"/>
      <c r="AV20" s="69"/>
      <c r="AW20" s="68"/>
      <c r="AX20" s="70"/>
      <c r="AY20" s="70"/>
      <c r="AZ20" s="59">
        <f>IF(F20="Rack",AR20/I20,0)+IF(F20="U Space",AR20*40/I20,0)+IF(F20="Space",AR20*30/I20,0)</f>
        <v>31100</v>
      </c>
      <c r="BA20" s="59">
        <f>+AR20/V20</f>
        <v>7493.9759036144569</v>
      </c>
      <c r="BB20" s="59">
        <f>+($AM20+$AN20+$AO20-BI20)/$V20</f>
        <v>-620.15846825004917</v>
      </c>
      <c r="BC20" s="59">
        <f>+($AM20+$AN20+$AO20-BJ20)/$V20</f>
        <v>-620.15846825004917</v>
      </c>
      <c r="BD20" s="59">
        <f>+($AM20+$AN20+IF(E20="Bundled",0,V20*0.85*AA20*AC20*30.5*24)-BK20)/$V20</f>
        <v>-8015.9063088855419</v>
      </c>
      <c r="BE20" s="59"/>
      <c r="BF20" s="60">
        <f>+AM20+AN20+AO20</f>
        <v>124400</v>
      </c>
      <c r="BG20" s="60">
        <f>+BF20-BH20</f>
        <v>124400</v>
      </c>
      <c r="BH20" s="60">
        <f>IF(E20="Bundled",MIN(V20*'Noida-01'!$AG$1*(1+#REF!),BF20),AO20)</f>
        <v>0</v>
      </c>
      <c r="BI20" s="61">
        <f>IF($AD20&gt;0,$AD20*'Noida-01'!$AD$1*'Noida-01'!$AF$1*(1+'Noida-01'!$AI$1*(20/'Noida-01'!$AF$1)/732),'Noida-01'!$AG$1*W20)</f>
        <v>134694.63057295082</v>
      </c>
      <c r="BJ20" s="61">
        <f>IF($AD20&gt;0,$AD20*'Noida-01'!$AD$1*'Noida-01'!$AF$1*(1+'Noida-01'!$AI$1*(20/'Noida-01'!$AF$1)/732),+'Noida-01'!$AG$1*(W20+U20))</f>
        <v>134694.63057295082</v>
      </c>
      <c r="BK20" s="61">
        <f>IF(E20="Bundled",'Noida-01'!$AG$1*V20,'Noida-01'!$AG$1*V20*0.85)</f>
        <v>257464.0447275</v>
      </c>
      <c r="BL20" s="61">
        <f>+BB20*V20</f>
        <v>-10294.630572950817</v>
      </c>
      <c r="BM20" s="61" t="e">
        <f>+#REF!*V20</f>
        <v>#REF!</v>
      </c>
      <c r="BN20" s="61" t="e">
        <f>+BG20-BM20</f>
        <v>#REF!</v>
      </c>
      <c r="BO20" s="61">
        <f>+BH20-BI20</f>
        <v>-134694.63057295082</v>
      </c>
      <c r="BP20" s="61" t="e">
        <f>+BN20+BO20</f>
        <v>#REF!</v>
      </c>
      <c r="BQ20" s="61">
        <f>+V20</f>
        <v>16.600000000000001</v>
      </c>
      <c r="BR20" s="61">
        <f>+BB20</f>
        <v>-620.15846825004917</v>
      </c>
      <c r="BS20" s="61">
        <f>IF(E20="Bundled",BK20-BI20,AO20-BI20)</f>
        <v>-134694.63057295082</v>
      </c>
      <c r="BT20" s="61" t="e">
        <f>IF(E20="Bundled",+(BD20-#REF!)*V20,(AM20+AN20)-V20*#REF!)</f>
        <v>#REF!</v>
      </c>
      <c r="BU20" s="61" t="e">
        <f>+BS20+BT20</f>
        <v>#REF!</v>
      </c>
      <c r="BV20" s="61">
        <f t="shared" si="99"/>
        <v>-8114.1343718645066</v>
      </c>
      <c r="BW20" s="61" t="e">
        <f t="shared" si="99"/>
        <v>#REF!</v>
      </c>
      <c r="BX20" s="61" t="e">
        <f t="shared" si="99"/>
        <v>#REF!</v>
      </c>
    </row>
    <row r="21" spans="1:78" s="16" customFormat="1" ht="26" x14ac:dyDescent="0.3">
      <c r="A21" s="326" t="s">
        <v>248</v>
      </c>
      <c r="B21" s="516" t="s">
        <v>145</v>
      </c>
      <c r="C21" s="454" t="s">
        <v>446</v>
      </c>
      <c r="D21" s="430" t="s">
        <v>11</v>
      </c>
      <c r="E21" s="431" t="s">
        <v>52</v>
      </c>
      <c r="F21" s="526" t="s">
        <v>60</v>
      </c>
      <c r="G21" s="33" t="s">
        <v>61</v>
      </c>
      <c r="H21" s="31" t="str">
        <f t="shared" ref="H21" si="100">IF(F21="Rack","No of Racks",(IF(F21="Space","Sq Ft","U Space")))</f>
        <v>U Space</v>
      </c>
      <c r="I21" s="33">
        <v>6</v>
      </c>
      <c r="J21" s="33">
        <v>6</v>
      </c>
      <c r="K21" s="35">
        <f t="shared" ref="K21:K23" si="101">I21-J21</f>
        <v>0</v>
      </c>
      <c r="L21" s="33">
        <v>6</v>
      </c>
      <c r="M21" s="33"/>
      <c r="N21" s="42">
        <f>120000/12/6</f>
        <v>1666.6666666666667</v>
      </c>
      <c r="O21" s="43" t="str">
        <f t="shared" ref="O21:O23" si="102">D21</f>
        <v>Rated</v>
      </c>
      <c r="P21" s="44" t="s">
        <v>54</v>
      </c>
      <c r="Q21" s="34">
        <v>1</v>
      </c>
      <c r="R21" s="45">
        <v>0.05</v>
      </c>
      <c r="S21" s="46">
        <f t="shared" ref="S21:S23" si="103">Q21-R21</f>
        <v>0.95</v>
      </c>
      <c r="T21" s="34"/>
      <c r="U21" s="34">
        <f>IF(S21&lt;=0,0,(IF(O21="Rated",(S21+T21)*$S$20,(S21+T21))))</f>
        <v>9.219354166666669</v>
      </c>
      <c r="V21" s="34">
        <f>IF(O21="Rated",Q21*$S$20,Q21)</f>
        <v>9.7045833333333356</v>
      </c>
      <c r="W21" s="327"/>
      <c r="X21" s="34">
        <f t="shared" ref="X21:X23" si="104">IF((S21*-1)&gt;0, (S21*-1), 0)</f>
        <v>0</v>
      </c>
      <c r="Y21" s="47">
        <f>110000/12</f>
        <v>9166.6666666666661</v>
      </c>
      <c r="Z21" s="48" t="str">
        <f t="shared" ref="Z21:Z23" si="105">E21</f>
        <v>Bundled</v>
      </c>
      <c r="AA21" s="34"/>
      <c r="AB21" s="34"/>
      <c r="AC21" s="49"/>
      <c r="AD21" s="34"/>
      <c r="AE21" s="50"/>
      <c r="AF21" s="51" t="str">
        <f t="shared" ref="AF21" si="106">IF(AE21="No of Seats","No of Seats",(IF(AE21="Space","Sq Ft","")))</f>
        <v/>
      </c>
      <c r="AG21" s="34"/>
      <c r="AH21" s="34"/>
      <c r="AI21" s="34">
        <f t="shared" ref="AI21:AI23" si="107">AG21-AH21</f>
        <v>0</v>
      </c>
      <c r="AJ21" s="34"/>
      <c r="AK21" s="34"/>
      <c r="AL21" s="42"/>
      <c r="AM21" s="52">
        <f t="shared" ref="AM21:AM23" si="108">N21*L21</f>
        <v>10000</v>
      </c>
      <c r="AN21" s="52">
        <f t="shared" ref="AN21:AN23" si="109">Y21*X21</f>
        <v>0</v>
      </c>
      <c r="AO21" s="53">
        <f t="shared" ref="AO21:AO23" si="110">AD21*AC21*AA21</f>
        <v>0</v>
      </c>
      <c r="AP21" s="52">
        <f t="shared" ref="AP21:AP23" si="111">AL21*AJ21</f>
        <v>0</v>
      </c>
      <c r="AQ21" s="54">
        <v>0</v>
      </c>
      <c r="AR21" s="55">
        <f t="shared" ref="AR21:AR23" si="112">SUBTOTAL(9,AM21:AQ21)</f>
        <v>10000</v>
      </c>
      <c r="AS21" s="55"/>
      <c r="AT21" s="56"/>
      <c r="AU21" s="57"/>
      <c r="AV21" s="58"/>
      <c r="AW21" s="57"/>
      <c r="AX21" s="351"/>
      <c r="AY21" s="70"/>
      <c r="AZ21" s="59">
        <f t="shared" ref="AZ21:AZ23" si="113">IF(F21="Rack",AR21/I21,0)+IF(F21="U Space",AR21*40/I21,0)+IF(F21="Space",AR21*30/I21,0)</f>
        <v>66666.666666666672</v>
      </c>
      <c r="BA21" s="59">
        <f t="shared" ref="BA21:BA23" si="114">+AR21/V21</f>
        <v>1030.4409428534625</v>
      </c>
      <c r="BB21" s="59" t="e">
        <f>+($AK21+$AL21+$AM21-BI21)/$T21</f>
        <v>#VALUE!</v>
      </c>
      <c r="BC21" s="59" t="e">
        <f>+($AK21+$AL21+$AM21-BJ21)/$T21</f>
        <v>#VALUE!</v>
      </c>
      <c r="BD21" s="59" t="e">
        <f>+($AK21+$AL21+IF(E21="Bundled",0,V21*0.85*AA21*AC21*30.5*24)-BK21)/$T21</f>
        <v>#VALUE!</v>
      </c>
      <c r="BE21" s="59"/>
      <c r="BF21" s="60">
        <f t="shared" ref="BF21:BF23" si="115">+AM21+AN21+AO21</f>
        <v>10000</v>
      </c>
      <c r="BG21" s="60" t="e">
        <f t="shared" ref="BG21:BG23" si="116">+BF21-BH21</f>
        <v>#VALUE!</v>
      </c>
      <c r="BH21" s="60" t="e">
        <f>IF(E21="Bundled",MIN(V21*$AB$20*(1+$K$2),BF21),AO21)</f>
        <v>#VALUE!</v>
      </c>
      <c r="BI21" s="61" t="e">
        <f>IF($AB21&gt;0,$AB21*$Y$20*$AA$20*(1+$AD$20*(20/$AA$20)/732),$AB$20*W21)</f>
        <v>#VALUE!</v>
      </c>
      <c r="BJ21" s="61" t="e">
        <f>IF($AB21&gt;0,$AB21*$Y$20*$AA$20*(1+$AD$20*(20/$AA$20)/732),+$AB$20*(W21+U21))</f>
        <v>#VALUE!</v>
      </c>
      <c r="BK21" s="61" t="e">
        <f>IF(E21="Bundled",$AB$20*V21,$AB$20*V21*0.85)</f>
        <v>#VALUE!</v>
      </c>
      <c r="BL21" s="61" t="e">
        <f t="shared" ref="BL21:BL23" si="117">+BB21*V21</f>
        <v>#VALUE!</v>
      </c>
      <c r="BM21" s="61">
        <f t="shared" ref="BM21" si="118">+$J$2*V21</f>
        <v>0</v>
      </c>
      <c r="BN21" s="61" t="e">
        <f t="shared" ref="BN21:BN23" si="119">+BG21-BM21</f>
        <v>#VALUE!</v>
      </c>
      <c r="BO21" s="61" t="e">
        <f t="shared" ref="BO21:BO23" si="120">+BH21-BI21</f>
        <v>#VALUE!</v>
      </c>
      <c r="BP21" s="61" t="e">
        <f t="shared" ref="BP21:BP23" si="121">+BN21+BO21</f>
        <v>#VALUE!</v>
      </c>
      <c r="BQ21" s="61">
        <f t="shared" ref="BQ21:BQ23" si="122">+V21</f>
        <v>9.7045833333333356</v>
      </c>
      <c r="BR21" s="61" t="e">
        <f t="shared" ref="BR21:BR23" si="123">+BB21</f>
        <v>#VALUE!</v>
      </c>
      <c r="BS21" s="61" t="e">
        <f t="shared" ref="BS21:BS23" si="124">IF(E21="Bundled",BK21-BI21,AO21-BI21)</f>
        <v>#VALUE!</v>
      </c>
      <c r="BT21" s="61" t="e">
        <f t="shared" ref="BT21" si="125">IF(E21="Bundled",+(BD21-$J$2)*V21,(AM21+AN21)-V21*$J$2)</f>
        <v>#VALUE!</v>
      </c>
      <c r="BU21" s="61" t="e">
        <f t="shared" ref="BU21:BU23" si="126">+BS21+BT21</f>
        <v>#VALUE!</v>
      </c>
      <c r="BV21" s="61" t="e">
        <f>+BS21/$BO21</f>
        <v>#VALUE!</v>
      </c>
      <c r="BW21" s="61" t="e">
        <f>+BT21/$BO21</f>
        <v>#VALUE!</v>
      </c>
      <c r="BX21" s="61" t="e">
        <f>+BU21/$BO21</f>
        <v>#VALUE!</v>
      </c>
      <c r="BY21" s="5"/>
      <c r="BZ21" s="5"/>
    </row>
    <row r="22" spans="1:78" ht="26" x14ac:dyDescent="0.3">
      <c r="A22" s="199" t="s">
        <v>247</v>
      </c>
      <c r="B22" s="513" t="s">
        <v>159</v>
      </c>
      <c r="C22" s="454" t="s">
        <v>117</v>
      </c>
      <c r="D22" s="430" t="s">
        <v>56</v>
      </c>
      <c r="E22" s="431" t="s">
        <v>52</v>
      </c>
      <c r="F22" s="528" t="s">
        <v>8</v>
      </c>
      <c r="G22" s="267" t="s">
        <v>61</v>
      </c>
      <c r="H22" s="268" t="str">
        <f>IF(F22="Rack","No of Racks",(IF(F22="Space","Sq Ft","U Space")))</f>
        <v>No of Racks</v>
      </c>
      <c r="I22" s="267">
        <v>2</v>
      </c>
      <c r="J22" s="33">
        <v>2</v>
      </c>
      <c r="K22" s="35">
        <f t="shared" si="101"/>
        <v>0</v>
      </c>
      <c r="L22" s="33">
        <v>2</v>
      </c>
      <c r="M22" s="33"/>
      <c r="N22" s="156">
        <v>1840</v>
      </c>
      <c r="O22" s="43" t="str">
        <f t="shared" si="102"/>
        <v>Subscribed</v>
      </c>
      <c r="P22" s="33" t="s">
        <v>54</v>
      </c>
      <c r="Q22" s="34">
        <v>14.36</v>
      </c>
      <c r="R22" s="66">
        <f>W22/0.9</f>
        <v>8.0506327160493836</v>
      </c>
      <c r="S22" s="46">
        <f t="shared" si="103"/>
        <v>6.3093672839506159</v>
      </c>
      <c r="T22" s="34"/>
      <c r="U22" s="34">
        <f t="shared" ref="U22:U23" si="127">IF(S22&lt;=0,0,(IF(O22="Rated",(S22+T22)*$V$1,(S22+T22))))</f>
        <v>6.3093672839506159</v>
      </c>
      <c r="V22" s="34">
        <f t="shared" ref="V22:V23" si="128">IF(O22="Rated",Q22*$V$1,Q22)</f>
        <v>14.36</v>
      </c>
      <c r="W22" s="65">
        <f t="shared" ref="W22" si="129">AD22/30/24</f>
        <v>7.2455694444444454</v>
      </c>
      <c r="X22" s="34">
        <f t="shared" si="104"/>
        <v>0</v>
      </c>
      <c r="Y22" s="156">
        <v>250</v>
      </c>
      <c r="Z22" s="48" t="str">
        <f t="shared" si="105"/>
        <v>Bundled</v>
      </c>
      <c r="AA22" s="34">
        <v>1</v>
      </c>
      <c r="AB22" s="34" t="s">
        <v>62</v>
      </c>
      <c r="AC22" s="49">
        <v>0</v>
      </c>
      <c r="AD22" s="34">
        <v>5216.8100000000004</v>
      </c>
      <c r="AE22" s="50"/>
      <c r="AF22" s="51"/>
      <c r="AG22" s="34"/>
      <c r="AH22" s="34"/>
      <c r="AI22" s="34">
        <f t="shared" si="107"/>
        <v>0</v>
      </c>
      <c r="AJ22" s="34"/>
      <c r="AK22" s="34"/>
      <c r="AL22" s="42"/>
      <c r="AM22" s="156">
        <f t="shared" si="108"/>
        <v>3680</v>
      </c>
      <c r="AN22" s="156">
        <f t="shared" si="109"/>
        <v>0</v>
      </c>
      <c r="AO22" s="53">
        <f t="shared" si="110"/>
        <v>0</v>
      </c>
      <c r="AP22" s="156">
        <f t="shared" si="111"/>
        <v>0</v>
      </c>
      <c r="AQ22" s="156">
        <v>0</v>
      </c>
      <c r="AR22" s="157">
        <f t="shared" si="112"/>
        <v>3680</v>
      </c>
      <c r="AS22" s="55"/>
      <c r="AT22" s="67">
        <v>121000084</v>
      </c>
      <c r="AU22" s="68"/>
      <c r="AV22" s="69"/>
      <c r="AW22" s="68"/>
      <c r="AX22" s="89"/>
      <c r="AY22" s="5"/>
      <c r="AZ22" s="29">
        <f t="shared" si="113"/>
        <v>1840</v>
      </c>
      <c r="BA22" s="29">
        <f t="shared" si="114"/>
        <v>256.26740947075211</v>
      </c>
      <c r="BB22" s="25" t="e">
        <f t="shared" ref="BB22:BC23" si="130">+($AN22+$AO22+$AP22-BI22)/$W22</f>
        <v>#VALUE!</v>
      </c>
      <c r="BC22" s="25" t="e">
        <f t="shared" si="130"/>
        <v>#VALUE!</v>
      </c>
      <c r="BD22" s="25" t="e">
        <f t="shared" ref="BD22:BD23" si="131">+($AN22+$AO22+IF(E22="Bundled",0,V22*0.85*AA22*AC22*30.5*24)-BK22)/$W22</f>
        <v>#VALUE!</v>
      </c>
      <c r="BE22" s="29"/>
      <c r="BF22" s="26">
        <f t="shared" si="115"/>
        <v>3680</v>
      </c>
      <c r="BG22" s="26" t="e">
        <f t="shared" si="116"/>
        <v>#VALUE!</v>
      </c>
      <c r="BH22" s="26" t="e">
        <f>IF(E22="Bundled",MIN(V22*$AE$1*(1+#REF!),BF22),AO22)</f>
        <v>#VALUE!</v>
      </c>
      <c r="BI22" s="27" t="e">
        <f t="shared" ref="BI22:BI23" si="132">IF($AE22&gt;0,$AE22*$AB$1*$AD$1*(1+$AG$1*(20/$AD$1)/732),$AE$1*W22)</f>
        <v>#VALUE!</v>
      </c>
      <c r="BJ22" s="27" t="e">
        <f t="shared" ref="BJ22:BJ23" si="133">IF($AE22&gt;0,$AE22*$AB$1*$AD$1*(1+$AG$1*(20/$AD$1)/732),+$AE$1*(W22+U22))</f>
        <v>#VALUE!</v>
      </c>
      <c r="BK22" s="27" t="e">
        <f t="shared" ref="BK22:BK23" si="134">IF(E22="Bundled",$AE$1*V22,$AE$1*V22*0.85)</f>
        <v>#VALUE!</v>
      </c>
      <c r="BL22" s="27" t="e">
        <f t="shared" si="117"/>
        <v>#VALUE!</v>
      </c>
      <c r="BM22" s="27" t="e">
        <f>+#REF!*V22</f>
        <v>#REF!</v>
      </c>
      <c r="BN22" s="27" t="e">
        <f t="shared" si="119"/>
        <v>#VALUE!</v>
      </c>
      <c r="BO22" s="27" t="e">
        <f t="shared" si="120"/>
        <v>#VALUE!</v>
      </c>
      <c r="BP22" s="27" t="e">
        <f t="shared" si="121"/>
        <v>#VALUE!</v>
      </c>
      <c r="BQ22" s="27">
        <f t="shared" si="122"/>
        <v>14.36</v>
      </c>
      <c r="BR22" s="27" t="e">
        <f t="shared" si="123"/>
        <v>#VALUE!</v>
      </c>
      <c r="BS22" s="27" t="e">
        <f t="shared" si="124"/>
        <v>#VALUE!</v>
      </c>
      <c r="BT22" s="27" t="e">
        <f>IF(E22="Bundled",+(BD22-#REF!)*V22,(AM22+AN22)-V22*#REF!)</f>
        <v>#VALUE!</v>
      </c>
      <c r="BU22" s="27" t="e">
        <f t="shared" si="126"/>
        <v>#VALUE!</v>
      </c>
      <c r="BV22" s="27" t="e">
        <f t="shared" ref="BV22:BX23" si="135">+BS22/$BR22</f>
        <v>#VALUE!</v>
      </c>
      <c r="BW22" s="27" t="e">
        <f t="shared" si="135"/>
        <v>#VALUE!</v>
      </c>
      <c r="BX22" s="27" t="e">
        <f t="shared" si="135"/>
        <v>#VALUE!</v>
      </c>
    </row>
    <row r="23" spans="1:78" ht="26" x14ac:dyDescent="0.3">
      <c r="A23" s="199" t="s">
        <v>130</v>
      </c>
      <c r="B23" s="519" t="s">
        <v>165</v>
      </c>
      <c r="C23" s="430" t="s">
        <v>160</v>
      </c>
      <c r="D23" s="430" t="s">
        <v>56</v>
      </c>
      <c r="E23" s="431" t="s">
        <v>52</v>
      </c>
      <c r="F23" s="526" t="s">
        <v>8</v>
      </c>
      <c r="G23" s="33" t="s">
        <v>61</v>
      </c>
      <c r="H23" s="31" t="str">
        <f t="shared" ref="H23" si="136">IF(F23="Rack","No of Racks",(IF(F23="Space","Sq Ft","U Space")))</f>
        <v>No of Racks</v>
      </c>
      <c r="I23" s="33">
        <v>2</v>
      </c>
      <c r="J23" s="33">
        <v>2</v>
      </c>
      <c r="K23" s="35">
        <f t="shared" si="101"/>
        <v>0</v>
      </c>
      <c r="L23" s="33">
        <v>2</v>
      </c>
      <c r="M23" s="33"/>
      <c r="N23" s="156">
        <v>1840</v>
      </c>
      <c r="O23" s="43" t="str">
        <f t="shared" si="102"/>
        <v>Subscribed</v>
      </c>
      <c r="P23" s="33" t="s">
        <v>58</v>
      </c>
      <c r="Q23" s="34">
        <v>13</v>
      </c>
      <c r="R23" s="66">
        <f>W23</f>
        <v>0</v>
      </c>
      <c r="S23" s="46">
        <f t="shared" si="103"/>
        <v>13</v>
      </c>
      <c r="T23" s="34"/>
      <c r="U23" s="34">
        <f t="shared" si="127"/>
        <v>13</v>
      </c>
      <c r="V23" s="34">
        <f t="shared" si="128"/>
        <v>13</v>
      </c>
      <c r="W23" s="65">
        <f>AD23/31/24</f>
        <v>0</v>
      </c>
      <c r="X23" s="34">
        <f t="shared" si="104"/>
        <v>0</v>
      </c>
      <c r="Y23" s="156">
        <v>283</v>
      </c>
      <c r="Z23" s="48" t="str">
        <f t="shared" si="105"/>
        <v>Bundled</v>
      </c>
      <c r="AA23" s="34">
        <v>1</v>
      </c>
      <c r="AB23" s="34" t="s">
        <v>62</v>
      </c>
      <c r="AC23" s="49">
        <v>0</v>
      </c>
      <c r="AD23" s="34">
        <v>0</v>
      </c>
      <c r="AE23" s="50"/>
      <c r="AF23" s="51"/>
      <c r="AG23" s="34"/>
      <c r="AH23" s="34"/>
      <c r="AI23" s="34">
        <f t="shared" si="107"/>
        <v>0</v>
      </c>
      <c r="AJ23" s="34"/>
      <c r="AK23" s="34"/>
      <c r="AL23" s="42"/>
      <c r="AM23" s="156">
        <f t="shared" si="108"/>
        <v>3680</v>
      </c>
      <c r="AN23" s="156">
        <f t="shared" si="109"/>
        <v>0</v>
      </c>
      <c r="AO23" s="53">
        <f t="shared" si="110"/>
        <v>0</v>
      </c>
      <c r="AP23" s="156">
        <f t="shared" si="111"/>
        <v>0</v>
      </c>
      <c r="AQ23" s="156">
        <v>0</v>
      </c>
      <c r="AR23" s="157">
        <f t="shared" si="112"/>
        <v>3680</v>
      </c>
      <c r="AS23" s="55"/>
      <c r="AT23" s="67"/>
      <c r="AU23" s="68"/>
      <c r="AV23" s="69"/>
      <c r="AW23" s="68"/>
      <c r="AX23" s="89"/>
      <c r="AY23" s="5"/>
      <c r="AZ23" s="29">
        <f t="shared" si="113"/>
        <v>1840</v>
      </c>
      <c r="BA23" s="29">
        <f t="shared" si="114"/>
        <v>283.07692307692309</v>
      </c>
      <c r="BB23" s="25" t="e">
        <f t="shared" si="130"/>
        <v>#VALUE!</v>
      </c>
      <c r="BC23" s="25" t="e">
        <f t="shared" si="130"/>
        <v>#VALUE!</v>
      </c>
      <c r="BD23" s="25" t="e">
        <f t="shared" si="131"/>
        <v>#VALUE!</v>
      </c>
      <c r="BE23" s="29"/>
      <c r="BF23" s="26">
        <f t="shared" si="115"/>
        <v>3680</v>
      </c>
      <c r="BG23" s="26" t="e">
        <f t="shared" si="116"/>
        <v>#VALUE!</v>
      </c>
      <c r="BH23" s="26" t="e">
        <f>IF(E23="Bundled",MIN(V23*$AE$1*(1+#REF!),BF23),AO23)</f>
        <v>#VALUE!</v>
      </c>
      <c r="BI23" s="27" t="e">
        <f t="shared" si="132"/>
        <v>#VALUE!</v>
      </c>
      <c r="BJ23" s="27" t="e">
        <f t="shared" si="133"/>
        <v>#VALUE!</v>
      </c>
      <c r="BK23" s="27" t="e">
        <f t="shared" si="134"/>
        <v>#VALUE!</v>
      </c>
      <c r="BL23" s="27" t="e">
        <f t="shared" si="117"/>
        <v>#VALUE!</v>
      </c>
      <c r="BM23" s="27" t="e">
        <f>+#REF!*V23</f>
        <v>#REF!</v>
      </c>
      <c r="BN23" s="27" t="e">
        <f t="shared" si="119"/>
        <v>#VALUE!</v>
      </c>
      <c r="BO23" s="27" t="e">
        <f t="shared" si="120"/>
        <v>#VALUE!</v>
      </c>
      <c r="BP23" s="27" t="e">
        <f t="shared" si="121"/>
        <v>#VALUE!</v>
      </c>
      <c r="BQ23" s="27">
        <f t="shared" si="122"/>
        <v>13</v>
      </c>
      <c r="BR23" s="27" t="e">
        <f t="shared" si="123"/>
        <v>#VALUE!</v>
      </c>
      <c r="BS23" s="27" t="e">
        <f t="shared" si="124"/>
        <v>#VALUE!</v>
      </c>
      <c r="BT23" s="27" t="e">
        <f>IF(E23="Bundled",+(BD23-#REF!)*V23,(AM23+AN23)-V23*#REF!)</f>
        <v>#VALUE!</v>
      </c>
      <c r="BU23" s="27" t="e">
        <f t="shared" si="126"/>
        <v>#VALUE!</v>
      </c>
      <c r="BV23" s="27" t="e">
        <f t="shared" si="135"/>
        <v>#VALUE!</v>
      </c>
      <c r="BW23" s="27" t="e">
        <f t="shared" si="135"/>
        <v>#VALUE!</v>
      </c>
      <c r="BX23" s="27" t="e">
        <f t="shared" si="135"/>
        <v>#VALUE!</v>
      </c>
    </row>
    <row r="24" spans="1:78" s="16" customFormat="1" ht="52" x14ac:dyDescent="0.3">
      <c r="A24" s="199" t="s">
        <v>247</v>
      </c>
      <c r="B24" s="513" t="s">
        <v>211</v>
      </c>
      <c r="C24" s="454" t="s">
        <v>306</v>
      </c>
      <c r="D24" s="430" t="s">
        <v>11</v>
      </c>
      <c r="E24" s="431" t="s">
        <v>57</v>
      </c>
      <c r="F24" s="526" t="s">
        <v>8</v>
      </c>
      <c r="G24" s="33" t="s">
        <v>61</v>
      </c>
      <c r="H24" s="31" t="str">
        <f t="shared" ref="H24" si="137">IF(F24="Rack","No of Racks",(IF(F24="Space","Sq Ft","U Space")))</f>
        <v>No of Racks</v>
      </c>
      <c r="I24" s="33">
        <v>1</v>
      </c>
      <c r="J24" s="33">
        <v>1</v>
      </c>
      <c r="K24" s="35">
        <f t="shared" ref="K24" si="138">I24-J24</f>
        <v>0</v>
      </c>
      <c r="L24" s="33">
        <v>1</v>
      </c>
      <c r="M24" s="33"/>
      <c r="N24" s="42">
        <f>(360000)/12</f>
        <v>30000</v>
      </c>
      <c r="O24" s="43" t="str">
        <f t="shared" ref="O24" si="139">D24</f>
        <v>Rated</v>
      </c>
      <c r="P24" s="33" t="s">
        <v>54</v>
      </c>
      <c r="Q24" s="34">
        <v>9</v>
      </c>
      <c r="R24" s="45">
        <v>9</v>
      </c>
      <c r="S24" s="46">
        <f t="shared" ref="S24" si="140">Q24-R24</f>
        <v>0</v>
      </c>
      <c r="T24" s="34"/>
      <c r="U24" s="34">
        <f t="shared" ref="U24" si="141">IF(S24&lt;=0,0,(IF(O24="Rated",(S24+T24)*$V$1,(S24+T24))))</f>
        <v>0</v>
      </c>
      <c r="V24" s="34" t="e">
        <f t="shared" ref="V24" si="142">IF(O24="Rated",Q24*$V$1,Q24)</f>
        <v>#VALUE!</v>
      </c>
      <c r="W24" s="65">
        <f>AD24/31/24</f>
        <v>0.81201612903225806</v>
      </c>
      <c r="X24" s="34">
        <f t="shared" ref="X24" si="143">IF((S24*-1)&gt;0, (S24*-1), 0)</f>
        <v>0</v>
      </c>
      <c r="Y24" s="47">
        <v>0</v>
      </c>
      <c r="Z24" s="48" t="str">
        <f t="shared" ref="Z24" si="144">E24</f>
        <v>Metered</v>
      </c>
      <c r="AA24" s="34">
        <v>1</v>
      </c>
      <c r="AB24" s="34" t="s">
        <v>62</v>
      </c>
      <c r="AC24" s="49">
        <v>17</v>
      </c>
      <c r="AD24" s="34">
        <v>604.14</v>
      </c>
      <c r="AE24" s="50"/>
      <c r="AF24" s="51" t="str">
        <f t="shared" ref="AF24" si="145">IF(AE24="No of Seats","No of Seats",(IF(AE24="Space","Sq Ft","")))</f>
        <v/>
      </c>
      <c r="AG24" s="34"/>
      <c r="AH24" s="34"/>
      <c r="AI24" s="34">
        <f t="shared" ref="AI24" si="146">AG24-AH24</f>
        <v>0</v>
      </c>
      <c r="AJ24" s="34"/>
      <c r="AK24" s="34"/>
      <c r="AL24" s="42"/>
      <c r="AM24" s="52">
        <f t="shared" ref="AM24" si="147">N24*L24</f>
        <v>30000</v>
      </c>
      <c r="AN24" s="52">
        <f t="shared" ref="AN24" si="148">Y24*X24</f>
        <v>0</v>
      </c>
      <c r="AO24" s="53">
        <f t="shared" ref="AO24" si="149">AD24*AC24*AA24</f>
        <v>10270.379999999999</v>
      </c>
      <c r="AP24" s="52">
        <f t="shared" ref="AP24" si="150">AL24*AJ24</f>
        <v>0</v>
      </c>
      <c r="AQ24" s="54">
        <f>600000/12</f>
        <v>50000</v>
      </c>
      <c r="AR24" s="55">
        <f t="shared" ref="AR24" si="151">SUBTOTAL(9,AM24:AQ24)</f>
        <v>90270.38</v>
      </c>
      <c r="AS24" s="55"/>
      <c r="AT24" s="67" t="s">
        <v>109</v>
      </c>
      <c r="AU24" s="68"/>
      <c r="AV24" s="69"/>
      <c r="AW24" s="68"/>
      <c r="AX24" s="89"/>
      <c r="AZ24" s="29">
        <f t="shared" ref="AZ24" si="152">IF(F24="Rack",AR24/I24,0)+IF(F24="U Space",AR24*40/I24,0)+IF(F24="Space",AR24*30/I24,0)</f>
        <v>90270.38</v>
      </c>
      <c r="BA24" s="29" t="e">
        <f t="shared" ref="BA24" si="153">+AR24/V24</f>
        <v>#VALUE!</v>
      </c>
      <c r="BB24" s="25" t="e">
        <f t="shared" ref="BB24:BC26" si="154">+($AM24+$AN24+$AO24-BI24)/$V24</f>
        <v>#VALUE!</v>
      </c>
      <c r="BC24" s="25" t="e">
        <f t="shared" si="154"/>
        <v>#VALUE!</v>
      </c>
      <c r="BD24" s="25" t="e">
        <f>+($AM24+$AN24+IF(E24="Bundled",0,V24*0.85*AA24*AC24*30.5*24)-BK24)/$V24</f>
        <v>#VALUE!</v>
      </c>
      <c r="BE24" s="29"/>
      <c r="BF24" s="26">
        <f t="shared" ref="BF24" si="155">+AM24+AN24+AO24</f>
        <v>40270.379999999997</v>
      </c>
      <c r="BG24" s="26">
        <f t="shared" ref="BG24" si="156">+BF24-BH24</f>
        <v>30000</v>
      </c>
      <c r="BH24" s="26">
        <f>IF(E24="Bundled",MIN(V24*$AE$1*(1+#REF!),BF24),AO24)</f>
        <v>10270.379999999999</v>
      </c>
      <c r="BI24" s="27" t="e">
        <f>IF($AD24&gt;0,$AD24*$AB$1*$AD$1*(1+$AG$1*(20/$AD$1)/732),$AE$1*W24)</f>
        <v>#VALUE!</v>
      </c>
      <c r="BJ24" s="27" t="e">
        <f>IF($AD24&gt;0,$AD24*$AB$1*$AD$1*(1+$AG$1*(20/$AD$1)/732),+$AE$1*(W24+U24))</f>
        <v>#VALUE!</v>
      </c>
      <c r="BK24" s="27" t="e">
        <f t="shared" ref="BK24" si="157">IF(E24="Bundled",$AE$1*V24,$AE$1*V24*0.85)</f>
        <v>#VALUE!</v>
      </c>
      <c r="BL24" s="27" t="e">
        <f t="shared" ref="BL24" si="158">+BB24*V24</f>
        <v>#VALUE!</v>
      </c>
      <c r="BM24" s="27" t="e">
        <f>+#REF!*V24</f>
        <v>#REF!</v>
      </c>
      <c r="BN24" s="27" t="e">
        <f t="shared" ref="BN24" si="159">+BG24-BM24</f>
        <v>#REF!</v>
      </c>
      <c r="BO24" s="27" t="e">
        <f t="shared" ref="BO24" si="160">+BH24-BI24</f>
        <v>#VALUE!</v>
      </c>
      <c r="BP24" s="27" t="e">
        <f t="shared" ref="BP24" si="161">+BN24+BO24</f>
        <v>#REF!</v>
      </c>
      <c r="BQ24" s="27" t="e">
        <f t="shared" ref="BQ24" si="162">+V24</f>
        <v>#VALUE!</v>
      </c>
      <c r="BR24" s="27" t="e">
        <f t="shared" ref="BR24" si="163">+BB24</f>
        <v>#VALUE!</v>
      </c>
      <c r="BS24" s="27" t="e">
        <f t="shared" ref="BS24" si="164">IF(E24="Bundled",BK24-BI24,AO24-BI24)</f>
        <v>#VALUE!</v>
      </c>
      <c r="BT24" s="27" t="e">
        <f>IF(E24="Bundled",+(BD24-#REF!)*V24,(AM24+AN24)-V24*#REF!)</f>
        <v>#VALUE!</v>
      </c>
      <c r="BU24" s="27" t="e">
        <f t="shared" ref="BU24" si="165">+BS24+BT24</f>
        <v>#VALUE!</v>
      </c>
      <c r="BV24" s="27" t="e">
        <f t="shared" ref="BV24:BX25" si="166">+BS24/$BQ24</f>
        <v>#VALUE!</v>
      </c>
      <c r="BW24" s="27" t="e">
        <f t="shared" si="166"/>
        <v>#VALUE!</v>
      </c>
      <c r="BX24" s="27" t="e">
        <f t="shared" si="166"/>
        <v>#VALUE!</v>
      </c>
    </row>
    <row r="25" spans="1:78" ht="52" x14ac:dyDescent="0.3">
      <c r="A25" s="285" t="s">
        <v>247</v>
      </c>
      <c r="B25" s="520" t="s">
        <v>452</v>
      </c>
      <c r="C25" s="454" t="s">
        <v>306</v>
      </c>
      <c r="D25" s="430" t="s">
        <v>11</v>
      </c>
      <c r="E25" s="431" t="s">
        <v>57</v>
      </c>
      <c r="F25" s="527" t="s">
        <v>8</v>
      </c>
      <c r="G25" s="287" t="s">
        <v>61</v>
      </c>
      <c r="H25" s="289" t="str">
        <f t="shared" ref="H25" si="167">IF(F25="Rack","No of Racks",(IF(F25="Space","Sq Ft","U Space")))</f>
        <v>No of Racks</v>
      </c>
      <c r="I25" s="287">
        <v>1</v>
      </c>
      <c r="J25" s="287">
        <v>1</v>
      </c>
      <c r="K25" s="290">
        <v>0</v>
      </c>
      <c r="L25" s="287">
        <v>1</v>
      </c>
      <c r="M25" s="287"/>
      <c r="N25" s="291">
        <f>(750000+320000+225000)/12/3</f>
        <v>35972.222222222226</v>
      </c>
      <c r="O25" s="292" t="str">
        <f t="shared" ref="O25" si="168">D25</f>
        <v>Rated</v>
      </c>
      <c r="P25" s="287" t="s">
        <v>54</v>
      </c>
      <c r="Q25" s="288">
        <v>8</v>
      </c>
      <c r="R25" s="352">
        <v>10.62</v>
      </c>
      <c r="S25" s="294">
        <f t="shared" ref="S25" si="169">Q25-R25</f>
        <v>-2.6199999999999992</v>
      </c>
      <c r="T25" s="288"/>
      <c r="U25" s="288">
        <f t="shared" ref="U25" si="170">IF(S25&lt;=0,0,(IF(O25="Rated",(S25+T25)*$V$1,(S25+T25))))</f>
        <v>0</v>
      </c>
      <c r="V25" s="288" t="e">
        <f t="shared" ref="V25" si="171">IF(O25="Rated",Q25*$V$1,Q25)</f>
        <v>#VALUE!</v>
      </c>
      <c r="W25" s="295">
        <f>AD25/31/24</f>
        <v>4.4697849462365591</v>
      </c>
      <c r="X25" s="288">
        <f t="shared" ref="X25" si="172">IF((S25*-1)&gt;0, (S25*-1), 0)</f>
        <v>2.6199999999999992</v>
      </c>
      <c r="Y25" s="296">
        <f>90000/12</f>
        <v>7500</v>
      </c>
      <c r="Z25" s="297" t="str">
        <f t="shared" ref="Z25" si="173">E25</f>
        <v>Metered</v>
      </c>
      <c r="AA25" s="288">
        <v>1</v>
      </c>
      <c r="AB25" s="288" t="s">
        <v>62</v>
      </c>
      <c r="AC25" s="298">
        <v>15.75</v>
      </c>
      <c r="AD25" s="288">
        <v>3325.52</v>
      </c>
      <c r="AE25" s="299"/>
      <c r="AF25" s="300" t="str">
        <f t="shared" ref="AF25" si="174">IF(AE25="No of Seats","No of Seats",(IF(AE25="Space","Sq Ft","")))</f>
        <v/>
      </c>
      <c r="AG25" s="288"/>
      <c r="AH25" s="288"/>
      <c r="AI25" s="288">
        <f t="shared" ref="AI25" si="175">AG25-AH25</f>
        <v>0</v>
      </c>
      <c r="AJ25" s="288"/>
      <c r="AK25" s="288"/>
      <c r="AL25" s="291"/>
      <c r="AM25" s="301">
        <f t="shared" ref="AM25" si="176">N25*L25</f>
        <v>35972.222222222226</v>
      </c>
      <c r="AN25" s="301">
        <f t="shared" ref="AN25" si="177">Y25*X25</f>
        <v>19649.999999999993</v>
      </c>
      <c r="AO25" s="302">
        <f t="shared" ref="AO25" si="178">AD25*AC25*AA25</f>
        <v>52376.94</v>
      </c>
      <c r="AP25" s="301">
        <f t="shared" ref="AP25" si="179">AL25*AJ25</f>
        <v>0</v>
      </c>
      <c r="AQ25" s="303">
        <f>600000/12</f>
        <v>50000</v>
      </c>
      <c r="AR25" s="304">
        <f t="shared" ref="AR25" si="180">SUBTOTAL(9,AM25:AQ25)</f>
        <v>157999.16222222222</v>
      </c>
      <c r="AS25" s="304"/>
      <c r="AT25" s="305" t="s">
        <v>109</v>
      </c>
      <c r="AU25" s="306"/>
      <c r="AV25" s="307"/>
      <c r="AW25" s="306"/>
      <c r="AX25" s="308"/>
      <c r="AY25" s="16"/>
      <c r="AZ25" s="309">
        <f t="shared" ref="AZ25" si="181">IF(F25="Rack",AR25/I25,0)+IF(F25="U Space",AR25*40/I25,0)+IF(F25="Space",AR25*30/I25,0)</f>
        <v>157999.16222222222</v>
      </c>
      <c r="BA25" s="309" t="e">
        <f t="shared" ref="BA25" si="182">+AR25/V25</f>
        <v>#VALUE!</v>
      </c>
      <c r="BB25" s="309" t="e">
        <f t="shared" si="154"/>
        <v>#VALUE!</v>
      </c>
      <c r="BC25" s="309" t="e">
        <f t="shared" si="154"/>
        <v>#VALUE!</v>
      </c>
      <c r="BD25" s="309" t="e">
        <f>+($AM25+$AN25+IF(E25="Bundled",0,V25*0.85*AA25*AC25*30.5*24)-BK25)/$V25</f>
        <v>#VALUE!</v>
      </c>
      <c r="BE25" s="309"/>
      <c r="BF25" s="310">
        <f t="shared" ref="BF25" si="183">+AM25+AN25+AO25</f>
        <v>107999.16222222222</v>
      </c>
      <c r="BG25" s="310">
        <f t="shared" ref="BG25" si="184">+BF25-BH25</f>
        <v>55622.222222222219</v>
      </c>
      <c r="BH25" s="310">
        <f>IF(E25="Bundled",MIN(V25*$AE$1*(1+#REF!),BF25),AO25)</f>
        <v>52376.94</v>
      </c>
      <c r="BI25" s="311" t="e">
        <f>IF($AD25&gt;0,$AD25*$AB$1*$AD$1*(1+$AG$1*(20/$AD$1)/732),$AE$1*W25)</f>
        <v>#VALUE!</v>
      </c>
      <c r="BJ25" s="311" t="e">
        <f>IF($AD25&gt;0,$AD25*$AB$1*$AD$1*(1+$AG$1*(20/$AD$1)/732),+$AE$1*(W25+U25))</f>
        <v>#VALUE!</v>
      </c>
      <c r="BK25" s="311" t="e">
        <f t="shared" ref="BK25" si="185">IF(E25="Bundled",$AE$1*V25,$AE$1*V25*0.85)</f>
        <v>#VALUE!</v>
      </c>
      <c r="BL25" s="311" t="e">
        <f t="shared" ref="BL25" si="186">+BB25*V25</f>
        <v>#VALUE!</v>
      </c>
      <c r="BM25" s="311" t="e">
        <f>+#REF!*V25</f>
        <v>#REF!</v>
      </c>
      <c r="BN25" s="311" t="e">
        <f t="shared" ref="BN25" si="187">+BG25-BM25</f>
        <v>#REF!</v>
      </c>
      <c r="BO25" s="311" t="e">
        <f t="shared" ref="BO25" si="188">+BH25-BI25</f>
        <v>#VALUE!</v>
      </c>
      <c r="BP25" s="311" t="e">
        <f t="shared" ref="BP25" si="189">+BN25+BO25</f>
        <v>#REF!</v>
      </c>
      <c r="BQ25" s="311" t="e">
        <f t="shared" ref="BQ25" si="190">+V25</f>
        <v>#VALUE!</v>
      </c>
      <c r="BR25" s="311" t="e">
        <f t="shared" ref="BR25" si="191">+BB25</f>
        <v>#VALUE!</v>
      </c>
      <c r="BS25" s="311" t="e">
        <f t="shared" ref="BS25" si="192">IF(E25="Bundled",BK25-BI25,AO25-BI25)</f>
        <v>#VALUE!</v>
      </c>
      <c r="BT25" s="311" t="e">
        <f>IF(E25="Bundled",+(BD25-#REF!)*V25,(AM25+AN25)-V25*#REF!)</f>
        <v>#VALUE!</v>
      </c>
      <c r="BU25" s="311" t="e">
        <f t="shared" ref="BU25" si="193">+BS25+BT25</f>
        <v>#VALUE!</v>
      </c>
      <c r="BV25" s="311" t="e">
        <f t="shared" si="166"/>
        <v>#VALUE!</v>
      </c>
      <c r="BW25" s="311" t="e">
        <f t="shared" si="166"/>
        <v>#VALUE!</v>
      </c>
      <c r="BX25" s="311" t="e">
        <f t="shared" si="166"/>
        <v>#VALUE!</v>
      </c>
    </row>
    <row r="26" spans="1:78" s="16" customFormat="1" ht="39" x14ac:dyDescent="0.3">
      <c r="A26" s="326" t="s">
        <v>249</v>
      </c>
      <c r="B26" s="521" t="s">
        <v>449</v>
      </c>
      <c r="C26" s="454" t="s">
        <v>293</v>
      </c>
      <c r="D26" s="430" t="s">
        <v>56</v>
      </c>
      <c r="E26" s="431" t="s">
        <v>57</v>
      </c>
      <c r="F26" s="526" t="s">
        <v>8</v>
      </c>
      <c r="G26" s="33" t="s">
        <v>53</v>
      </c>
      <c r="H26" s="31" t="str">
        <f>IF(F26="Rack","No of Racks",(IF(F26="Space","Sq Ft","U Space")))</f>
        <v>No of Racks</v>
      </c>
      <c r="I26" s="33">
        <v>4</v>
      </c>
      <c r="J26" s="33">
        <v>4</v>
      </c>
      <c r="K26" s="35">
        <f>I26-J26</f>
        <v>0</v>
      </c>
      <c r="L26" s="33">
        <v>4</v>
      </c>
      <c r="M26" s="33"/>
      <c r="N26" s="42">
        <f>(0)/12</f>
        <v>0</v>
      </c>
      <c r="O26" s="43" t="str">
        <f>D26</f>
        <v>Subscribed</v>
      </c>
      <c r="P26" s="33" t="s">
        <v>58</v>
      </c>
      <c r="Q26" s="34">
        <v>30</v>
      </c>
      <c r="R26" s="66">
        <f>W26</f>
        <v>12.16693548387097</v>
      </c>
      <c r="S26" s="46">
        <f>Q26-R26</f>
        <v>17.833064516129028</v>
      </c>
      <c r="T26" s="34"/>
      <c r="U26" s="34">
        <f>IF(S26&lt;=0,0,(IF(O26="Rated",(S26+T26)*'Noida-01'!$X$1,(S26+T26))))</f>
        <v>17.833064516129028</v>
      </c>
      <c r="V26" s="34">
        <f>IF(O26="Rated",Q26*'Noida-01'!$X$1,Q26)</f>
        <v>30</v>
      </c>
      <c r="W26" s="65">
        <f>AD26/31/24</f>
        <v>12.16693548387097</v>
      </c>
      <c r="X26" s="34">
        <f>IF((S26*-1)&gt;0, (S26*-1), 0)</f>
        <v>0</v>
      </c>
      <c r="Y26" s="47">
        <f>0/12</f>
        <v>0</v>
      </c>
      <c r="Z26" s="48" t="str">
        <f>E26</f>
        <v>Metered</v>
      </c>
      <c r="AA26" s="34"/>
      <c r="AB26" s="34" t="s">
        <v>62</v>
      </c>
      <c r="AC26" s="49">
        <v>0</v>
      </c>
      <c r="AD26" s="34">
        <v>9052.2000000000007</v>
      </c>
      <c r="AE26" s="50"/>
      <c r="AF26" s="51"/>
      <c r="AG26" s="34"/>
      <c r="AH26" s="34"/>
      <c r="AI26" s="34">
        <f>AG26-AH26</f>
        <v>0</v>
      </c>
      <c r="AJ26" s="34"/>
      <c r="AK26" s="34"/>
      <c r="AL26" s="42">
        <f>(0)/12</f>
        <v>0</v>
      </c>
      <c r="AM26" s="52">
        <f>N26*L26</f>
        <v>0</v>
      </c>
      <c r="AN26" s="52">
        <f>Y26*X26</f>
        <v>0</v>
      </c>
      <c r="AO26" s="53">
        <f>AD26*AC26*AA26</f>
        <v>0</v>
      </c>
      <c r="AP26" s="52">
        <f>AL26*AJ26</f>
        <v>0</v>
      </c>
      <c r="AQ26" s="54">
        <f>0/12</f>
        <v>0</v>
      </c>
      <c r="AR26" s="55">
        <f>SUBTOTAL(9,AM26:AQ26)</f>
        <v>0</v>
      </c>
      <c r="AS26" s="55"/>
      <c r="AT26" s="67"/>
      <c r="AU26" s="68"/>
      <c r="AV26" s="69"/>
      <c r="AW26" s="68"/>
      <c r="AX26" s="70"/>
      <c r="AY26" s="70"/>
      <c r="AZ26" s="59">
        <f>IF(F26="Rack",AR26/I26,0)+IF(F26="U Space",AR26*40/I26,0)+IF(F26="Space",AR26*30/I26,0)</f>
        <v>0</v>
      </c>
      <c r="BA26" s="59">
        <f>+AR26/V26</f>
        <v>0</v>
      </c>
      <c r="BB26" s="59">
        <f t="shared" si="154"/>
        <v>-8186.347176885246</v>
      </c>
      <c r="BC26" s="59">
        <f t="shared" si="154"/>
        <v>-8186.347176885246</v>
      </c>
      <c r="BD26" s="59">
        <f>+($AM26+$AN26+IF(E26="Bundled",0,V26*0.85*AA26*AC26*30.5*24)-BK26)/$V26</f>
        <v>-15509.882212499997</v>
      </c>
      <c r="BE26" s="59"/>
      <c r="BF26" s="60">
        <f>+AM26+AN26+AO26</f>
        <v>0</v>
      </c>
      <c r="BG26" s="60">
        <f>+BF26-BH26</f>
        <v>0</v>
      </c>
      <c r="BH26" s="60">
        <f>IF(E26="Bundled",MIN(V26*'Noida-01'!$AG$1*(1+#REF!),BF26),AO26)</f>
        <v>0</v>
      </c>
      <c r="BI26" s="61">
        <f>IF($AD26&gt;0,$AD26*'Noida-01'!$AD$1*'Noida-01'!$AF$1*(1+'Noida-01'!$AI$1*(20/'Noida-01'!$AF$1)/732),'Noida-01'!$AG$1*W26)</f>
        <v>245590.41530655738</v>
      </c>
      <c r="BJ26" s="61">
        <f>IF($AD26&gt;0,$AD26*'Noida-01'!$AD$1*'Noida-01'!$AF$1*(1+'Noida-01'!$AI$1*(20/'Noida-01'!$AF$1)/732),+'Noida-01'!$AG$1*(W26+U26))</f>
        <v>245590.41530655738</v>
      </c>
      <c r="BK26" s="61">
        <f>IF(E26="Bundled",'Noida-01'!$AG$1*V26,'Noida-01'!$AG$1*V26*0.85)</f>
        <v>465296.4663749999</v>
      </c>
      <c r="BL26" s="61">
        <f>+BB26*V26</f>
        <v>-245590.41530655738</v>
      </c>
      <c r="BM26" s="61" t="e">
        <f>+#REF!*V26</f>
        <v>#REF!</v>
      </c>
      <c r="BN26" s="61" t="e">
        <f>+BG26-BM26</f>
        <v>#REF!</v>
      </c>
      <c r="BO26" s="61">
        <f>+BH26-BI26</f>
        <v>-245590.41530655738</v>
      </c>
      <c r="BP26" s="61" t="e">
        <f>+BN26+BO26</f>
        <v>#REF!</v>
      </c>
      <c r="BQ26" s="61">
        <f>+V26</f>
        <v>30</v>
      </c>
      <c r="BR26" s="61">
        <f>+BB26</f>
        <v>-8186.347176885246</v>
      </c>
      <c r="BS26" s="61">
        <f>IF(E26="Bundled",BK26-BI26,AO26-BI26)</f>
        <v>-245590.41530655738</v>
      </c>
      <c r="BT26" s="61" t="e">
        <f>IF(E26="Bundled",+(BD26-#REF!)*V26,(AM26+AN26)-V26*#REF!)</f>
        <v>#REF!</v>
      </c>
      <c r="BU26" s="61" t="e">
        <f>+BS26+BT26</f>
        <v>#REF!</v>
      </c>
      <c r="BV26" s="61">
        <f t="shared" ref="BV26:BX27" si="194">+BS26/$BQ26</f>
        <v>-8186.347176885246</v>
      </c>
      <c r="BW26" s="61" t="e">
        <f t="shared" si="194"/>
        <v>#REF!</v>
      </c>
      <c r="BX26" s="61" t="e">
        <f t="shared" si="194"/>
        <v>#REF!</v>
      </c>
    </row>
    <row r="27" spans="1:78" s="16" customFormat="1" x14ac:dyDescent="0.3">
      <c r="A27" s="285" t="s">
        <v>247</v>
      </c>
      <c r="B27" s="522" t="s">
        <v>154</v>
      </c>
      <c r="C27" s="533" t="s">
        <v>358</v>
      </c>
      <c r="D27" s="430" t="s">
        <v>11</v>
      </c>
      <c r="E27" s="431" t="s">
        <v>52</v>
      </c>
      <c r="F27" s="527" t="s">
        <v>8</v>
      </c>
      <c r="G27" s="287" t="s">
        <v>61</v>
      </c>
      <c r="H27" s="289" t="str">
        <f>IF(F27="Rack","No of Racks",(IF(F27="Space","Sq Ft","U Space")))</f>
        <v>No of Racks</v>
      </c>
      <c r="I27" s="287">
        <v>1</v>
      </c>
      <c r="J27" s="287">
        <v>1</v>
      </c>
      <c r="K27" s="290">
        <f>I27-J27</f>
        <v>0</v>
      </c>
      <c r="L27" s="287">
        <v>1</v>
      </c>
      <c r="M27" s="287"/>
      <c r="N27" s="291">
        <f>(13000*70)/12</f>
        <v>75833.333333333328</v>
      </c>
      <c r="O27" s="292" t="str">
        <f>D27</f>
        <v>Rated</v>
      </c>
      <c r="P27" s="287" t="s">
        <v>54</v>
      </c>
      <c r="Q27" s="288">
        <v>5</v>
      </c>
      <c r="R27" s="352">
        <v>19.62</v>
      </c>
      <c r="S27" s="294">
        <f>Q27-R27</f>
        <v>-14.620000000000001</v>
      </c>
      <c r="T27" s="288"/>
      <c r="U27" s="288">
        <f>IF(S27&lt;=0,0,(IF(O27="Rated",(S27+T27)*'Noida-01'!$X$1,(S27+T27))))</f>
        <v>0</v>
      </c>
      <c r="V27" s="288">
        <f>IF(O27="Rated",Q27*'Noida-01'!$X$1,Q27)</f>
        <v>2.5</v>
      </c>
      <c r="W27" s="295">
        <v>5.49</v>
      </c>
      <c r="X27" s="288">
        <f>IF((S27*-1)&gt;0, (S27*-1), 0)</f>
        <v>14.620000000000001</v>
      </c>
      <c r="Y27" s="296">
        <f>0/12</f>
        <v>0</v>
      </c>
      <c r="Z27" s="297" t="str">
        <f>E27</f>
        <v>Bundled</v>
      </c>
      <c r="AA27" s="288"/>
      <c r="AB27" s="288"/>
      <c r="AC27" s="298"/>
      <c r="AD27" s="288"/>
      <c r="AE27" s="299"/>
      <c r="AF27" s="300"/>
      <c r="AG27" s="288"/>
      <c r="AH27" s="288"/>
      <c r="AI27" s="288">
        <f>AG27-AH27</f>
        <v>0</v>
      </c>
      <c r="AJ27" s="288"/>
      <c r="AK27" s="288"/>
      <c r="AL27" s="291">
        <f>(0)/12</f>
        <v>0</v>
      </c>
      <c r="AM27" s="301">
        <f>N27*L27</f>
        <v>75833.333333333328</v>
      </c>
      <c r="AN27" s="301">
        <f>Y27*X27</f>
        <v>0</v>
      </c>
      <c r="AO27" s="302">
        <f>AD27*AC27*AA27</f>
        <v>0</v>
      </c>
      <c r="AP27" s="301">
        <f>AL27*AJ27</f>
        <v>0</v>
      </c>
      <c r="AQ27" s="303">
        <f>((19700+2850)*70)/12</f>
        <v>131541.66666666666</v>
      </c>
      <c r="AR27" s="304">
        <f>SUBTOTAL(9,AM27:AQ27)</f>
        <v>207375</v>
      </c>
      <c r="AS27" s="304"/>
      <c r="AT27" s="305">
        <v>121000513</v>
      </c>
      <c r="AU27" s="306">
        <v>43700</v>
      </c>
      <c r="AV27" s="307">
        <v>3</v>
      </c>
      <c r="AW27" s="306">
        <v>44795</v>
      </c>
      <c r="AX27" s="308"/>
      <c r="AY27" s="5"/>
      <c r="AZ27" s="309">
        <f>IF(F27="Rack",AR27/I27,0)+IF(F27="U Space",AR27*40/I27,0)+IF(F27="Space",AR27*30/I27,0)</f>
        <v>207375</v>
      </c>
      <c r="BA27" s="309">
        <f>+AR27/V27</f>
        <v>82950</v>
      </c>
      <c r="BB27" s="309">
        <f>+($AM27+$AN27+$AO27-BI27)/$V27</f>
        <v>-9736.9035356666664</v>
      </c>
      <c r="BC27" s="309">
        <f>+($AM27+$AN27+$AO27-BJ27)/$V27</f>
        <v>-9736.9035356666664</v>
      </c>
      <c r="BD27" s="309">
        <f>+($AM27+$AN27+IF(E27="Bundled",0,V27*0.85*AA27*AC27*30.5*24)-BK27)/$V27</f>
        <v>12086.413083333333</v>
      </c>
      <c r="BE27" s="309"/>
      <c r="BF27" s="310">
        <f>+AM27+AN27+AO27</f>
        <v>75833.333333333328</v>
      </c>
      <c r="BG27" s="310" t="e">
        <f>+BF27-BH27</f>
        <v>#REF!</v>
      </c>
      <c r="BH27" s="310" t="e">
        <f>IF(E27="Bundled",MIN(V27*'Noida-01'!$AG$1*(1+#REF!),BF27),AO27)</f>
        <v>#REF!</v>
      </c>
      <c r="BI27" s="311">
        <f>IF($AD27&gt;0,$AD27*'Noida-01'!$AD$1*'Noida-01'!$AF$1*(1+'Noida-01'!$AI$1*(20/'Noida-01'!$AF$1)/732),'Noida-01'!$AG$1*W27)</f>
        <v>100175.59217249999</v>
      </c>
      <c r="BJ27" s="311">
        <f>IF($AD27&gt;0,$AD27*'Noida-01'!$AD$1*'Noida-01'!$AF$1*(1+'Noida-01'!$AI$1*(20/'Noida-01'!$AF$1)/732),+'Noida-01'!$AG$1*(W27+U27))</f>
        <v>100175.59217249999</v>
      </c>
      <c r="BK27" s="311">
        <f>IF(E27="Bundled",'Noida-01'!$AG$1*V27,'Noida-01'!$AG$1*V27*0.85)</f>
        <v>45617.300624999996</v>
      </c>
      <c r="BL27" s="311">
        <f>+BB27*V27</f>
        <v>-24342.258839166665</v>
      </c>
      <c r="BM27" s="311" t="e">
        <f>+#REF!*V27</f>
        <v>#REF!</v>
      </c>
      <c r="BN27" s="311" t="e">
        <f>+BG27-BM27</f>
        <v>#REF!</v>
      </c>
      <c r="BO27" s="311" t="e">
        <f>+BH27-BI27</f>
        <v>#REF!</v>
      </c>
      <c r="BP27" s="311" t="e">
        <f>+BN27+BO27</f>
        <v>#REF!</v>
      </c>
      <c r="BQ27" s="311">
        <f>+V27</f>
        <v>2.5</v>
      </c>
      <c r="BR27" s="311">
        <f>+BB27</f>
        <v>-9736.9035356666664</v>
      </c>
      <c r="BS27" s="311">
        <f>IF(E27="Bundled",BK27-BI27,AO27-BI27)</f>
        <v>-54558.291547499997</v>
      </c>
      <c r="BT27" s="311" t="e">
        <f>IF(E27="Bundled",+(BD27-#REF!)*V27,(AM27+AN27)-V27*#REF!)</f>
        <v>#REF!</v>
      </c>
      <c r="BU27" s="311" t="e">
        <f>+BS27+BT27</f>
        <v>#REF!</v>
      </c>
      <c r="BV27" s="311">
        <f t="shared" si="194"/>
        <v>-21823.316618999997</v>
      </c>
      <c r="BW27" s="311" t="e">
        <f t="shared" si="194"/>
        <v>#REF!</v>
      </c>
      <c r="BX27" s="311" t="e">
        <f t="shared" si="194"/>
        <v>#REF!</v>
      </c>
    </row>
    <row r="28" spans="1:78" s="16" customFormat="1" ht="26" x14ac:dyDescent="0.3">
      <c r="A28" s="326" t="s">
        <v>249</v>
      </c>
      <c r="B28" s="515" t="s">
        <v>436</v>
      </c>
      <c r="C28" s="536" t="s">
        <v>435</v>
      </c>
      <c r="D28" s="430" t="s">
        <v>56</v>
      </c>
      <c r="E28" s="431" t="s">
        <v>57</v>
      </c>
      <c r="F28" s="526" t="s">
        <v>8</v>
      </c>
      <c r="G28" s="33" t="s">
        <v>61</v>
      </c>
      <c r="H28" s="31" t="str">
        <f t="shared" ref="H28" si="195">IF(F28="Rack","No of Racks",(IF(F28="Space","Sq Ft","U Space")))</f>
        <v>No of Racks</v>
      </c>
      <c r="I28" s="33">
        <v>1</v>
      </c>
      <c r="J28" s="33">
        <v>1</v>
      </c>
      <c r="K28" s="35">
        <f t="shared" ref="K28" si="196">I28-J28</f>
        <v>0</v>
      </c>
      <c r="L28" s="33">
        <v>1</v>
      </c>
      <c r="M28" s="33"/>
      <c r="N28" s="42"/>
      <c r="O28" s="43" t="str">
        <f t="shared" ref="O28" si="197">D28</f>
        <v>Subscribed</v>
      </c>
      <c r="P28" s="33" t="s">
        <v>58</v>
      </c>
      <c r="Q28" s="34">
        <v>2.5</v>
      </c>
      <c r="R28" s="66"/>
      <c r="S28" s="46">
        <f t="shared" ref="S28" si="198">Q28-R28</f>
        <v>2.5</v>
      </c>
      <c r="T28" s="34"/>
      <c r="U28" s="34">
        <f t="shared" ref="U28" si="199">IF(S28&lt;=0,0,(IF(O28="Rated",(S28+T28)*$V$1,(S28+T28))))</f>
        <v>2.5</v>
      </c>
      <c r="V28" s="34">
        <f t="shared" ref="V28" si="200">IF(O28="Rated",Q28*$V$1,Q28)</f>
        <v>2.5</v>
      </c>
      <c r="W28" s="65">
        <f>AD28/31/24</f>
        <v>0</v>
      </c>
      <c r="X28" s="34">
        <f t="shared" ref="X28" si="201">IF((S28*-1)&gt;0, (S28*-1), 0)</f>
        <v>0</v>
      </c>
      <c r="Y28" s="47"/>
      <c r="Z28" s="48" t="str">
        <f t="shared" ref="Z28" si="202">E28</f>
        <v>Metered</v>
      </c>
      <c r="AA28" s="34"/>
      <c r="AB28" s="34"/>
      <c r="AC28" s="49"/>
      <c r="AD28" s="34"/>
      <c r="AE28" s="50"/>
      <c r="AF28" s="51"/>
      <c r="AG28" s="34"/>
      <c r="AH28" s="34"/>
      <c r="AI28" s="34"/>
      <c r="AJ28" s="34"/>
      <c r="AK28" s="34"/>
      <c r="AL28" s="42"/>
      <c r="AM28" s="52"/>
      <c r="AN28" s="52"/>
      <c r="AO28" s="53"/>
      <c r="AP28" s="52"/>
      <c r="AQ28" s="54"/>
      <c r="AR28" s="55"/>
      <c r="AS28" s="55"/>
      <c r="AT28" s="67"/>
      <c r="AU28" s="68"/>
      <c r="AV28" s="69"/>
      <c r="AW28" s="68"/>
      <c r="AX28" s="70"/>
      <c r="AY28" s="70"/>
      <c r="AZ28" s="59"/>
      <c r="BA28" s="59"/>
      <c r="BB28" s="59"/>
      <c r="BC28" s="59"/>
      <c r="BD28" s="59"/>
      <c r="BE28" s="59"/>
      <c r="BF28" s="60"/>
      <c r="BG28" s="60"/>
      <c r="BH28" s="60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326"/>
    </row>
    <row r="29" spans="1:78" s="16" customFormat="1" ht="26" x14ac:dyDescent="0.3">
      <c r="A29" s="70" t="s">
        <v>248</v>
      </c>
      <c r="B29" s="523" t="s">
        <v>470</v>
      </c>
      <c r="C29" s="454" t="s">
        <v>360</v>
      </c>
      <c r="D29" s="430" t="s">
        <v>11</v>
      </c>
      <c r="E29" s="431" t="s">
        <v>52</v>
      </c>
      <c r="F29" s="526" t="s">
        <v>60</v>
      </c>
      <c r="G29" s="33" t="s">
        <v>61</v>
      </c>
      <c r="H29" s="31" t="str">
        <f t="shared" ref="H29" si="203">IF(F29="Rack","No of Racks",(IF(F29="Space","Sq Ft","U Space")))</f>
        <v>U Space</v>
      </c>
      <c r="I29" s="33">
        <v>1</v>
      </c>
      <c r="J29" s="33">
        <v>1</v>
      </c>
      <c r="K29" s="35">
        <f t="shared" ref="K29" si="204">I29-J29</f>
        <v>0</v>
      </c>
      <c r="L29" s="33">
        <v>1</v>
      </c>
      <c r="M29" s="33"/>
      <c r="N29" s="42">
        <f>55000/12</f>
        <v>4583.333333333333</v>
      </c>
      <c r="O29" s="43" t="str">
        <f t="shared" ref="O29" si="205">D29</f>
        <v>Rated</v>
      </c>
      <c r="P29" s="44" t="s">
        <v>54</v>
      </c>
      <c r="Q29" s="34">
        <v>0.25</v>
      </c>
      <c r="R29" s="45">
        <v>0.26</v>
      </c>
      <c r="S29" s="46">
        <f t="shared" ref="S29" si="206">Q29-R29</f>
        <v>-1.0000000000000009E-2</v>
      </c>
      <c r="T29" s="34"/>
      <c r="U29" s="34">
        <f t="shared" ref="U29" si="207">IF(S29&lt;=0,0,(IF(O29="Rated",(S29+T29)*$V$1,(S29+T29))))</f>
        <v>0</v>
      </c>
      <c r="V29" s="34" t="e">
        <f t="shared" ref="V29" si="208">IF(O29="Rated",Q29*$V$1,Q29)</f>
        <v>#VALUE!</v>
      </c>
      <c r="W29"/>
      <c r="X29" s="34">
        <f t="shared" ref="X29" si="209">IF((S29*-1)&gt;0, (S29*-1), 0)</f>
        <v>1.0000000000000009E-2</v>
      </c>
      <c r="Y29" s="47">
        <f>90000/12</f>
        <v>7500</v>
      </c>
      <c r="Z29" s="48" t="str">
        <f t="shared" ref="Z29" si="210">E29</f>
        <v>Bundled</v>
      </c>
      <c r="AA29" s="34"/>
      <c r="AB29" s="34"/>
      <c r="AC29" s="49"/>
      <c r="AD29" s="34"/>
      <c r="AE29" s="50"/>
      <c r="AF29" s="51" t="str">
        <f t="shared" ref="AF29" si="211">IF(AE29="No of Seats","No of Seats",(IF(AE29="Space","Sq Ft","")))</f>
        <v/>
      </c>
      <c r="AG29" s="34"/>
      <c r="AH29" s="34"/>
      <c r="AI29" s="34">
        <f t="shared" ref="AI29" si="212">AG29-AH29</f>
        <v>0</v>
      </c>
      <c r="AJ29" s="34"/>
      <c r="AK29" s="34"/>
      <c r="AL29" s="42"/>
      <c r="AM29" s="52">
        <f t="shared" ref="AM29" si="213">N29*L29</f>
        <v>4583.333333333333</v>
      </c>
      <c r="AN29" s="52">
        <f t="shared" ref="AN29" si="214">Y29*X29</f>
        <v>75.000000000000071</v>
      </c>
      <c r="AO29" s="53">
        <f t="shared" ref="AO29" si="215">AD29*AC29*AA29</f>
        <v>0</v>
      </c>
      <c r="AP29" s="52">
        <f t="shared" ref="AP29" si="216">AL29*AJ29</f>
        <v>0</v>
      </c>
      <c r="AQ29" s="54">
        <f>(10000+140000)/12</f>
        <v>12500</v>
      </c>
      <c r="AR29" s="55">
        <f t="shared" ref="AR29" si="217">SUBTOTAL(9,AM29:AQ29)</f>
        <v>17158.333333333332</v>
      </c>
      <c r="AS29" s="55"/>
      <c r="AT29" s="62">
        <v>121000867</v>
      </c>
      <c r="AU29" s="63"/>
      <c r="AV29" s="64"/>
      <c r="AW29" s="63"/>
      <c r="AX29" s="197"/>
      <c r="AZ29" s="25">
        <f t="shared" ref="AZ29" si="218">IF(F29="Rack",AR29/I29,0)+IF(F29="U Space",AR29*40/I29,0)+IF(F29="Space",AR29*30/I29,0)</f>
        <v>686333.33333333326</v>
      </c>
      <c r="BA29" s="25" t="e">
        <f t="shared" ref="BA29" si="219">+AR29/V29</f>
        <v>#VALUE!</v>
      </c>
      <c r="BB29" s="25" t="e">
        <f t="shared" ref="BB29:BC33" si="220">+($AM29+$AN29+$AO29-BI29)/$V29</f>
        <v>#VALUE!</v>
      </c>
      <c r="BC29" s="25" t="e">
        <f t="shared" si="220"/>
        <v>#VALUE!</v>
      </c>
      <c r="BD29" s="25" t="e">
        <f t="shared" ref="BD29:BD34" si="221">+($AM29+$AN29+IF(E29="Bundled",0,V29*0.85*AA29*AC29*30.5*24)-BK29)/$V29</f>
        <v>#VALUE!</v>
      </c>
      <c r="BE29" s="25"/>
      <c r="BF29" s="26">
        <f t="shared" ref="BF29" si="222">+AM29+AN29+AO29</f>
        <v>4658.333333333333</v>
      </c>
      <c r="BG29" s="26" t="e">
        <f t="shared" ref="BG29" si="223">+BF29-BH29</f>
        <v>#VALUE!</v>
      </c>
      <c r="BH29" s="26" t="e">
        <f>IF(E29="Bundled",MIN(V29*$AE$1*(1+#REF!),BF29),AO29)</f>
        <v>#VALUE!</v>
      </c>
      <c r="BI29" s="27" t="e">
        <f>IF($AD29&gt;0,$AD29*$AB$1*$AD$1*(1+$AG$1*(20/$AD$1)/732),$AE$1*W29)</f>
        <v>#VALUE!</v>
      </c>
      <c r="BJ29" s="27" t="e">
        <f>IF($AD29&gt;0,$AD29*$AB$1*$AD$1*(1+$AG$1*(20/$AD$1)/732),+$AE$1*(W29+U29))</f>
        <v>#VALUE!</v>
      </c>
      <c r="BK29" s="27" t="e">
        <f t="shared" ref="BK29" si="224">IF(E29="Bundled",$AE$1*V29,$AE$1*V29*0.85)</f>
        <v>#VALUE!</v>
      </c>
      <c r="BL29" s="27" t="e">
        <f t="shared" ref="BL29" si="225">+BB29*V29</f>
        <v>#VALUE!</v>
      </c>
      <c r="BM29" s="27" t="e">
        <f>+#REF!*V29</f>
        <v>#REF!</v>
      </c>
      <c r="BN29" s="27" t="e">
        <f t="shared" ref="BN29" si="226">+BG29-BM29</f>
        <v>#VALUE!</v>
      </c>
      <c r="BO29" s="27" t="e">
        <f t="shared" ref="BO29" si="227">+BH29-BI29</f>
        <v>#VALUE!</v>
      </c>
      <c r="BP29" s="27" t="e">
        <f t="shared" ref="BP29" si="228">+BN29+BO29</f>
        <v>#VALUE!</v>
      </c>
      <c r="BQ29" s="27" t="e">
        <f t="shared" ref="BQ29" si="229">+V29</f>
        <v>#VALUE!</v>
      </c>
      <c r="BR29" s="27" t="e">
        <f t="shared" ref="BR29" si="230">+BB29</f>
        <v>#VALUE!</v>
      </c>
      <c r="BS29" s="27" t="e">
        <f t="shared" ref="BS29" si="231">IF(E29="Bundled",BK29-BI29,AO29-BI29)</f>
        <v>#VALUE!</v>
      </c>
      <c r="BT29" s="27" t="e">
        <f>IF(E29="Bundled",+(BD29-#REF!)*V29,(AM29+AN29)-V29*#REF!)</f>
        <v>#VALUE!</v>
      </c>
      <c r="BU29" s="27" t="e">
        <f t="shared" ref="BU29" si="232">+BS29+BT29</f>
        <v>#VALUE!</v>
      </c>
      <c r="BV29" s="27" t="e">
        <f t="shared" ref="BV29:BX33" si="233">+BS29/$BQ29</f>
        <v>#VALUE!</v>
      </c>
      <c r="BW29" s="27" t="e">
        <f t="shared" si="233"/>
        <v>#VALUE!</v>
      </c>
      <c r="BX29" s="27" t="e">
        <f t="shared" si="233"/>
        <v>#VALUE!</v>
      </c>
    </row>
    <row r="30" spans="1:78" s="5" customFormat="1" ht="26" x14ac:dyDescent="0.3">
      <c r="A30" s="326" t="s">
        <v>248</v>
      </c>
      <c r="B30" s="523" t="s">
        <v>469</v>
      </c>
      <c r="C30" s="429" t="s">
        <v>355</v>
      </c>
      <c r="D30" s="430" t="s">
        <v>11</v>
      </c>
      <c r="E30" s="431" t="s">
        <v>52</v>
      </c>
      <c r="F30" s="526" t="s">
        <v>60</v>
      </c>
      <c r="G30" s="33" t="s">
        <v>61</v>
      </c>
      <c r="H30" s="31" t="str">
        <f t="shared" ref="H30" si="234">IF(F30="Rack","No of Racks",(IF(F30="Space","Sq Ft","U Space")))</f>
        <v>U Space</v>
      </c>
      <c r="I30" s="33">
        <v>4</v>
      </c>
      <c r="J30" s="33">
        <v>4</v>
      </c>
      <c r="K30" s="35">
        <f t="shared" ref="K30" si="235">I30-J30</f>
        <v>0</v>
      </c>
      <c r="L30" s="33">
        <v>4</v>
      </c>
      <c r="M30" s="33"/>
      <c r="N30" s="42">
        <f>35000/12</f>
        <v>2916.6666666666665</v>
      </c>
      <c r="O30" s="43" t="str">
        <f t="shared" ref="O30" si="236">D30</f>
        <v>Rated</v>
      </c>
      <c r="P30" s="44" t="s">
        <v>54</v>
      </c>
      <c r="Q30" s="34">
        <v>1</v>
      </c>
      <c r="R30" s="45">
        <v>0.17</v>
      </c>
      <c r="S30" s="46">
        <f t="shared" ref="S30" si="237">Q30-R30</f>
        <v>0.83</v>
      </c>
      <c r="T30" s="34"/>
      <c r="U30" s="34" t="e">
        <f t="shared" ref="U30" si="238">IF(S30&lt;=0,0,(IF(O30="Rated",(S30+T30)*$V$1,(S30+T30))))</f>
        <v>#VALUE!</v>
      </c>
      <c r="V30" s="34" t="e">
        <f t="shared" ref="V30" si="239">IF(O30="Rated",Q30*$V$1,Q30)</f>
        <v>#VALUE!</v>
      </c>
      <c r="W30"/>
      <c r="X30" s="34">
        <f t="shared" ref="X30" si="240">IF((S30*-1)&gt;0, (S30*-1), 0)</f>
        <v>0</v>
      </c>
      <c r="Y30" s="47">
        <f>110000/12</f>
        <v>9166.6666666666661</v>
      </c>
      <c r="Z30" s="48" t="str">
        <f t="shared" ref="Z30" si="241">E30</f>
        <v>Bundled</v>
      </c>
      <c r="AA30" s="34"/>
      <c r="AB30" s="34"/>
      <c r="AC30" s="49"/>
      <c r="AD30" s="34"/>
      <c r="AE30" s="50"/>
      <c r="AF30" s="51" t="str">
        <f t="shared" ref="AF30" si="242">IF(AE30="No of Seats","No of Seats",(IF(AE30="Space","Sq Ft","")))</f>
        <v/>
      </c>
      <c r="AG30" s="34"/>
      <c r="AH30" s="34"/>
      <c r="AI30" s="34">
        <f t="shared" ref="AI30" si="243">AG30-AH30</f>
        <v>0</v>
      </c>
      <c r="AJ30" s="34"/>
      <c r="AK30" s="34"/>
      <c r="AL30" s="42"/>
      <c r="AM30" s="52">
        <f t="shared" ref="AM30" si="244">N30*L30</f>
        <v>11666.666666666666</v>
      </c>
      <c r="AN30" s="52">
        <f t="shared" ref="AN30" si="245">Y30*X30</f>
        <v>0</v>
      </c>
      <c r="AO30" s="53">
        <f t="shared" ref="AO30" si="246">AD30*AC30*AA30</f>
        <v>0</v>
      </c>
      <c r="AP30" s="52">
        <f t="shared" ref="AP30" si="247">AL30*AJ30</f>
        <v>0</v>
      </c>
      <c r="AQ30" s="54">
        <f>(100000+60000)/12</f>
        <v>13333.333333333334</v>
      </c>
      <c r="AR30" s="55">
        <f t="shared" ref="AR30" si="248">SUBTOTAL(9,AM30:AQ30)</f>
        <v>25000</v>
      </c>
      <c r="AS30" s="55"/>
      <c r="AT30" s="62">
        <v>121000185</v>
      </c>
      <c r="AU30" s="63"/>
      <c r="AV30" s="64"/>
      <c r="AW30" s="63"/>
      <c r="AX30" s="198"/>
      <c r="AZ30" s="25">
        <f t="shared" ref="AZ30" si="249">IF(F30="Rack",AR30/I30,0)+IF(F30="U Space",AR30*40/I30,0)+IF(F30="Space",AR30*30/I30,0)</f>
        <v>250000</v>
      </c>
      <c r="BA30" s="25" t="e">
        <f t="shared" ref="BA30" si="250">+AR30/V30</f>
        <v>#VALUE!</v>
      </c>
      <c r="BB30" s="25" t="e">
        <f t="shared" si="220"/>
        <v>#VALUE!</v>
      </c>
      <c r="BC30" s="25" t="e">
        <f t="shared" si="220"/>
        <v>#VALUE!</v>
      </c>
      <c r="BD30" s="25" t="e">
        <f t="shared" si="221"/>
        <v>#VALUE!</v>
      </c>
      <c r="BE30" s="25"/>
      <c r="BF30" s="26">
        <f t="shared" ref="BF30" si="251">+AM30+AN30+AO30</f>
        <v>11666.666666666666</v>
      </c>
      <c r="BG30" s="26" t="e">
        <f t="shared" ref="BG30" si="252">+BF30-BH30</f>
        <v>#VALUE!</v>
      </c>
      <c r="BH30" s="26" t="e">
        <f>IF(E30="Bundled",MIN(V30*$AE$1*(1+#REF!),BF30),AO30)</f>
        <v>#VALUE!</v>
      </c>
      <c r="BI30" s="27" t="e">
        <f>IF($AD30&gt;0,$AD30*$AB$1*$AD$1*(1+$AG$1*(20/$AD$1)/732),$AE$1*W30)</f>
        <v>#VALUE!</v>
      </c>
      <c r="BJ30" s="27" t="e">
        <f>IF($AD30&gt;0,$AD30*$AB$1*$AD$1*(1+$AG$1*(20/$AD$1)/732),+$AE$1*(W30+U30))</f>
        <v>#VALUE!</v>
      </c>
      <c r="BK30" s="27" t="e">
        <f t="shared" ref="BK30" si="253">IF(E30="Bundled",$AE$1*V30,$AE$1*V30*0.85)</f>
        <v>#VALUE!</v>
      </c>
      <c r="BL30" s="27" t="e">
        <f t="shared" ref="BL30" si="254">+BB30*V30</f>
        <v>#VALUE!</v>
      </c>
      <c r="BM30" s="27" t="e">
        <f>+#REF!*V30</f>
        <v>#REF!</v>
      </c>
      <c r="BN30" s="27" t="e">
        <f t="shared" ref="BN30" si="255">+BG30-BM30</f>
        <v>#VALUE!</v>
      </c>
      <c r="BO30" s="27" t="e">
        <f t="shared" ref="BO30" si="256">+BH30-BI30</f>
        <v>#VALUE!</v>
      </c>
      <c r="BP30" s="27" t="e">
        <f t="shared" ref="BP30" si="257">+BN30+BO30</f>
        <v>#VALUE!</v>
      </c>
      <c r="BQ30" s="27" t="e">
        <f t="shared" ref="BQ30" si="258">+V30</f>
        <v>#VALUE!</v>
      </c>
      <c r="BR30" s="27" t="e">
        <f t="shared" ref="BR30" si="259">+BB30</f>
        <v>#VALUE!</v>
      </c>
      <c r="BS30" s="27" t="e">
        <f t="shared" ref="BS30" si="260">IF(E30="Bundled",BK30-BI30,AO30-BI30)</f>
        <v>#VALUE!</v>
      </c>
      <c r="BT30" s="27" t="e">
        <f>IF(E30="Bundled",+(BD30-#REF!)*V30,(AM30+AN30)-V30*#REF!)</f>
        <v>#VALUE!</v>
      </c>
      <c r="BU30" s="27" t="e">
        <f t="shared" ref="BU30" si="261">+BS30+BT30</f>
        <v>#VALUE!</v>
      </c>
      <c r="BV30" s="27" t="e">
        <f t="shared" si="233"/>
        <v>#VALUE!</v>
      </c>
      <c r="BW30" s="27" t="e">
        <f t="shared" si="233"/>
        <v>#VALUE!</v>
      </c>
      <c r="BX30" s="27" t="e">
        <f t="shared" si="233"/>
        <v>#VALUE!</v>
      </c>
    </row>
    <row r="31" spans="1:78" s="16" customFormat="1" ht="26" x14ac:dyDescent="0.3">
      <c r="A31" s="199" t="s">
        <v>247</v>
      </c>
      <c r="B31" s="516" t="s">
        <v>143</v>
      </c>
      <c r="C31" s="533" t="s">
        <v>371</v>
      </c>
      <c r="D31" s="430" t="s">
        <v>11</v>
      </c>
      <c r="E31" s="431" t="s">
        <v>52</v>
      </c>
      <c r="F31" s="526" t="s">
        <v>60</v>
      </c>
      <c r="G31" s="33" t="s">
        <v>61</v>
      </c>
      <c r="H31" s="31" t="str">
        <f t="shared" ref="H31" si="262">IF(F31="Rack","No of Racks",(IF(F31="Space","Sq Ft","U Space")))</f>
        <v>U Space</v>
      </c>
      <c r="I31" s="33">
        <v>1</v>
      </c>
      <c r="J31" s="33">
        <v>1</v>
      </c>
      <c r="K31" s="35">
        <f>I31-J31</f>
        <v>0</v>
      </c>
      <c r="L31" s="33">
        <v>1</v>
      </c>
      <c r="M31" s="33"/>
      <c r="N31" s="42">
        <f>(35000)/12</f>
        <v>2916.6666666666665</v>
      </c>
      <c r="O31" s="43" t="str">
        <f t="shared" ref="O31" si="263">D31</f>
        <v>Rated</v>
      </c>
      <c r="P31" s="33" t="s">
        <v>54</v>
      </c>
      <c r="Q31" s="34">
        <v>0.25</v>
      </c>
      <c r="R31" s="45">
        <v>0.13</v>
      </c>
      <c r="S31" s="46">
        <f t="shared" ref="S31" si="264">Q31-R31</f>
        <v>0.12</v>
      </c>
      <c r="T31" s="34"/>
      <c r="U31" s="34">
        <f t="shared" ref="U31" si="265">IF(S31&lt;=0,0,(IF(O31="Rated",(S31+T31)*$W$1,(S31+T31))))</f>
        <v>0</v>
      </c>
      <c r="V31" s="34">
        <f t="shared" ref="V31" si="266">IF(O31="Rated",Q31*$W$1,Q31)</f>
        <v>0</v>
      </c>
      <c r="W31" s="47"/>
      <c r="X31" s="34">
        <f>IF((S31*-1)&gt;0, (S31*-1), 0)</f>
        <v>0</v>
      </c>
      <c r="Y31" s="47">
        <f>0/12</f>
        <v>0</v>
      </c>
      <c r="Z31" s="48" t="str">
        <f t="shared" ref="Z31" si="267">E31</f>
        <v>Bundled</v>
      </c>
      <c r="AA31" s="34"/>
      <c r="AB31" s="34"/>
      <c r="AC31" s="49"/>
      <c r="AD31" s="34"/>
      <c r="AE31" s="50"/>
      <c r="AF31" s="51"/>
      <c r="AG31" s="34"/>
      <c r="AH31" s="34"/>
      <c r="AI31" s="34">
        <f>AG31-AH31</f>
        <v>0</v>
      </c>
      <c r="AJ31" s="34"/>
      <c r="AK31" s="34"/>
      <c r="AL31" s="42">
        <f>(0)/12</f>
        <v>0</v>
      </c>
      <c r="AM31" s="52">
        <f>N31*L31</f>
        <v>2916.6666666666665</v>
      </c>
      <c r="AN31" s="52">
        <f>Y31*X31</f>
        <v>0</v>
      </c>
      <c r="AO31" s="53">
        <f>AD31*AC31*AA31</f>
        <v>0</v>
      </c>
      <c r="AP31" s="52">
        <f>AL31*AJ31</f>
        <v>0</v>
      </c>
      <c r="AQ31" s="54">
        <f t="shared" ref="AQ31" si="268">0/12</f>
        <v>0</v>
      </c>
      <c r="AR31" s="55">
        <f>SUBTOTAL(9,AM31:AQ31)</f>
        <v>2916.6666666666665</v>
      </c>
      <c r="AS31" s="55"/>
      <c r="AT31" s="67"/>
      <c r="AU31" s="68"/>
      <c r="AV31" s="69"/>
      <c r="AW31" s="68"/>
      <c r="AX31" s="89"/>
      <c r="AY31" s="5"/>
      <c r="AZ31" s="29">
        <f>IF(F31="Rack",AR31/I31,0)+IF(F31="U Space",AR31*40/I31,0)+IF(F31="Space",AR31*30/I31,0)</f>
        <v>116666.66666666666</v>
      </c>
      <c r="BA31" s="29" t="e">
        <f>+AR31/V31</f>
        <v>#DIV/0!</v>
      </c>
      <c r="BB31" s="25" t="e">
        <f>+($AM31+$AN31+$AO31-BI31)/$V31</f>
        <v>#DIV/0!</v>
      </c>
      <c r="BC31" s="25" t="e">
        <f>+($AM31+$AN31+$AO31-BJ31)/$V31</f>
        <v>#DIV/0!</v>
      </c>
      <c r="BD31" s="25" t="e">
        <f t="shared" si="221"/>
        <v>#DIV/0!</v>
      </c>
      <c r="BE31" s="29"/>
      <c r="BF31" s="26">
        <f>+AM31+AN31+AO31</f>
        <v>2916.6666666666665</v>
      </c>
      <c r="BG31" s="26" t="e">
        <f>+BF31-BH31</f>
        <v>#REF!</v>
      </c>
      <c r="BH31" s="26" t="e">
        <f>IF(E31="Bundled",MIN(V31*$AF$1*(1+#REF!),BF31),AO31)</f>
        <v>#REF!</v>
      </c>
      <c r="BI31" s="27">
        <f>IF($AD31&gt;0,$AD31*$AC$1*$AE$1*(1+$AH$1*(20/$AE$1)/732),$AF$1*W31)</f>
        <v>0</v>
      </c>
      <c r="BJ31" s="27">
        <f>IF($AD31&gt;0,$AD31*$AC$1*$AE$1*(1+$AH$1*(20/$AE$1)/732),+$AF$1*(W31+U31))</f>
        <v>0</v>
      </c>
      <c r="BK31" s="27">
        <f>IF(E31="Bundled",$AF$1*V31,$AF$1*V31*0.85)</f>
        <v>0</v>
      </c>
      <c r="BL31" s="27" t="e">
        <f>+BB31*V31</f>
        <v>#DIV/0!</v>
      </c>
      <c r="BM31" s="27" t="e">
        <f>+#REF!*V31</f>
        <v>#REF!</v>
      </c>
      <c r="BN31" s="27" t="e">
        <f>+BG31-BM31</f>
        <v>#REF!</v>
      </c>
      <c r="BO31" s="27" t="e">
        <f>+BH31-BI31</f>
        <v>#REF!</v>
      </c>
      <c r="BP31" s="27" t="e">
        <f>+BN31+BO31</f>
        <v>#REF!</v>
      </c>
      <c r="BQ31" s="27">
        <f>+V31</f>
        <v>0</v>
      </c>
      <c r="BR31" s="27" t="e">
        <f>+BB31</f>
        <v>#DIV/0!</v>
      </c>
      <c r="BS31" s="27">
        <f>IF(E31="Bundled",BK31-BI31,AO31-BI31)</f>
        <v>0</v>
      </c>
      <c r="BT31" s="27" t="e">
        <f>IF(E31="Bundled",+(BD31-#REF!)*V31,(AM31+AN31)-V31*#REF!)</f>
        <v>#DIV/0!</v>
      </c>
      <c r="BU31" s="27" t="e">
        <f>+BS31+BT31</f>
        <v>#DIV/0!</v>
      </c>
      <c r="BV31" s="27" t="e">
        <f>+BS31/$BQ31</f>
        <v>#DIV/0!</v>
      </c>
      <c r="BW31" s="27" t="e">
        <f>+BT31/$BQ31</f>
        <v>#DIV/0!</v>
      </c>
      <c r="BX31" s="27" t="e">
        <f>+BU31/$BQ31</f>
        <v>#DIV/0!</v>
      </c>
    </row>
    <row r="32" spans="1:78" s="16" customFormat="1" ht="26" x14ac:dyDescent="0.3">
      <c r="A32" s="326" t="s">
        <v>247</v>
      </c>
      <c r="B32" s="516" t="s">
        <v>142</v>
      </c>
      <c r="C32" s="454" t="s">
        <v>394</v>
      </c>
      <c r="D32" s="430" t="s">
        <v>11</v>
      </c>
      <c r="E32" s="431" t="s">
        <v>52</v>
      </c>
      <c r="F32" s="526" t="s">
        <v>60</v>
      </c>
      <c r="G32" s="33" t="s">
        <v>61</v>
      </c>
      <c r="H32" s="31" t="str">
        <f t="shared" ref="H32" si="269">IF(F32="Rack","No of Racks",(IF(F32="Space","Sq Ft","U Space")))</f>
        <v>U Space</v>
      </c>
      <c r="I32" s="33">
        <v>2</v>
      </c>
      <c r="J32" s="33">
        <v>2</v>
      </c>
      <c r="K32" s="35">
        <f t="shared" ref="K32" si="270">I32-J32</f>
        <v>0</v>
      </c>
      <c r="L32" s="33">
        <v>2</v>
      </c>
      <c r="M32" s="33"/>
      <c r="N32" s="42">
        <f>(75000/2)/12</f>
        <v>3125</v>
      </c>
      <c r="O32" s="43" t="str">
        <f t="shared" ref="O32" si="271">D32</f>
        <v>Rated</v>
      </c>
      <c r="P32" s="33" t="s">
        <v>54</v>
      </c>
      <c r="Q32" s="34">
        <v>0.5</v>
      </c>
      <c r="R32" s="45">
        <v>0.25</v>
      </c>
      <c r="S32" s="46">
        <f t="shared" ref="S32" si="272">Q32-R32</f>
        <v>0.25</v>
      </c>
      <c r="T32" s="34"/>
      <c r="U32" s="34">
        <f t="shared" ref="U32" si="273">IF(S32&lt;=0,0,(IF(O32="Rated",(S32+T32)*$W$1,(S32+T32))))</f>
        <v>0</v>
      </c>
      <c r="V32" s="34">
        <f t="shared" ref="V32" si="274">IF(O32="Rated",Q32*$W$1,Q32)</f>
        <v>0</v>
      </c>
      <c r="W32"/>
      <c r="X32" s="34">
        <f t="shared" ref="X32" si="275">IF((S32*-1)&gt;0, (S32*-1), 0)</f>
        <v>0</v>
      </c>
      <c r="Y32" s="47"/>
      <c r="Z32" s="48" t="str">
        <f t="shared" ref="Z32" si="276">E32</f>
        <v>Bundled</v>
      </c>
      <c r="AA32" s="34"/>
      <c r="AB32" s="34"/>
      <c r="AC32" s="49"/>
      <c r="AD32" s="34"/>
      <c r="AE32" s="50"/>
      <c r="AF32" s="51"/>
      <c r="AG32" s="34"/>
      <c r="AH32" s="34"/>
      <c r="AI32" s="34">
        <f t="shared" ref="AI32" si="277">AG32-AH32</f>
        <v>0</v>
      </c>
      <c r="AJ32" s="34"/>
      <c r="AK32" s="34"/>
      <c r="AL32" s="42">
        <f t="shared" ref="AL32" si="278">(0)/12</f>
        <v>0</v>
      </c>
      <c r="AM32" s="52"/>
      <c r="AN32" s="52">
        <f t="shared" ref="AN32" si="279">Y32*X32</f>
        <v>0</v>
      </c>
      <c r="AO32" s="53">
        <f t="shared" ref="AO32" si="280">AD32*AC32*AA32</f>
        <v>0</v>
      </c>
      <c r="AP32" s="52">
        <f t="shared" ref="AP32" si="281">AL32*AJ32</f>
        <v>0</v>
      </c>
      <c r="AQ32" s="54">
        <f t="shared" ref="AQ32" si="282">0/12</f>
        <v>0</v>
      </c>
      <c r="AR32" s="55">
        <f t="shared" ref="AR32" si="283">SUBTOTAL(9,AM32:AQ32)</f>
        <v>0</v>
      </c>
      <c r="AS32" s="55"/>
      <c r="AT32" s="67"/>
      <c r="AU32" s="68"/>
      <c r="AV32" s="69"/>
      <c r="AW32" s="68"/>
      <c r="AX32" s="89"/>
      <c r="AY32" s="5"/>
      <c r="AZ32" s="29">
        <f t="shared" ref="AZ32" si="284">IF(F32="Rack",AR32/I32,0)+IF(F32="U Space",AR32*40/I32,0)+IF(F32="Space",AR32*30/I32,0)</f>
        <v>0</v>
      </c>
      <c r="BA32" s="29" t="e">
        <f t="shared" ref="BA32" si="285">+AR32/V32</f>
        <v>#DIV/0!</v>
      </c>
      <c r="BB32" s="25" t="e">
        <f t="shared" si="220"/>
        <v>#DIV/0!</v>
      </c>
      <c r="BC32" s="25" t="e">
        <f t="shared" si="220"/>
        <v>#DIV/0!</v>
      </c>
      <c r="BD32" s="25" t="e">
        <f t="shared" si="221"/>
        <v>#DIV/0!</v>
      </c>
      <c r="BE32" s="29"/>
      <c r="BF32" s="26">
        <f t="shared" ref="BF32" si="286">+AM32+AN32+AO32</f>
        <v>0</v>
      </c>
      <c r="BG32" s="26" t="e">
        <f t="shared" ref="BG32" si="287">+BF32-BH32</f>
        <v>#REF!</v>
      </c>
      <c r="BH32" s="26" t="e">
        <f>IF(E32="Bundled",MIN(V32*$AF$1*(1+#REF!),BF32),AO32)</f>
        <v>#REF!</v>
      </c>
      <c r="BI32" s="27">
        <f>IF($AD32&gt;0,$AD32*$AC$1*$AE$1*(1+$AH$1*(20/$AE$1)/732),$AF$1*W32)</f>
        <v>0</v>
      </c>
      <c r="BJ32" s="27">
        <f>IF($AD32&gt;0,$AD32*$AC$1*$AE$1*(1+$AH$1*(20/$AE$1)/732),+$AF$1*(W32+U32))</f>
        <v>0</v>
      </c>
      <c r="BK32" s="27">
        <f t="shared" ref="BK32" si="288">IF(E32="Bundled",$AF$1*V32,$AF$1*V32*0.85)</f>
        <v>0</v>
      </c>
      <c r="BL32" s="27" t="e">
        <f t="shared" ref="BL32" si="289">+BB32*V32</f>
        <v>#DIV/0!</v>
      </c>
      <c r="BM32" s="27" t="e">
        <f>+#REF!*V32</f>
        <v>#REF!</v>
      </c>
      <c r="BN32" s="27" t="e">
        <f t="shared" ref="BN32" si="290">+BG32-BM32</f>
        <v>#REF!</v>
      </c>
      <c r="BO32" s="27" t="e">
        <f t="shared" ref="BO32" si="291">+BH32-BI32</f>
        <v>#REF!</v>
      </c>
      <c r="BP32" s="27" t="e">
        <f t="shared" ref="BP32" si="292">+BN32+BO32</f>
        <v>#REF!</v>
      </c>
      <c r="BQ32" s="27">
        <f t="shared" ref="BQ32" si="293">+V32</f>
        <v>0</v>
      </c>
      <c r="BR32" s="27" t="e">
        <f t="shared" ref="BR32" si="294">+BB32</f>
        <v>#DIV/0!</v>
      </c>
      <c r="BS32" s="27">
        <f t="shared" ref="BS32" si="295">IF(E32="Bundled",BK32-BI32,AO32-BI32)</f>
        <v>0</v>
      </c>
      <c r="BT32" s="27" t="e">
        <f>IF(E32="Bundled",+(BD32-#REF!)*V32,(AM32+AN32)-V32*#REF!)</f>
        <v>#DIV/0!</v>
      </c>
      <c r="BU32" s="27" t="e">
        <f t="shared" ref="BU32" si="296">+BS32+BT32</f>
        <v>#DIV/0!</v>
      </c>
      <c r="BV32" s="27" t="e">
        <f t="shared" ref="BV32:BW34" si="297">+BS32/$BQ32</f>
        <v>#DIV/0!</v>
      </c>
      <c r="BW32" s="27" t="e">
        <f t="shared" si="297"/>
        <v>#DIV/0!</v>
      </c>
      <c r="BX32" s="27" t="e">
        <f t="shared" si="233"/>
        <v>#DIV/0!</v>
      </c>
    </row>
    <row r="33" spans="1:79" s="16" customFormat="1" ht="39" x14ac:dyDescent="0.3">
      <c r="A33" s="199" t="s">
        <v>130</v>
      </c>
      <c r="B33" s="519" t="s">
        <v>497</v>
      </c>
      <c r="C33" s="537" t="s">
        <v>333</v>
      </c>
      <c r="D33" s="430" t="s">
        <v>56</v>
      </c>
      <c r="E33" s="431" t="s">
        <v>52</v>
      </c>
      <c r="F33" s="526" t="s">
        <v>8</v>
      </c>
      <c r="G33" s="33" t="s">
        <v>61</v>
      </c>
      <c r="H33" s="31" t="str">
        <f>IF(F33="Rack","No of Racks",(IF(F33="Space","Sq Ft","U Space")))</f>
        <v>No of Racks</v>
      </c>
      <c r="I33" s="33">
        <v>16</v>
      </c>
      <c r="J33" s="33">
        <v>16</v>
      </c>
      <c r="K33" s="35">
        <f>I33-J33</f>
        <v>0</v>
      </c>
      <c r="L33" s="33">
        <v>16</v>
      </c>
      <c r="M33" s="33"/>
      <c r="N33" s="42">
        <f>2042880/16</f>
        <v>127680</v>
      </c>
      <c r="O33" s="43" t="str">
        <f>D33</f>
        <v>Subscribed</v>
      </c>
      <c r="P33" s="33" t="s">
        <v>58</v>
      </c>
      <c r="Q33" s="34">
        <v>78</v>
      </c>
      <c r="R33" s="66">
        <f>W33</f>
        <v>0</v>
      </c>
      <c r="S33" s="46">
        <f>Q33-R33</f>
        <v>78</v>
      </c>
      <c r="T33" s="34"/>
      <c r="U33" s="34">
        <f>IF(S33&lt;=0,0,(IF(O33="Rated",(S33+T33)*'Noida-01'!$X$1,(S33+T33))))</f>
        <v>78</v>
      </c>
      <c r="V33" s="34">
        <f>IF(O33="Rated",Q33*'Noida-01'!$X$1,Q33)</f>
        <v>78</v>
      </c>
      <c r="W33" s="65">
        <f>AD33/30/24</f>
        <v>0</v>
      </c>
      <c r="X33" s="34">
        <f>IF((S33*-1)&gt;0, (S33*-1), 0)</f>
        <v>0</v>
      </c>
      <c r="Y33" s="47">
        <v>0</v>
      </c>
      <c r="Z33" s="48" t="str">
        <f>E33</f>
        <v>Bundled</v>
      </c>
      <c r="AA33" s="34">
        <v>1</v>
      </c>
      <c r="AB33" s="34" t="s">
        <v>62</v>
      </c>
      <c r="AC33" s="49">
        <v>0</v>
      </c>
      <c r="AD33" s="34">
        <v>0</v>
      </c>
      <c r="AE33" s="50"/>
      <c r="AF33" s="51"/>
      <c r="AG33" s="34"/>
      <c r="AH33" s="34"/>
      <c r="AI33" s="34">
        <f>AG33-AH33</f>
        <v>0</v>
      </c>
      <c r="AJ33" s="34"/>
      <c r="AK33" s="34"/>
      <c r="AL33" s="42">
        <f>(0)/12</f>
        <v>0</v>
      </c>
      <c r="AM33" s="52">
        <f>N33*L33</f>
        <v>2042880</v>
      </c>
      <c r="AN33" s="52">
        <f>Y33*X33</f>
        <v>0</v>
      </c>
      <c r="AO33" s="53">
        <f>AD33*AC33*AA33</f>
        <v>0</v>
      </c>
      <c r="AP33" s="52">
        <f>AL33*AJ33</f>
        <v>0</v>
      </c>
      <c r="AQ33" s="54">
        <f>0/12</f>
        <v>0</v>
      </c>
      <c r="AR33" s="55">
        <f>SUBTOTAL(9,AM33:AQ33)</f>
        <v>2042880</v>
      </c>
      <c r="AS33" s="55"/>
      <c r="AT33" s="67"/>
      <c r="AU33" s="68"/>
      <c r="AV33" s="69"/>
      <c r="AW33" s="68"/>
      <c r="AX33" s="89"/>
      <c r="AY33" s="5"/>
      <c r="AZ33" s="29">
        <f>IF(F33="Rack",AR33/I33,0)+IF(F33="U Space",AR33*40/I33,0)+IF(F33="Space",AR33*30/I33,0)</f>
        <v>127680</v>
      </c>
      <c r="BA33" s="29">
        <f>+AR33/V33</f>
        <v>26190.76923076923</v>
      </c>
      <c r="BB33" s="25">
        <f t="shared" si="220"/>
        <v>26190.76923076923</v>
      </c>
      <c r="BC33" s="25">
        <f t="shared" si="220"/>
        <v>7943.8489807692313</v>
      </c>
      <c r="BD33" s="25">
        <f t="shared" si="221"/>
        <v>7943.8489807692313</v>
      </c>
      <c r="BE33" s="29"/>
      <c r="BF33" s="26">
        <f>+AM33+AN33+AO33</f>
        <v>2042880</v>
      </c>
      <c r="BG33" s="26" t="e">
        <f>+BF33-BH33</f>
        <v>#REF!</v>
      </c>
      <c r="BH33" s="26" t="e">
        <f>IF(E33="Bundled",MIN(V33*'Noida-01'!$AG$1*(1+#REF!),BF33),AO33)</f>
        <v>#REF!</v>
      </c>
      <c r="BI33" s="27">
        <f>IF($AD33&gt;0,$AD33*'Noida-01'!$AD$1*'Noida-01'!$AF$1*(1+'Noida-01'!$AI$1*(20/'Noida-01'!$AF$1)/732),'Noida-01'!$AG$1*W33)</f>
        <v>0</v>
      </c>
      <c r="BJ33" s="27">
        <f>IF($AD33&gt;0,$AD33*'Noida-01'!$AD$1*'Noida-01'!$AF$1*(1+'Noida-01'!$AI$1*(20/'Noida-01'!$AF$1)/732),+'Noida-01'!$AG$1*(W33+U33))</f>
        <v>1423259.7794999999</v>
      </c>
      <c r="BK33" s="27">
        <f>IF(E33="Bundled",'Noida-01'!$AG$1*V33,'Noida-01'!$AG$1*V33*0.85)</f>
        <v>1423259.7794999999</v>
      </c>
      <c r="BL33" s="27">
        <f>+BB33*V33</f>
        <v>2042880</v>
      </c>
      <c r="BM33" s="27" t="e">
        <f>+#REF!*V33</f>
        <v>#REF!</v>
      </c>
      <c r="BN33" s="27" t="e">
        <f>+BG33-BM33</f>
        <v>#REF!</v>
      </c>
      <c r="BO33" s="27" t="e">
        <f>+BH33-BI33</f>
        <v>#REF!</v>
      </c>
      <c r="BP33" s="27" t="e">
        <f>+BN33+BO33</f>
        <v>#REF!</v>
      </c>
      <c r="BQ33" s="27">
        <f>+V33</f>
        <v>78</v>
      </c>
      <c r="BR33" s="27">
        <f>+BB33</f>
        <v>26190.76923076923</v>
      </c>
      <c r="BS33" s="27">
        <f>IF(E33="Bundled",BK33-BI33,AO33-BI33)</f>
        <v>1423259.7794999999</v>
      </c>
      <c r="BT33" s="27" t="e">
        <f>IF(E33="Bundled",+(BD33-#REF!)*V33,(AM33+AN33)-V33*#REF!)</f>
        <v>#REF!</v>
      </c>
      <c r="BU33" s="27" t="e">
        <f>+BS33+BT33</f>
        <v>#REF!</v>
      </c>
      <c r="BV33" s="27">
        <f t="shared" si="297"/>
        <v>18246.920249999999</v>
      </c>
      <c r="BW33" s="27" t="e">
        <f t="shared" si="297"/>
        <v>#REF!</v>
      </c>
      <c r="BX33" s="27" t="e">
        <f t="shared" si="233"/>
        <v>#REF!</v>
      </c>
    </row>
    <row r="34" spans="1:79" s="16" customFormat="1" ht="39" x14ac:dyDescent="0.3">
      <c r="A34" s="199" t="s">
        <v>130</v>
      </c>
      <c r="B34" s="516" t="s">
        <v>173</v>
      </c>
      <c r="C34" s="429" t="s">
        <v>511</v>
      </c>
      <c r="D34" s="430" t="s">
        <v>11</v>
      </c>
      <c r="E34" s="431" t="s">
        <v>52</v>
      </c>
      <c r="F34" s="526" t="s">
        <v>60</v>
      </c>
      <c r="G34" s="33" t="s">
        <v>61</v>
      </c>
      <c r="H34" s="31" t="str">
        <f t="shared" ref="H34:H36" si="298">IF(F34="Rack","No of Racks",(IF(F34="Space","Sq Ft","U Space")))</f>
        <v>U Space</v>
      </c>
      <c r="I34" s="33">
        <v>2</v>
      </c>
      <c r="J34" s="33">
        <v>2</v>
      </c>
      <c r="K34" s="35">
        <f t="shared" ref="K34:K36" si="299">I34-J34</f>
        <v>0</v>
      </c>
      <c r="L34" s="33">
        <v>2</v>
      </c>
      <c r="M34" s="33"/>
      <c r="N34" s="42">
        <f>(18000)/12</f>
        <v>1500</v>
      </c>
      <c r="O34" s="43" t="str">
        <f t="shared" ref="O34:O36" si="300">D34</f>
        <v>Rated</v>
      </c>
      <c r="P34" s="44" t="s">
        <v>54</v>
      </c>
      <c r="Q34" s="34">
        <v>0.3</v>
      </c>
      <c r="R34" s="45">
        <v>0.04</v>
      </c>
      <c r="S34" s="46">
        <f t="shared" ref="S34:S36" si="301">Q34-R34</f>
        <v>0.26</v>
      </c>
      <c r="T34" s="34"/>
      <c r="U34" s="34">
        <f t="shared" ref="U34:U36" si="302">IF(S34&lt;=0,0,(IF(O34="Rated",(S34+T34)*$W$1,(S34+T34))))</f>
        <v>0</v>
      </c>
      <c r="V34" s="34">
        <f t="shared" ref="V34:V36" si="303">IF(O34="Rated",Q34*$W$1,Q34)</f>
        <v>0</v>
      </c>
      <c r="W34"/>
      <c r="X34" s="34">
        <f t="shared" ref="X34:X36" si="304">IF((S34*-1)&gt;0, (S34*-1), 0)</f>
        <v>0</v>
      </c>
      <c r="Y34" s="47"/>
      <c r="Z34" s="48" t="str">
        <f t="shared" ref="Z34:Z36" si="305">E34</f>
        <v>Bundled</v>
      </c>
      <c r="AA34" s="34"/>
      <c r="AB34" s="34"/>
      <c r="AC34" s="49"/>
      <c r="AD34" s="34"/>
      <c r="AE34" s="50"/>
      <c r="AF34" s="51" t="str">
        <f>IF(AE34="No of Seats","No of Seats",(IF(AE34="Space","Sq Ft","")))</f>
        <v/>
      </c>
      <c r="AG34" s="34"/>
      <c r="AH34" s="34"/>
      <c r="AI34" s="34">
        <f t="shared" ref="AI34:AI36" si="306">AG34-AH34</f>
        <v>0</v>
      </c>
      <c r="AJ34" s="34"/>
      <c r="AK34" s="34"/>
      <c r="AL34" s="42"/>
      <c r="AM34" s="52">
        <f t="shared" ref="AM34:AM36" si="307">N34*L34</f>
        <v>3000</v>
      </c>
      <c r="AN34" s="52">
        <f t="shared" ref="AN34:AN36" si="308">Y34*X34</f>
        <v>0</v>
      </c>
      <c r="AO34" s="53">
        <f t="shared" ref="AO34:AO36" si="309">AD34*AC34*AA34</f>
        <v>0</v>
      </c>
      <c r="AP34" s="52">
        <f t="shared" ref="AP34:AP36" si="310">AL34*AJ34</f>
        <v>0</v>
      </c>
      <c r="AQ34" s="54">
        <v>0</v>
      </c>
      <c r="AR34" s="55">
        <f t="shared" ref="AR34:AR36" si="311">SUBTOTAL(9,AM34:AQ34)</f>
        <v>3000</v>
      </c>
      <c r="AS34" s="55"/>
      <c r="AT34" s="56"/>
      <c r="AU34" s="57"/>
      <c r="AV34" s="58"/>
      <c r="AW34" s="57"/>
      <c r="AX34" s="198"/>
      <c r="AY34" s="5"/>
      <c r="AZ34" s="25">
        <f t="shared" ref="AZ34:AZ36" si="312">IF(F34="Rack",AR34/I34,0)+IF(F34="U Space",AR34*40/I34,0)+IF(F34="Space",AR34*30/I34,0)</f>
        <v>60000</v>
      </c>
      <c r="BA34" s="25" t="e">
        <f t="shared" ref="BA34:BA36" si="313">+AR34/V34</f>
        <v>#DIV/0!</v>
      </c>
      <c r="BB34" s="25" t="e">
        <f>+($AM34+$AN34+$AO34-BI34)/$V34</f>
        <v>#DIV/0!</v>
      </c>
      <c r="BC34" s="25" t="e">
        <f>+($AM34+$AN34+$AO34-BJ34)/$V34</f>
        <v>#DIV/0!</v>
      </c>
      <c r="BD34" s="25" t="e">
        <f t="shared" si="221"/>
        <v>#DIV/0!</v>
      </c>
      <c r="BE34" s="25"/>
      <c r="BF34" s="26">
        <f t="shared" ref="BF34:BF36" si="314">+AM34+AN34+AO34</f>
        <v>3000</v>
      </c>
      <c r="BG34" s="26" t="e">
        <f t="shared" ref="BG34:BG36" si="315">+BF34-BH34</f>
        <v>#REF!</v>
      </c>
      <c r="BH34" s="26" t="e">
        <f>IF(E34="Bundled",MIN(V34*$AF$1*(1+#REF!),BF34),AO34)</f>
        <v>#REF!</v>
      </c>
      <c r="BI34" s="27">
        <f>IF($AD34&gt;0,$AD34*$AC$1*$AE$1*(1+$AH$1*(20/$AE$1)/732),$AF$1*W34)</f>
        <v>0</v>
      </c>
      <c r="BJ34" s="27">
        <f>IF($AD34&gt;0,$AD34*$AC$1*$AE$1*(1+$AH$1*(20/$AE$1)/732),+$AF$1*(W34+U34))</f>
        <v>0</v>
      </c>
      <c r="BK34" s="27">
        <f t="shared" ref="BK34:BK36" si="316">IF(E34="Bundled",$AF$1*V34,$AF$1*V34*0.85)</f>
        <v>0</v>
      </c>
      <c r="BL34" s="27" t="e">
        <f t="shared" ref="BL34:BL36" si="317">+BB34*V34</f>
        <v>#DIV/0!</v>
      </c>
      <c r="BM34" s="27" t="e">
        <f>+#REF!*V34</f>
        <v>#REF!</v>
      </c>
      <c r="BN34" s="27" t="e">
        <f t="shared" ref="BN34:BN36" si="318">+BG34-BM34</f>
        <v>#REF!</v>
      </c>
      <c r="BO34" s="27" t="e">
        <f t="shared" ref="BO34:BO36" si="319">+BH34-BI34</f>
        <v>#REF!</v>
      </c>
      <c r="BP34" s="27" t="e">
        <f t="shared" ref="BP34:BP36" si="320">+BN34+BO34</f>
        <v>#REF!</v>
      </c>
      <c r="BQ34" s="27">
        <f t="shared" ref="BQ34:BQ36" si="321">+V34</f>
        <v>0</v>
      </c>
      <c r="BR34" s="27" t="e">
        <f t="shared" ref="BR34:BR36" si="322">+BB34</f>
        <v>#DIV/0!</v>
      </c>
      <c r="BS34" s="27">
        <f t="shared" ref="BS34:BS36" si="323">IF(E34="Bundled",BK34-BI34,AO34-BI34)</f>
        <v>0</v>
      </c>
      <c r="BT34" s="27" t="e">
        <f>IF(E34="Bundled",+(BD34-#REF!)*V34,(AM34+AN34)-V34*#REF!)</f>
        <v>#DIV/0!</v>
      </c>
      <c r="BU34" s="27" t="e">
        <f t="shared" ref="BU34:BU36" si="324">+BS34+BT34</f>
        <v>#DIV/0!</v>
      </c>
      <c r="BV34" s="27" t="e">
        <f t="shared" si="297"/>
        <v>#DIV/0!</v>
      </c>
      <c r="BW34" s="27" t="e">
        <f t="shared" si="297"/>
        <v>#DIV/0!</v>
      </c>
      <c r="BX34" s="27" t="e">
        <f>+BU34/$BQ34</f>
        <v>#DIV/0!</v>
      </c>
    </row>
    <row r="35" spans="1:79" ht="26" x14ac:dyDescent="0.3">
      <c r="A35" s="326" t="s">
        <v>247</v>
      </c>
      <c r="B35" s="513" t="s">
        <v>151</v>
      </c>
      <c r="C35" s="429" t="s">
        <v>366</v>
      </c>
      <c r="D35" s="430" t="s">
        <v>11</v>
      </c>
      <c r="E35" s="431" t="s">
        <v>52</v>
      </c>
      <c r="F35" s="526" t="s">
        <v>8</v>
      </c>
      <c r="G35" s="33" t="s">
        <v>61</v>
      </c>
      <c r="H35" s="31" t="str">
        <f t="shared" si="298"/>
        <v>No of Racks</v>
      </c>
      <c r="I35" s="33">
        <v>1</v>
      </c>
      <c r="J35" s="33">
        <v>1</v>
      </c>
      <c r="K35" s="35">
        <f t="shared" si="299"/>
        <v>0</v>
      </c>
      <c r="L35" s="33">
        <v>1</v>
      </c>
      <c r="M35" s="33"/>
      <c r="N35" s="42">
        <f>(9740*70)/12</f>
        <v>56816.666666666664</v>
      </c>
      <c r="O35" s="43" t="str">
        <f t="shared" si="300"/>
        <v>Rated</v>
      </c>
      <c r="P35" s="33" t="s">
        <v>54</v>
      </c>
      <c r="Q35" s="34">
        <v>5</v>
      </c>
      <c r="R35" s="45">
        <v>3.56</v>
      </c>
      <c r="S35" s="46">
        <f t="shared" si="301"/>
        <v>1.44</v>
      </c>
      <c r="T35" s="34"/>
      <c r="U35" s="34">
        <f t="shared" si="302"/>
        <v>0</v>
      </c>
      <c r="V35" s="34">
        <f t="shared" si="303"/>
        <v>0</v>
      </c>
      <c r="W35" s="65">
        <v>0.91</v>
      </c>
      <c r="X35" s="34">
        <f t="shared" si="304"/>
        <v>0</v>
      </c>
      <c r="Y35" s="47">
        <f>120000/12</f>
        <v>10000</v>
      </c>
      <c r="Z35" s="48" t="str">
        <f t="shared" si="305"/>
        <v>Bundled</v>
      </c>
      <c r="AA35" s="34"/>
      <c r="AB35" s="34"/>
      <c r="AC35" s="49"/>
      <c r="AD35" s="34"/>
      <c r="AE35" s="50"/>
      <c r="AF35" s="51"/>
      <c r="AG35" s="34"/>
      <c r="AH35" s="34"/>
      <c r="AI35" s="34">
        <f t="shared" si="306"/>
        <v>0</v>
      </c>
      <c r="AJ35" s="34"/>
      <c r="AK35" s="34"/>
      <c r="AL35" s="42">
        <f t="shared" ref="AL35:AL36" si="325">(0)/12</f>
        <v>0</v>
      </c>
      <c r="AM35" s="52">
        <f t="shared" si="307"/>
        <v>56816.666666666664</v>
      </c>
      <c r="AN35" s="52">
        <f t="shared" si="308"/>
        <v>0</v>
      </c>
      <c r="AO35" s="53">
        <f t="shared" si="309"/>
        <v>0</v>
      </c>
      <c r="AP35" s="52">
        <f t="shared" si="310"/>
        <v>0</v>
      </c>
      <c r="AQ35" s="54">
        <f>((7792+325+9091)*70)/12</f>
        <v>100380</v>
      </c>
      <c r="AR35" s="55">
        <f t="shared" si="311"/>
        <v>157196.66666666666</v>
      </c>
      <c r="AS35" s="55"/>
      <c r="AT35" s="67">
        <v>121001564</v>
      </c>
      <c r="AU35" s="68"/>
      <c r="AV35" s="69"/>
      <c r="AW35" s="68"/>
      <c r="AX35" s="89"/>
      <c r="AY35" s="5"/>
      <c r="AZ35" s="29">
        <f t="shared" si="312"/>
        <v>157196.66666666666</v>
      </c>
      <c r="BA35" s="29" t="e">
        <f t="shared" si="313"/>
        <v>#DIV/0!</v>
      </c>
      <c r="BB35" s="25" t="e">
        <f t="shared" ref="BB35:BC36" si="326">+($AO35+$AP35+$AQ35-BI35)/$X35</f>
        <v>#DIV/0!</v>
      </c>
      <c r="BC35" s="25" t="e">
        <f t="shared" si="326"/>
        <v>#DIV/0!</v>
      </c>
      <c r="BD35" s="25" t="e">
        <f t="shared" ref="BD35:BD36" si="327">+($AO35+$AP35+IF(E35="Bundled",0,V35*0.85*AA35*AC35*30.5*24)-BK35)/$X35</f>
        <v>#DIV/0!</v>
      </c>
      <c r="BE35" s="29"/>
      <c r="BF35" s="26">
        <f t="shared" si="314"/>
        <v>56816.666666666664</v>
      </c>
      <c r="BG35" s="26" t="e">
        <f t="shared" si="315"/>
        <v>#REF!</v>
      </c>
      <c r="BH35" s="26" t="e">
        <f>IF(E35="Bundled",MIN(V35*$AF$1*(1+#REF!),BF35),AO35)</f>
        <v>#REF!</v>
      </c>
      <c r="BI35" s="27">
        <f t="shared" ref="BI35:BI36" si="328">IF($AF35&gt;0,$AF35*$AC$1*$AE$1*(1+$AH$1*(20/$AE$1)/732),$AF$1*W35)</f>
        <v>64.155000000000001</v>
      </c>
      <c r="BJ35" s="27">
        <f t="shared" ref="BJ35:BJ36" si="329">IF($AF35&gt;0,$AF35*$AC$1*$AE$1*(1+$AH$1*(20/$AE$1)/732),+$AF$1*(W35+U35))</f>
        <v>64.155000000000001</v>
      </c>
      <c r="BK35" s="27">
        <f t="shared" si="316"/>
        <v>0</v>
      </c>
      <c r="BL35" s="27" t="e">
        <f t="shared" si="317"/>
        <v>#DIV/0!</v>
      </c>
      <c r="BM35" s="27" t="e">
        <f>+#REF!*V35</f>
        <v>#REF!</v>
      </c>
      <c r="BN35" s="27" t="e">
        <f t="shared" si="318"/>
        <v>#REF!</v>
      </c>
      <c r="BO35" s="27" t="e">
        <f t="shared" si="319"/>
        <v>#REF!</v>
      </c>
      <c r="BP35" s="27" t="e">
        <f t="shared" si="320"/>
        <v>#REF!</v>
      </c>
      <c r="BQ35" s="27">
        <f t="shared" si="321"/>
        <v>0</v>
      </c>
      <c r="BR35" s="27" t="e">
        <f t="shared" si="322"/>
        <v>#DIV/0!</v>
      </c>
      <c r="BS35" s="27">
        <f t="shared" si="323"/>
        <v>-64.155000000000001</v>
      </c>
      <c r="BT35" s="27" t="e">
        <f>IF(E35="Bundled",+(BD35-#REF!)*V35,(AM35+AN35)-V35*#REF!)</f>
        <v>#DIV/0!</v>
      </c>
      <c r="BU35" s="27" t="e">
        <f t="shared" si="324"/>
        <v>#DIV/0!</v>
      </c>
      <c r="BV35" s="27">
        <f t="shared" ref="BV35:BX36" si="330">+BS35/$BS35</f>
        <v>1</v>
      </c>
      <c r="BW35" s="27" t="e">
        <f t="shared" si="330"/>
        <v>#DIV/0!</v>
      </c>
      <c r="BX35" s="27" t="e">
        <f t="shared" si="330"/>
        <v>#DIV/0!</v>
      </c>
    </row>
    <row r="36" spans="1:79" ht="26" x14ac:dyDescent="0.3">
      <c r="A36" s="326" t="s">
        <v>247</v>
      </c>
      <c r="B36" s="513" t="s">
        <v>152</v>
      </c>
      <c r="C36" s="533" t="s">
        <v>381</v>
      </c>
      <c r="D36" s="430" t="s">
        <v>56</v>
      </c>
      <c r="E36" s="431" t="s">
        <v>52</v>
      </c>
      <c r="F36" s="526" t="s">
        <v>8</v>
      </c>
      <c r="G36" s="33" t="s">
        <v>61</v>
      </c>
      <c r="H36" s="31" t="str">
        <f t="shared" si="298"/>
        <v>No of Racks</v>
      </c>
      <c r="I36" s="33">
        <v>1</v>
      </c>
      <c r="J36" s="33">
        <v>1</v>
      </c>
      <c r="K36" s="35">
        <f t="shared" si="299"/>
        <v>0</v>
      </c>
      <c r="L36" s="33">
        <v>1</v>
      </c>
      <c r="M36" s="33"/>
      <c r="N36" s="42">
        <f>(1080*70)</f>
        <v>75600</v>
      </c>
      <c r="O36" s="43" t="str">
        <f t="shared" si="300"/>
        <v>Subscribed</v>
      </c>
      <c r="P36" s="33" t="s">
        <v>58</v>
      </c>
      <c r="Q36" s="34">
        <v>4</v>
      </c>
      <c r="R36" s="66">
        <f>W36</f>
        <v>0.35441666666666666</v>
      </c>
      <c r="S36" s="46">
        <f t="shared" si="301"/>
        <v>3.6455833333333332</v>
      </c>
      <c r="T36" s="34"/>
      <c r="U36" s="34">
        <f t="shared" si="302"/>
        <v>3.6455833333333332</v>
      </c>
      <c r="V36" s="34">
        <f t="shared" si="303"/>
        <v>4</v>
      </c>
      <c r="W36" s="65">
        <f>AD36/30/24</f>
        <v>0.35441666666666666</v>
      </c>
      <c r="X36" s="34">
        <f t="shared" si="304"/>
        <v>0</v>
      </c>
      <c r="Y36" s="47">
        <f>0/12</f>
        <v>0</v>
      </c>
      <c r="Z36" s="48" t="str">
        <f t="shared" si="305"/>
        <v>Bundled</v>
      </c>
      <c r="AA36" s="34"/>
      <c r="AB36" s="34"/>
      <c r="AC36" s="49"/>
      <c r="AD36" s="34">
        <v>255.18</v>
      </c>
      <c r="AE36" s="50"/>
      <c r="AF36" s="51"/>
      <c r="AG36" s="34"/>
      <c r="AH36" s="34"/>
      <c r="AI36" s="34">
        <f t="shared" si="306"/>
        <v>0</v>
      </c>
      <c r="AJ36" s="34"/>
      <c r="AK36" s="34"/>
      <c r="AL36" s="42">
        <f t="shared" si="325"/>
        <v>0</v>
      </c>
      <c r="AM36" s="52">
        <f t="shared" si="307"/>
        <v>75600</v>
      </c>
      <c r="AN36" s="52">
        <f t="shared" si="308"/>
        <v>0</v>
      </c>
      <c r="AO36" s="53">
        <f t="shared" si="309"/>
        <v>0</v>
      </c>
      <c r="AP36" s="52">
        <f t="shared" si="310"/>
        <v>0</v>
      </c>
      <c r="AQ36" s="54">
        <f t="shared" ref="AQ36" si="331">0/12</f>
        <v>0</v>
      </c>
      <c r="AR36" s="55">
        <f t="shared" si="311"/>
        <v>75600</v>
      </c>
      <c r="AS36" s="55"/>
      <c r="AT36" s="67"/>
      <c r="AU36" s="68"/>
      <c r="AV36" s="69"/>
      <c r="AW36" s="68"/>
      <c r="AX36" s="89"/>
      <c r="AY36" s="5"/>
      <c r="AZ36" s="29">
        <f t="shared" si="312"/>
        <v>75600</v>
      </c>
      <c r="BA36" s="29">
        <f t="shared" si="313"/>
        <v>18900</v>
      </c>
      <c r="BB36" s="25" t="e">
        <f t="shared" si="326"/>
        <v>#DIV/0!</v>
      </c>
      <c r="BC36" s="25" t="e">
        <f t="shared" si="326"/>
        <v>#DIV/0!</v>
      </c>
      <c r="BD36" s="25" t="e">
        <f t="shared" si="327"/>
        <v>#DIV/0!</v>
      </c>
      <c r="BE36" s="29"/>
      <c r="BF36" s="26">
        <f t="shared" si="314"/>
        <v>75600</v>
      </c>
      <c r="BG36" s="26" t="e">
        <f t="shared" si="315"/>
        <v>#REF!</v>
      </c>
      <c r="BH36" s="26" t="e">
        <f>IF(E36="Bundled",MIN(V36*$AF$1*(1+#REF!),BF36),AO36)</f>
        <v>#REF!</v>
      </c>
      <c r="BI36" s="27">
        <f t="shared" si="328"/>
        <v>24.986374999999999</v>
      </c>
      <c r="BJ36" s="27">
        <f t="shared" si="329"/>
        <v>282</v>
      </c>
      <c r="BK36" s="27">
        <f t="shared" si="316"/>
        <v>282</v>
      </c>
      <c r="BL36" s="27" t="e">
        <f t="shared" si="317"/>
        <v>#DIV/0!</v>
      </c>
      <c r="BM36" s="27" t="e">
        <f>+#REF!*V36</f>
        <v>#REF!</v>
      </c>
      <c r="BN36" s="27" t="e">
        <f t="shared" si="318"/>
        <v>#REF!</v>
      </c>
      <c r="BO36" s="27" t="e">
        <f t="shared" si="319"/>
        <v>#REF!</v>
      </c>
      <c r="BP36" s="27" t="e">
        <f t="shared" si="320"/>
        <v>#REF!</v>
      </c>
      <c r="BQ36" s="27">
        <f t="shared" si="321"/>
        <v>4</v>
      </c>
      <c r="BR36" s="27" t="e">
        <f t="shared" si="322"/>
        <v>#DIV/0!</v>
      </c>
      <c r="BS36" s="27">
        <f t="shared" si="323"/>
        <v>257.01362499999999</v>
      </c>
      <c r="BT36" s="27" t="e">
        <f>IF(E36="Bundled",+(BD36-#REF!)*V36,(AM36+AN36)-V36*#REF!)</f>
        <v>#DIV/0!</v>
      </c>
      <c r="BU36" s="27" t="e">
        <f t="shared" si="324"/>
        <v>#DIV/0!</v>
      </c>
      <c r="BV36" s="27">
        <f t="shared" si="330"/>
        <v>1</v>
      </c>
      <c r="BW36" s="27" t="e">
        <f t="shared" si="330"/>
        <v>#DIV/0!</v>
      </c>
      <c r="BX36" s="27" t="e">
        <f t="shared" si="330"/>
        <v>#DIV/0!</v>
      </c>
    </row>
    <row r="37" spans="1:79" s="5" customFormat="1" ht="26" x14ac:dyDescent="0.3">
      <c r="A37" s="195" t="s">
        <v>248</v>
      </c>
      <c r="B37" s="512" t="s">
        <v>184</v>
      </c>
      <c r="C37" s="533" t="s">
        <v>340</v>
      </c>
      <c r="D37" s="430" t="s">
        <v>11</v>
      </c>
      <c r="E37" s="431" t="s">
        <v>52</v>
      </c>
      <c r="F37" s="526" t="s">
        <v>8</v>
      </c>
      <c r="G37" s="33" t="s">
        <v>61</v>
      </c>
      <c r="H37" s="31" t="str">
        <f>IF(F37="Rack","No of Racks",(IF(F37="Space","Sq Ft","U Space")))</f>
        <v>No of Racks</v>
      </c>
      <c r="I37" s="33">
        <v>1</v>
      </c>
      <c r="J37" s="33">
        <v>1</v>
      </c>
      <c r="K37" s="35">
        <f>I37-J37</f>
        <v>0</v>
      </c>
      <c r="L37" s="33">
        <v>1</v>
      </c>
      <c r="M37" s="33"/>
      <c r="N37" s="133">
        <f>80000/12</f>
        <v>6666.666666666667</v>
      </c>
      <c r="O37" s="43" t="str">
        <f>D37</f>
        <v>Rated</v>
      </c>
      <c r="P37" s="33" t="s">
        <v>54</v>
      </c>
      <c r="Q37" s="34">
        <v>3</v>
      </c>
      <c r="R37" s="45">
        <v>4.49</v>
      </c>
      <c r="S37" s="46">
        <f>Q37-R37</f>
        <v>-1.4900000000000002</v>
      </c>
      <c r="T37" s="34"/>
      <c r="U37" s="34">
        <f>IF(S37&lt;=0,0,(IF(O37="Rated",(S37+T37)*'Noida-01'!$X$1,(S37+T37))))</f>
        <v>0</v>
      </c>
      <c r="V37" s="34">
        <f>IF(O37="Rated",Q37*'Noida-01'!$X$1,Q37)</f>
        <v>1.5</v>
      </c>
      <c r="W37" s="65">
        <v>1.17</v>
      </c>
      <c r="X37" s="34">
        <f>IF((S37*-1)&gt;0, (S37*-1), 0)</f>
        <v>1.4900000000000002</v>
      </c>
      <c r="Y37" s="47">
        <v>0</v>
      </c>
      <c r="Z37" s="48" t="str">
        <f>E37</f>
        <v>Bundled</v>
      </c>
      <c r="AA37" s="34"/>
      <c r="AB37" s="34"/>
      <c r="AC37" s="49"/>
      <c r="AD37" s="50"/>
      <c r="AE37" s="50"/>
      <c r="AF37" s="51" t="str">
        <f>IF(AE37="No of Seats","No of Seats",(IF(AE37="Space","Sq Ft","")))</f>
        <v/>
      </c>
      <c r="AG37" s="34"/>
      <c r="AH37" s="34"/>
      <c r="AI37" s="34">
        <f>AG37-AH37</f>
        <v>0</v>
      </c>
      <c r="AJ37" s="34"/>
      <c r="AK37" s="34"/>
      <c r="AL37" s="42"/>
      <c r="AM37" s="52">
        <f>N37*L37</f>
        <v>6666.666666666667</v>
      </c>
      <c r="AN37" s="52">
        <f>Y37*X37</f>
        <v>0</v>
      </c>
      <c r="AO37" s="53">
        <f>AD37*AC37*AA37</f>
        <v>0</v>
      </c>
      <c r="AP37" s="52">
        <f>AL37*AJ37</f>
        <v>0</v>
      </c>
      <c r="AQ37" s="54">
        <f>10000/12</f>
        <v>833.33333333333337</v>
      </c>
      <c r="AR37" s="55">
        <f>SUBTOTAL(9,AM37:AQ37)</f>
        <v>7500</v>
      </c>
      <c r="AS37" s="55"/>
      <c r="AT37" s="134" t="s">
        <v>111</v>
      </c>
      <c r="AU37" s="63"/>
      <c r="AV37" s="64"/>
      <c r="AW37" s="63"/>
      <c r="AX37" s="196"/>
      <c r="AZ37" s="25">
        <f>IF(F37="Rack",AR37/I37,0)+IF(F37="U Space",AR37*40/I37,0)+IF(F37="Space",AR37*30/I37,0)</f>
        <v>7500</v>
      </c>
      <c r="BA37" s="25">
        <f>+AR37/V37</f>
        <v>5000</v>
      </c>
      <c r="BB37" s="25">
        <f>+($AM37+$AN37+$AO37-BI37)/$V37</f>
        <v>-9788.1533505555544</v>
      </c>
      <c r="BC37" s="25">
        <f>+($AM37+$AN37+$AO37-BJ37)/$V37</f>
        <v>-9788.1533505555544</v>
      </c>
      <c r="BD37" s="25">
        <f>+($AM37+$AN37+IF(E37="Bundled",0,V37*0.85*AA37*AC37*30.5*24)-BK37)/$V37</f>
        <v>-13802.475805555556</v>
      </c>
      <c r="BE37" s="25"/>
      <c r="BF37" s="26">
        <f>+AM37+AN37+AO37</f>
        <v>6666.666666666667</v>
      </c>
      <c r="BG37" s="26" t="e">
        <f>+BF37-BH37</f>
        <v>#REF!</v>
      </c>
      <c r="BH37" s="26" t="e">
        <f>IF(E37="Bundled",MIN(V37*'Noida-01'!$AG$1*(1+#REF!),BF37),AO37)</f>
        <v>#REF!</v>
      </c>
      <c r="BI37" s="27">
        <f>IF($AD37&gt;0,$AD37*'Noida-01'!$AD$1*'Noida-01'!$AF$1*(1+'Noida-01'!$AI$1*(20/'Noida-01'!$AF$1)/732),'Noida-01'!$AG$1*W37)</f>
        <v>21348.896692499999</v>
      </c>
      <c r="BJ37" s="27">
        <f>IF($AD37&gt;0,$AD37*'Noida-01'!$AD$1*'Noida-01'!$AF$1*(1+'Noida-01'!$AI$1*(20/'Noida-01'!$AF$1)/732),+'Noida-01'!$AG$1*(W37+U37))</f>
        <v>21348.896692499999</v>
      </c>
      <c r="BK37" s="27">
        <f>IF(E37="Bundled",'Noida-01'!$AG$1*V37,'Noida-01'!$AG$1*V37*0.85)</f>
        <v>27370.380375000001</v>
      </c>
      <c r="BL37" s="27">
        <f>+BB37*V37</f>
        <v>-14682.230025833331</v>
      </c>
      <c r="BM37" s="27" t="e">
        <f>+#REF!*V37</f>
        <v>#REF!</v>
      </c>
      <c r="BN37" s="27" t="e">
        <f>+BG37-BM37</f>
        <v>#REF!</v>
      </c>
      <c r="BO37" s="27" t="e">
        <f>+BH37-BI37</f>
        <v>#REF!</v>
      </c>
      <c r="BP37" s="27" t="e">
        <f>+BN37+BO37</f>
        <v>#REF!</v>
      </c>
      <c r="BQ37" s="27">
        <f>+V37</f>
        <v>1.5</v>
      </c>
      <c r="BR37" s="27">
        <f>+BB37</f>
        <v>-9788.1533505555544</v>
      </c>
      <c r="BS37" s="27">
        <f>IF(E37="Bundled",BK37-BI37,AO37-BI37)</f>
        <v>6021.483682500002</v>
      </c>
      <c r="BT37" s="27" t="e">
        <f>IF(E37="Bundled",+(BD37-#REF!)*V37,(AM37+AN37)-V37*#REF!)</f>
        <v>#REF!</v>
      </c>
      <c r="BU37" s="27" t="e">
        <f>+BS37+BT37</f>
        <v>#REF!</v>
      </c>
      <c r="BV37" s="27">
        <f t="shared" ref="BV37:BX38" si="332">+BS37/$BQ37</f>
        <v>4014.3224550000014</v>
      </c>
      <c r="BW37" s="27" t="e">
        <f t="shared" si="332"/>
        <v>#REF!</v>
      </c>
      <c r="BX37" s="27" t="e">
        <f t="shared" si="332"/>
        <v>#REF!</v>
      </c>
    </row>
    <row r="38" spans="1:79" s="16" customFormat="1" ht="26" x14ac:dyDescent="0.3">
      <c r="A38" s="199" t="s">
        <v>248</v>
      </c>
      <c r="B38" s="512" t="s">
        <v>532</v>
      </c>
      <c r="C38" s="454" t="s">
        <v>438</v>
      </c>
      <c r="D38" s="430" t="s">
        <v>56</v>
      </c>
      <c r="E38" s="431" t="s">
        <v>57</v>
      </c>
      <c r="F38" s="526" t="s">
        <v>8</v>
      </c>
      <c r="G38" s="33" t="s">
        <v>61</v>
      </c>
      <c r="H38" s="31" t="str">
        <f t="shared" ref="H38:H39" si="333">IF(F38="Rack","No of Racks",(IF(F38="Space","Sq Ft","U Space")))</f>
        <v>No of Racks</v>
      </c>
      <c r="I38" s="33">
        <v>1</v>
      </c>
      <c r="J38" s="33">
        <v>1</v>
      </c>
      <c r="K38" s="35">
        <f t="shared" ref="K38:K39" si="334">I38-J38</f>
        <v>0</v>
      </c>
      <c r="L38" s="33">
        <v>1</v>
      </c>
      <c r="M38" s="33"/>
      <c r="N38" s="133">
        <f>188000/12</f>
        <v>15666.666666666666</v>
      </c>
      <c r="O38" s="43" t="str">
        <f t="shared" ref="O38:O39" si="335">D38</f>
        <v>Subscribed</v>
      </c>
      <c r="P38" s="33" t="s">
        <v>58</v>
      </c>
      <c r="Q38" s="34">
        <v>3</v>
      </c>
      <c r="R38" s="65">
        <f>W38</f>
        <v>1.5194354838709678</v>
      </c>
      <c r="S38" s="46">
        <f t="shared" ref="S38:S39" si="336">Q38-R38</f>
        <v>1.4805645161290322</v>
      </c>
      <c r="T38" s="34"/>
      <c r="U38" s="34">
        <f t="shared" ref="U38:U39" si="337">IF(S38&lt;=0,0,(IF(O38="Rated",(S38+T38)*$W$1,(S38+T38))))</f>
        <v>1.4805645161290322</v>
      </c>
      <c r="V38" s="34">
        <f t="shared" ref="V38:V39" si="338">IF(O38="Rated",Q38*$W$1,Q38)</f>
        <v>3</v>
      </c>
      <c r="W38" s="65">
        <f t="shared" ref="W38" si="339">AD38/31/24</f>
        <v>1.5194354838709678</v>
      </c>
      <c r="X38" s="34">
        <f>IF((S38*-1)&gt;0, (S38*-1), 0)</f>
        <v>0</v>
      </c>
      <c r="Y38" s="47"/>
      <c r="Z38" s="48" t="str">
        <f t="shared" ref="Z38:Z39" si="340">E38</f>
        <v>Metered</v>
      </c>
      <c r="AA38" s="34">
        <v>1</v>
      </c>
      <c r="AB38" s="34" t="s">
        <v>62</v>
      </c>
      <c r="AC38" s="49"/>
      <c r="AD38" s="34">
        <v>1130.46</v>
      </c>
      <c r="AE38" s="50"/>
      <c r="AF38" s="51" t="str">
        <f>IF(AE38="No of Seats","No of Seats",(IF(AE38="Space","Sq Ft","")))</f>
        <v/>
      </c>
      <c r="AG38" s="34"/>
      <c r="AH38" s="34"/>
      <c r="AI38" s="34">
        <f>AG38-AH38</f>
        <v>0</v>
      </c>
      <c r="AJ38" s="34"/>
      <c r="AK38" s="34"/>
      <c r="AL38" s="42"/>
      <c r="AM38" s="52"/>
      <c r="AN38" s="52">
        <f>Y38*X38</f>
        <v>0</v>
      </c>
      <c r="AO38" s="53">
        <f>AD38*AC38*AA38</f>
        <v>0</v>
      </c>
      <c r="AP38" s="52">
        <f>AL38*AJ38</f>
        <v>0</v>
      </c>
      <c r="AQ38" s="54"/>
      <c r="AR38" s="55">
        <f>SUBTOTAL(9,AM38:AQ38)</f>
        <v>0</v>
      </c>
      <c r="AS38" s="55"/>
      <c r="AT38" s="67"/>
      <c r="AU38" s="68"/>
      <c r="AV38" s="69"/>
      <c r="AW38" s="68"/>
      <c r="AX38" s="89"/>
      <c r="AY38" s="5"/>
      <c r="AZ38" s="29">
        <f>IF(F38="Rack",AR38/I38,0)+IF(F38="U Space",AR38*40/I38,0)+IF(F38="Space",AR38*30/I38,0)</f>
        <v>0</v>
      </c>
      <c r="BA38" s="29">
        <f>+AR38/V38</f>
        <v>0</v>
      </c>
      <c r="BB38" s="25" t="e">
        <f>+($AM38+$AN38+$AO38-BI38)/$V38</f>
        <v>#VALUE!</v>
      </c>
      <c r="BC38" s="25"/>
      <c r="BD38" s="25"/>
      <c r="BE38" s="29"/>
      <c r="BF38" s="26">
        <f>+AM38+AN38+AO38</f>
        <v>0</v>
      </c>
      <c r="BG38" s="26">
        <f>+BF38-BH38</f>
        <v>0</v>
      </c>
      <c r="BH38" s="26">
        <f>IF(E38="Bundled",MIN(V38*$AF$1*(1+#REF!),BF38),AO38)</f>
        <v>0</v>
      </c>
      <c r="BI38" s="27" t="e">
        <f>IF($AD38&gt;0,$AD38*$AC$1*$AE$1*(1+$AH$1*(20/$AE$1)/732),$AF$1*W38)</f>
        <v>#VALUE!</v>
      </c>
      <c r="BJ38" s="27"/>
      <c r="BK38" s="27"/>
      <c r="BL38" s="27" t="e">
        <f>+BB38*V38</f>
        <v>#VALUE!</v>
      </c>
      <c r="BM38" s="27" t="e">
        <f>+#REF!*V38</f>
        <v>#REF!</v>
      </c>
      <c r="BN38" s="27" t="e">
        <f>+BG38-BM38</f>
        <v>#REF!</v>
      </c>
      <c r="BO38" s="27" t="e">
        <f>+BH38-BI38</f>
        <v>#VALUE!</v>
      </c>
      <c r="BP38" s="27" t="e">
        <f>+BN38+BO38</f>
        <v>#REF!</v>
      </c>
      <c r="BQ38" s="27">
        <f>+V38</f>
        <v>3</v>
      </c>
      <c r="BR38" s="27" t="e">
        <f>+BB38</f>
        <v>#VALUE!</v>
      </c>
      <c r="BS38" s="27" t="e">
        <f>IF(E38="Bundled",BK38-BI38,AO38-BI38)</f>
        <v>#VALUE!</v>
      </c>
      <c r="BT38" s="27" t="e">
        <f>IF(E38="Bundled",+(BD38-#REF!)*V38,(AM38+AN38)-V38*#REF!)</f>
        <v>#REF!</v>
      </c>
      <c r="BU38" s="27" t="e">
        <f>+BS38+BT38</f>
        <v>#VALUE!</v>
      </c>
      <c r="BV38" s="27" t="e">
        <f t="shared" si="332"/>
        <v>#VALUE!</v>
      </c>
      <c r="BW38" s="27" t="e">
        <f t="shared" si="332"/>
        <v>#REF!</v>
      </c>
      <c r="BX38" s="27" t="e">
        <f t="shared" si="332"/>
        <v>#VALUE!</v>
      </c>
    </row>
    <row r="39" spans="1:79" x14ac:dyDescent="0.3">
      <c r="A39" s="326" t="s">
        <v>248</v>
      </c>
      <c r="B39" s="514" t="s">
        <v>469</v>
      </c>
      <c r="C39" s="429" t="s">
        <v>349</v>
      </c>
      <c r="D39" s="430" t="s">
        <v>11</v>
      </c>
      <c r="E39" s="431" t="s">
        <v>52</v>
      </c>
      <c r="F39" s="526" t="s">
        <v>60</v>
      </c>
      <c r="G39" s="33" t="s">
        <v>61</v>
      </c>
      <c r="H39" s="31" t="str">
        <f t="shared" si="333"/>
        <v>U Space</v>
      </c>
      <c r="I39" s="33">
        <v>5</v>
      </c>
      <c r="J39" s="33">
        <v>5</v>
      </c>
      <c r="K39" s="35">
        <f t="shared" si="334"/>
        <v>0</v>
      </c>
      <c r="L39" s="33">
        <v>5</v>
      </c>
      <c r="M39" s="33"/>
      <c r="N39" s="42">
        <f>4166.67/2</f>
        <v>2083.335</v>
      </c>
      <c r="O39" s="43" t="str">
        <f t="shared" si="335"/>
        <v>Rated</v>
      </c>
      <c r="P39" s="44" t="s">
        <v>54</v>
      </c>
      <c r="Q39" s="34">
        <v>1.25</v>
      </c>
      <c r="R39" s="45">
        <v>0.78</v>
      </c>
      <c r="S39" s="46">
        <f t="shared" si="336"/>
        <v>0.47</v>
      </c>
      <c r="T39" s="34"/>
      <c r="U39" s="34">
        <f t="shared" si="337"/>
        <v>0</v>
      </c>
      <c r="V39" s="34">
        <f t="shared" si="338"/>
        <v>0</v>
      </c>
      <c r="W39" s="65">
        <v>0.66</v>
      </c>
      <c r="X39" s="34">
        <f t="shared" ref="X39" si="341">IF((S39*-1)&gt;0, (S39*-1), 0)</f>
        <v>0</v>
      </c>
      <c r="Y39" s="47">
        <f>90000/12</f>
        <v>7500</v>
      </c>
      <c r="Z39" s="48" t="str">
        <f t="shared" si="340"/>
        <v>Bundled</v>
      </c>
      <c r="AA39" s="34"/>
      <c r="AB39" s="34"/>
      <c r="AC39" s="49"/>
      <c r="AD39" s="34"/>
      <c r="AE39" s="50"/>
      <c r="AF39" s="51" t="str">
        <f t="shared" ref="AF39" si="342">IF(AE39="No of Seats","No of Seats",(IF(AE39="Space","Sq Ft","")))</f>
        <v/>
      </c>
      <c r="AG39" s="34"/>
      <c r="AH39" s="34"/>
      <c r="AI39" s="34">
        <f t="shared" ref="AI39" si="343">AG39-AH39</f>
        <v>0</v>
      </c>
      <c r="AJ39" s="34"/>
      <c r="AK39" s="34"/>
      <c r="AL39" s="42"/>
      <c r="AM39" s="52">
        <f t="shared" ref="AM39" si="344">N39*L39</f>
        <v>10416.674999999999</v>
      </c>
      <c r="AN39" s="52">
        <f t="shared" ref="AN39" si="345">Y39*X39</f>
        <v>0</v>
      </c>
      <c r="AO39" s="53">
        <f t="shared" ref="AO39" si="346">AD39*AC39*AA39</f>
        <v>0</v>
      </c>
      <c r="AP39" s="52">
        <f t="shared" ref="AP39" si="347">AL39*AJ39</f>
        <v>0</v>
      </c>
      <c r="AQ39" s="54">
        <f>(8334+1000)</f>
        <v>9334</v>
      </c>
      <c r="AR39" s="55">
        <f t="shared" ref="AR39" si="348">SUBTOTAL(9,AM39:AQ39)</f>
        <v>19750.674999999999</v>
      </c>
      <c r="AS39" s="55"/>
      <c r="AT39" s="62">
        <v>121000328</v>
      </c>
      <c r="AU39" s="63"/>
      <c r="AV39" s="64"/>
      <c r="AW39" s="63"/>
      <c r="AX39" s="198"/>
      <c r="AY39" s="5"/>
      <c r="AZ39" s="25">
        <f t="shared" ref="AZ39" si="349">IF(F39="Rack",AR39/I39,0)+IF(F39="U Space",AR39*40/I39,0)+IF(F39="Space",AR39*30/I39,0)</f>
        <v>158005.4</v>
      </c>
      <c r="BA39" s="25" t="e">
        <f t="shared" ref="BA39" si="350">+AR39/V39</f>
        <v>#DIV/0!</v>
      </c>
      <c r="BB39" s="25">
        <f t="shared" ref="BB39:BC39" si="351">+($AP39+$AQ39+$AR39-BI39)/$Y39</f>
        <v>3.8779566666666665</v>
      </c>
      <c r="BC39" s="25">
        <f t="shared" si="351"/>
        <v>3.8779566666666665</v>
      </c>
      <c r="BD39" s="25">
        <f t="shared" ref="BD39" si="352">+($AP39+$AQ39+IF(E39="Bundled",0,V39*0.85*AA39*AC39*30.5*24)-BK39)/$Y39</f>
        <v>1.2445333333333333</v>
      </c>
      <c r="BE39" s="25"/>
      <c r="BF39" s="26">
        <f t="shared" ref="BF39" si="353">+AM39+AN39+AO39</f>
        <v>10416.674999999999</v>
      </c>
      <c r="BG39" s="26" t="e">
        <f t="shared" ref="BG39" si="354">+BF39-BH39</f>
        <v>#REF!</v>
      </c>
      <c r="BH39" s="26" t="e">
        <f>IF(E39="Bundled",MIN(V39*$AG$1*(1+#REF!),BF39),AO39)</f>
        <v>#REF!</v>
      </c>
      <c r="BI39" s="27">
        <f t="shared" ref="BI39" si="355">IF($AG39&gt;0,$AG39*$AD$1*$AF$1*(1+$AI$1*(20/$AF$1)/732),$AG$1*W39)</f>
        <v>0</v>
      </c>
      <c r="BJ39" s="27">
        <f t="shared" ref="BJ39" si="356">IF($AG39&gt;0,$AG39*$AD$1*$AF$1*(1+$AI$1*(20/$AF$1)/732),+$AG$1*(W39+U39))</f>
        <v>0</v>
      </c>
      <c r="BK39" s="27">
        <f t="shared" ref="BK39" si="357">IF(E39="Bundled",$AG$1*V39,$AG$1*V39*0.85)</f>
        <v>0</v>
      </c>
      <c r="BL39" s="27">
        <f t="shared" ref="BL39" si="358">+BB39*V39</f>
        <v>0</v>
      </c>
      <c r="BM39" s="27" t="e">
        <f>+#REF!*V39</f>
        <v>#REF!</v>
      </c>
      <c r="BN39" s="27" t="e">
        <f t="shared" ref="BN39" si="359">+BG39-BM39</f>
        <v>#REF!</v>
      </c>
      <c r="BO39" s="27" t="e">
        <f t="shared" ref="BO39" si="360">+BH39-BI39</f>
        <v>#REF!</v>
      </c>
      <c r="BP39" s="27" t="e">
        <f t="shared" ref="BP39" si="361">+BN39+BO39</f>
        <v>#REF!</v>
      </c>
      <c r="BQ39" s="27">
        <f t="shared" ref="BQ39" si="362">+V39</f>
        <v>0</v>
      </c>
      <c r="BR39" s="27">
        <f t="shared" ref="BR39" si="363">+BB39</f>
        <v>3.8779566666666665</v>
      </c>
      <c r="BS39" s="27">
        <f t="shared" ref="BS39" si="364">IF(E39="Bundled",BK39-BI39,AO39-BI39)</f>
        <v>0</v>
      </c>
      <c r="BT39" s="27" t="e">
        <f>IF(E39="Bundled",+(BD39-#REF!)*V39,(AM39+AN39)-V39*#REF!)</f>
        <v>#REF!</v>
      </c>
      <c r="BU39" s="27" t="e">
        <f t="shared" ref="BU39" si="365">+BS39+BT39</f>
        <v>#REF!</v>
      </c>
      <c r="BV39" s="27" t="e">
        <f t="shared" ref="BV39:BX39" si="366">+BS39/$BT39</f>
        <v>#REF!</v>
      </c>
      <c r="BW39" s="27" t="e">
        <f t="shared" si="366"/>
        <v>#REF!</v>
      </c>
      <c r="BX39" s="27" t="e">
        <f t="shared" si="366"/>
        <v>#REF!</v>
      </c>
    </row>
    <row r="40" spans="1:79" s="16" customFormat="1" ht="65" x14ac:dyDescent="0.3">
      <c r="A40" s="195" t="s">
        <v>248</v>
      </c>
      <c r="B40" s="512" t="s">
        <v>430</v>
      </c>
      <c r="C40" s="538" t="s">
        <v>304</v>
      </c>
      <c r="D40" s="430" t="s">
        <v>11</v>
      </c>
      <c r="E40" s="431" t="s">
        <v>57</v>
      </c>
      <c r="F40" s="526" t="s">
        <v>8</v>
      </c>
      <c r="G40" s="33" t="s">
        <v>61</v>
      </c>
      <c r="H40" s="31" t="str">
        <f t="shared" ref="H40:H45" si="367">IF(F40="Rack","No of Racks",(IF(F40="Space","Sq Ft","U Space")))</f>
        <v>No of Racks</v>
      </c>
      <c r="I40" s="33">
        <v>6</v>
      </c>
      <c r="J40" s="33">
        <v>6</v>
      </c>
      <c r="K40" s="35">
        <f>I40-J40</f>
        <v>0</v>
      </c>
      <c r="L40" s="33">
        <v>6</v>
      </c>
      <c r="M40" s="33"/>
      <c r="N40" s="42">
        <f>260000/12</f>
        <v>21666.666666666668</v>
      </c>
      <c r="O40" s="43" t="str">
        <f>D40</f>
        <v>Rated</v>
      </c>
      <c r="P40" s="33" t="s">
        <v>54</v>
      </c>
      <c r="Q40" s="34">
        <v>45</v>
      </c>
      <c r="R40" s="45">
        <v>26.34</v>
      </c>
      <c r="S40" s="46">
        <f>Q40-R40</f>
        <v>18.66</v>
      </c>
      <c r="T40" s="34"/>
      <c r="U40" s="34">
        <f>IF(S40&lt;=0,0,(IF(O40="Rated",(S40+T40)*'Noida-01'!$X$1,(S40+T40))))</f>
        <v>9.33</v>
      </c>
      <c r="V40" s="34">
        <f>IF(O40="Rated",Q40*'Noida-01'!$X$1,Q40)</f>
        <v>22.5</v>
      </c>
      <c r="W40" s="65">
        <f>AD40/31/24</f>
        <v>5.3492473118279564</v>
      </c>
      <c r="X40" s="34">
        <f>IF((S40*-1)&gt;0, (S40*-1), 0)</f>
        <v>0</v>
      </c>
      <c r="Y40" s="47">
        <v>0</v>
      </c>
      <c r="Z40" s="48" t="str">
        <f>E40</f>
        <v>Metered</v>
      </c>
      <c r="AA40" s="34">
        <v>1</v>
      </c>
      <c r="AB40" s="34" t="s">
        <v>62</v>
      </c>
      <c r="AC40" s="139">
        <v>14.516</v>
      </c>
      <c r="AD40" s="34">
        <v>3979.84</v>
      </c>
      <c r="AE40" s="50" t="s">
        <v>55</v>
      </c>
      <c r="AF40" s="51" t="str">
        <f>IF(AE40="No of Seats","No of Seats",(IF(AE40="Space","Sq Ft","")))</f>
        <v>No of Seats</v>
      </c>
      <c r="AG40" s="34">
        <v>1</v>
      </c>
      <c r="AH40" s="34">
        <v>1</v>
      </c>
      <c r="AI40" s="34">
        <f>AG40-AH40</f>
        <v>0</v>
      </c>
      <c r="AJ40" s="34">
        <v>1</v>
      </c>
      <c r="AK40" s="34"/>
      <c r="AL40" s="42">
        <f>100000/12</f>
        <v>8333.3333333333339</v>
      </c>
      <c r="AM40" s="52">
        <f>N40*L40</f>
        <v>130000</v>
      </c>
      <c r="AN40" s="52">
        <f>Y40*X40</f>
        <v>0</v>
      </c>
      <c r="AO40" s="53">
        <f>AD40*AC40*AA40</f>
        <v>57771.35744</v>
      </c>
      <c r="AP40" s="52">
        <f>AL40*AJ40</f>
        <v>8333.3333333333339</v>
      </c>
      <c r="AQ40" s="54"/>
      <c r="AR40" s="55">
        <f>SUBTOTAL(9,AM40:AQ40)</f>
        <v>196104.69077333334</v>
      </c>
      <c r="AS40" s="55"/>
      <c r="AT40" s="67">
        <v>721005172</v>
      </c>
      <c r="AU40" s="68"/>
      <c r="AV40" s="69"/>
      <c r="AW40" s="68"/>
      <c r="AX40" s="89"/>
      <c r="AZ40" s="25">
        <f>IF(F40="Rack",AR40/I40,0)+IF(F40="U Space",AR40*40/I40,0)+IF(F40="Space",AR40*30/I40,0)</f>
        <v>32684.11512888889</v>
      </c>
      <c r="BA40" s="25">
        <f>+AR40/V40</f>
        <v>8715.7640343703697</v>
      </c>
      <c r="BB40" s="25">
        <f t="shared" ref="BB40:BC42" si="368">+($AM40+$AN40+$AO40-BI40)/$V40</f>
        <v>3546.5083914025495</v>
      </c>
      <c r="BC40" s="25">
        <f t="shared" si="368"/>
        <v>3546.5083914025495</v>
      </c>
      <c r="BD40" s="25">
        <f>+($AM40+$AN40+IF(E40="Bundled",0,V40*0.85*AA40*AC40*30.5*24)-BK40)/$V40</f>
        <v>-700.24923472222349</v>
      </c>
      <c r="BE40" s="25"/>
      <c r="BF40" s="26">
        <f>+AM40+AN40+AO40</f>
        <v>187771.35743999999</v>
      </c>
      <c r="BG40" s="26">
        <f>+BF40-BH40</f>
        <v>130000</v>
      </c>
      <c r="BH40" s="26">
        <f>IF(E40="Bundled",MIN(V40*'Noida-01'!$AG$1*(1+#REF!),BF40),AO40)</f>
        <v>57771.35744</v>
      </c>
      <c r="BI40" s="27">
        <f>IF($AD40&gt;0,$AD40*'Noida-01'!$AD$1*'Noida-01'!$AF$1*(1+'Noida-01'!$AI$1*(20/'Noida-01'!$AF$1)/732),'Noida-01'!$AG$1*W40)</f>
        <v>107974.91863344263</v>
      </c>
      <c r="BJ40" s="27">
        <f>IF($AD40&gt;0,$AD40*'Noida-01'!$AD$1*'Noida-01'!$AF$1*(1+'Noida-01'!$AI$1*(20/'Noida-01'!$AF$1)/732),+'Noida-01'!$AG$1*(W40+U40))</f>
        <v>107974.91863344263</v>
      </c>
      <c r="BK40" s="27">
        <f>IF(E40="Bundled",'Noida-01'!$AG$1*V40,'Noida-01'!$AG$1*V40*0.85)</f>
        <v>348972.34978125</v>
      </c>
      <c r="BL40" s="27">
        <f>+BB40*V40</f>
        <v>79796.438806557358</v>
      </c>
      <c r="BM40" s="27" t="e">
        <f>+#REF!*V40</f>
        <v>#REF!</v>
      </c>
      <c r="BN40" s="27" t="e">
        <f>+BG40-BM40</f>
        <v>#REF!</v>
      </c>
      <c r="BO40" s="27">
        <f>+BH40-BI40</f>
        <v>-50203.561193442634</v>
      </c>
      <c r="BP40" s="27" t="e">
        <f>+BN40+BO40</f>
        <v>#REF!</v>
      </c>
      <c r="BQ40" s="27">
        <f>+V40</f>
        <v>22.5</v>
      </c>
      <c r="BR40" s="27">
        <f>+BB40</f>
        <v>3546.5083914025495</v>
      </c>
      <c r="BS40" s="27">
        <f>IF(E40="Bundled",BK40-BI40,AO40-BI40)</f>
        <v>-50203.561193442634</v>
      </c>
      <c r="BT40" s="27" t="e">
        <f>IF(E40="Bundled",+(BD40-#REF!)*V40,(AM40+AN40)-V40*#REF!)</f>
        <v>#REF!</v>
      </c>
      <c r="BU40" s="27" t="e">
        <f>+BS40+BT40</f>
        <v>#REF!</v>
      </c>
      <c r="BV40" s="27">
        <f t="shared" ref="BV40:BX42" si="369">+BS40/$BQ40</f>
        <v>-2231.2693863752284</v>
      </c>
      <c r="BW40" s="27" t="e">
        <f t="shared" si="369"/>
        <v>#REF!</v>
      </c>
      <c r="BX40" s="27" t="e">
        <f t="shared" si="369"/>
        <v>#REF!</v>
      </c>
    </row>
    <row r="41" spans="1:79" s="16" customFormat="1" ht="39" x14ac:dyDescent="0.3">
      <c r="A41" s="195" t="s">
        <v>248</v>
      </c>
      <c r="B41" s="512" t="s">
        <v>431</v>
      </c>
      <c r="C41" s="538" t="s">
        <v>304</v>
      </c>
      <c r="D41" s="430" t="s">
        <v>11</v>
      </c>
      <c r="E41" s="431" t="s">
        <v>57</v>
      </c>
      <c r="F41" s="526" t="s">
        <v>8</v>
      </c>
      <c r="G41" s="33" t="s">
        <v>61</v>
      </c>
      <c r="H41" s="31" t="str">
        <f t="shared" si="367"/>
        <v>No of Racks</v>
      </c>
      <c r="I41" s="33">
        <v>1</v>
      </c>
      <c r="J41" s="33">
        <v>1</v>
      </c>
      <c r="K41" s="35">
        <f>I41-J41</f>
        <v>0</v>
      </c>
      <c r="L41" s="33">
        <v>1</v>
      </c>
      <c r="M41" s="33"/>
      <c r="N41" s="42">
        <f>260000/12</f>
        <v>21666.666666666668</v>
      </c>
      <c r="O41" s="43" t="str">
        <f>D41</f>
        <v>Rated</v>
      </c>
      <c r="P41" s="33" t="s">
        <v>54</v>
      </c>
      <c r="Q41" s="34">
        <v>3</v>
      </c>
      <c r="R41" s="45">
        <v>8.32</v>
      </c>
      <c r="S41" s="46">
        <f>Q41-R41</f>
        <v>-5.32</v>
      </c>
      <c r="T41" s="34"/>
      <c r="U41" s="34">
        <f>IF(S41&lt;=0,0,(IF(O41="Rated",(S41+T41)*'Noida-01'!$X$1,(S41+T41))))</f>
        <v>0</v>
      </c>
      <c r="V41" s="34">
        <f>IF(O41="Rated",Q41*'Noida-01'!$X$1,Q41)</f>
        <v>1.5</v>
      </c>
      <c r="W41" s="65">
        <f>AD41/31/24</f>
        <v>0.19745967741935486</v>
      </c>
      <c r="X41" s="34">
        <f>IF((S41*-1)&gt;0, (S41*-1), 0)</f>
        <v>5.32</v>
      </c>
      <c r="Y41" s="47">
        <v>0</v>
      </c>
      <c r="Z41" s="48" t="str">
        <f>E41</f>
        <v>Metered</v>
      </c>
      <c r="AA41" s="34">
        <v>1</v>
      </c>
      <c r="AB41" s="34" t="s">
        <v>62</v>
      </c>
      <c r="AC41" s="139">
        <v>14.516</v>
      </c>
      <c r="AD41" s="34">
        <v>146.91</v>
      </c>
      <c r="AE41" s="50"/>
      <c r="AF41" s="51" t="str">
        <f>IF(AE41="No of Seats","No of Seats",(IF(AE41="Space","Sq Ft","")))</f>
        <v/>
      </c>
      <c r="AG41" s="34"/>
      <c r="AH41" s="34"/>
      <c r="AI41" s="34">
        <f>AG41-AH41</f>
        <v>0</v>
      </c>
      <c r="AJ41" s="33"/>
      <c r="AK41" s="34"/>
      <c r="AL41" s="42"/>
      <c r="AM41" s="52">
        <f>N41*L41</f>
        <v>21666.666666666668</v>
      </c>
      <c r="AN41" s="52">
        <f>Y41*X41</f>
        <v>0</v>
      </c>
      <c r="AO41" s="53">
        <f>AD41*AC41*AA41</f>
        <v>2132.54556</v>
      </c>
      <c r="AP41" s="52">
        <f>AL41*AJ41</f>
        <v>0</v>
      </c>
      <c r="AQ41" s="54"/>
      <c r="AR41" s="55">
        <f>SUBTOTAL(9,AM41:AQ41)</f>
        <v>23799.212226666667</v>
      </c>
      <c r="AS41" s="55"/>
      <c r="AT41" s="67">
        <v>121001567</v>
      </c>
      <c r="AU41" s="68"/>
      <c r="AV41" s="69"/>
      <c r="AW41" s="68"/>
      <c r="AX41" s="89"/>
      <c r="AZ41" s="25">
        <f>IF(F41="Rack",AR41/I41,0)+IF(F41="U Space",AR41*40/I41,0)+IF(F41="Space",AR41*30/I41,0)</f>
        <v>23799.212226666667</v>
      </c>
      <c r="BA41" s="25">
        <f>+AR41/V41</f>
        <v>15866.141484444444</v>
      </c>
      <c r="BB41" s="25">
        <f t="shared" si="368"/>
        <v>13208.983525591984</v>
      </c>
      <c r="BC41" s="25">
        <f t="shared" si="368"/>
        <v>13208.983525591984</v>
      </c>
      <c r="BD41" s="25">
        <f>+($AM41+$AN41+IF(E41="Bundled",0,V41*0.85*AA41*AC41*30.5*24)-BK41)/$V41</f>
        <v>7966.4174319444473</v>
      </c>
      <c r="BE41" s="25"/>
      <c r="BF41" s="26">
        <f>+AM41+AN41+AO41</f>
        <v>23799.212226666667</v>
      </c>
      <c r="BG41" s="26">
        <f>+BF41-BH41</f>
        <v>21666.666666666668</v>
      </c>
      <c r="BH41" s="26">
        <f>IF(E41="Bundled",MIN(V41*'Noida-01'!$AG$1*(1+#REF!),BF41),AO41)</f>
        <v>2132.54556</v>
      </c>
      <c r="BI41" s="27">
        <f>IF($AD41&gt;0,$AD41*'Noida-01'!$AD$1*'Noida-01'!$AF$1*(1+'Noida-01'!$AI$1*(20/'Noida-01'!$AF$1)/732),'Noida-01'!$AG$1*W41)</f>
        <v>3985.7369382786883</v>
      </c>
      <c r="BJ41" s="27">
        <f>IF($AD41&gt;0,$AD41*'Noida-01'!$AD$1*'Noida-01'!$AF$1*(1+'Noida-01'!$AI$1*(20/'Noida-01'!$AF$1)/732),+'Noida-01'!$AG$1*(W41+U41))</f>
        <v>3985.7369382786883</v>
      </c>
      <c r="BK41" s="27">
        <f>IF(E41="Bundled",'Noida-01'!$AG$1*V41,'Noida-01'!$AG$1*V41*0.85)</f>
        <v>23264.823318750001</v>
      </c>
      <c r="BL41" s="27">
        <f>+BB41*V41</f>
        <v>19813.475288387977</v>
      </c>
      <c r="BM41" s="27" t="e">
        <f>+#REF!*V41</f>
        <v>#REF!</v>
      </c>
      <c r="BN41" s="27" t="e">
        <f>+BG41-BM41</f>
        <v>#REF!</v>
      </c>
      <c r="BO41" s="27">
        <f>+BH41-BI41</f>
        <v>-1853.1913782786883</v>
      </c>
      <c r="BP41" s="27" t="e">
        <f>+BN41+BO41</f>
        <v>#REF!</v>
      </c>
      <c r="BQ41" s="27">
        <f>+V41</f>
        <v>1.5</v>
      </c>
      <c r="BR41" s="27">
        <f>+BB41</f>
        <v>13208.983525591984</v>
      </c>
      <c r="BS41" s="27">
        <f>IF(E41="Bundled",BK41-BI41,AO41-BI41)</f>
        <v>-1853.1913782786883</v>
      </c>
      <c r="BT41" s="27" t="e">
        <f>IF(E41="Bundled",+(BD41-#REF!)*V41,(AM41+AN41)-V41*#REF!)</f>
        <v>#REF!</v>
      </c>
      <c r="BU41" s="27" t="e">
        <f>+BS41+BT41</f>
        <v>#REF!</v>
      </c>
      <c r="BV41" s="27">
        <f t="shared" si="369"/>
        <v>-1235.4609188524589</v>
      </c>
      <c r="BW41" s="27" t="e">
        <f t="shared" si="369"/>
        <v>#REF!</v>
      </c>
      <c r="BX41" s="27" t="e">
        <f t="shared" si="369"/>
        <v>#REF!</v>
      </c>
    </row>
    <row r="42" spans="1:79" s="16" customFormat="1" ht="78" x14ac:dyDescent="0.3">
      <c r="A42" s="199" t="s">
        <v>248</v>
      </c>
      <c r="B42" s="512" t="s">
        <v>209</v>
      </c>
      <c r="C42" s="538" t="s">
        <v>304</v>
      </c>
      <c r="D42" s="430" t="s">
        <v>11</v>
      </c>
      <c r="E42" s="431" t="s">
        <v>57</v>
      </c>
      <c r="F42" s="526" t="s">
        <v>8</v>
      </c>
      <c r="G42" s="33" t="s">
        <v>61</v>
      </c>
      <c r="H42" s="31" t="str">
        <f t="shared" si="367"/>
        <v>No of Racks</v>
      </c>
      <c r="I42" s="33">
        <v>6</v>
      </c>
      <c r="J42" s="33">
        <v>6</v>
      </c>
      <c r="K42" s="35">
        <f>I42-J42</f>
        <v>0</v>
      </c>
      <c r="L42" s="33">
        <v>6</v>
      </c>
      <c r="M42" s="33"/>
      <c r="N42" s="42">
        <f>260000/12</f>
        <v>21666.666666666668</v>
      </c>
      <c r="O42" s="43" t="str">
        <f>D42</f>
        <v>Rated</v>
      </c>
      <c r="P42" s="33" t="s">
        <v>54</v>
      </c>
      <c r="Q42" s="34">
        <v>50</v>
      </c>
      <c r="R42" s="45">
        <v>43.1</v>
      </c>
      <c r="S42" s="46">
        <f>Q42-R42</f>
        <v>6.8999999999999986</v>
      </c>
      <c r="T42" s="34"/>
      <c r="U42" s="34">
        <f>IF(S42&lt;=0,0,(IF(O42="Rated",(S42+T42)*'Noida-01'!$X$1,(S42+T42))))</f>
        <v>3.4499999999999993</v>
      </c>
      <c r="V42" s="34">
        <f>IF(O42="Rated",Q42*'Noida-01'!$X$1,Q42)</f>
        <v>25</v>
      </c>
      <c r="W42" s="65">
        <f>AD42/31/24</f>
        <v>3.2056854838709676</v>
      </c>
      <c r="X42" s="34">
        <f>IF((S42*-1)&gt;0, (S42*-1), 0)</f>
        <v>0</v>
      </c>
      <c r="Y42" s="47">
        <v>0</v>
      </c>
      <c r="Z42" s="48" t="str">
        <f>E42</f>
        <v>Metered</v>
      </c>
      <c r="AA42" s="34">
        <v>1</v>
      </c>
      <c r="AB42" s="34" t="s">
        <v>62</v>
      </c>
      <c r="AC42" s="139">
        <v>14.516</v>
      </c>
      <c r="AD42" s="34">
        <v>2385.0300000000002</v>
      </c>
      <c r="AE42" s="50" t="s">
        <v>55</v>
      </c>
      <c r="AF42" s="51" t="str">
        <f>IF(AE42="No of Seats","No of Seats",(IF(AE42="Space","Sq Ft","")))</f>
        <v>No of Seats</v>
      </c>
      <c r="AG42" s="34">
        <v>1</v>
      </c>
      <c r="AH42" s="34">
        <v>1</v>
      </c>
      <c r="AI42" s="34">
        <f>AG42-AH42</f>
        <v>0</v>
      </c>
      <c r="AJ42" s="34">
        <v>1</v>
      </c>
      <c r="AK42" s="34"/>
      <c r="AL42" s="42">
        <f>100000/12</f>
        <v>8333.3333333333339</v>
      </c>
      <c r="AM42" s="52">
        <f>N42*L42</f>
        <v>130000</v>
      </c>
      <c r="AN42" s="52">
        <f>Y42*X42</f>
        <v>0</v>
      </c>
      <c r="AO42" s="53">
        <f>AD42*AC42*AA42</f>
        <v>34621.095480000004</v>
      </c>
      <c r="AP42" s="52">
        <f>AL42*AJ42</f>
        <v>8333.3333333333339</v>
      </c>
      <c r="AQ42" s="54">
        <v>0</v>
      </c>
      <c r="AR42" s="55">
        <f>SUBTOTAL(9,AM42:AQ42)</f>
        <v>172954.42881333336</v>
      </c>
      <c r="AS42" s="55"/>
      <c r="AT42" s="67" t="s">
        <v>70</v>
      </c>
      <c r="AU42" s="68"/>
      <c r="AV42" s="69"/>
      <c r="AW42" s="68"/>
      <c r="AX42" s="89"/>
      <c r="AZ42" s="25">
        <f>IF(F42="Rack",AR42/I42,0)+IF(F42="U Space",AR42*40/I42,0)+IF(F42="Space",AR42*30/I42,0)</f>
        <v>28825.738135555559</v>
      </c>
      <c r="BA42" s="25">
        <f>+AR42/V42</f>
        <v>6918.1771525333343</v>
      </c>
      <c r="BB42" s="25">
        <f t="shared" si="368"/>
        <v>3996.5646905081971</v>
      </c>
      <c r="BC42" s="25">
        <f t="shared" si="368"/>
        <v>3996.5646905081971</v>
      </c>
      <c r="BD42" s="25">
        <f>+($AM42+$AN42+IF(E42="Bundled",0,V42*0.85*AA42*AC42*30.5*24)-BK42)/$V42</f>
        <v>-1278.0270124999993</v>
      </c>
      <c r="BE42" s="25"/>
      <c r="BF42" s="26">
        <f>+AM42+AN42+AO42</f>
        <v>164621.09548000002</v>
      </c>
      <c r="BG42" s="26">
        <f>+BF42-BH42</f>
        <v>130000.00000000001</v>
      </c>
      <c r="BH42" s="26">
        <f>IF(E42="Bundled",MIN(V42*'Noida-01'!$AG$1*(1+#REF!),BF42),AO42)</f>
        <v>34621.095480000004</v>
      </c>
      <c r="BI42" s="27">
        <f>IF($AD42&gt;0,$AD42*'Noida-01'!$AD$1*'Noida-01'!$AF$1*(1+'Noida-01'!$AI$1*(20/'Noida-01'!$AF$1)/732),'Noida-01'!$AG$1*W42)</f>
        <v>64706.978217295095</v>
      </c>
      <c r="BJ42" s="27">
        <f>IF($AD42&gt;0,$AD42*'Noida-01'!$AD$1*'Noida-01'!$AF$1*(1+'Noida-01'!$AI$1*(20/'Noida-01'!$AF$1)/732),+'Noida-01'!$AG$1*(W42+U42))</f>
        <v>64706.978217295095</v>
      </c>
      <c r="BK42" s="27">
        <f>IF(E42="Bundled",'Noida-01'!$AG$1*V42,'Noida-01'!$AG$1*V42*0.85)</f>
        <v>387747.05531249999</v>
      </c>
      <c r="BL42" s="27">
        <f>+BB42*V42</f>
        <v>99914.117262704924</v>
      </c>
      <c r="BM42" s="27" t="e">
        <f>+#REF!*V42</f>
        <v>#REF!</v>
      </c>
      <c r="BN42" s="27" t="e">
        <f>+BG42-BM42</f>
        <v>#REF!</v>
      </c>
      <c r="BO42" s="27">
        <f>+BH42-BI42</f>
        <v>-30085.882737295091</v>
      </c>
      <c r="BP42" s="27" t="e">
        <f>+BN42+BO42</f>
        <v>#REF!</v>
      </c>
      <c r="BQ42" s="27">
        <f>+V42</f>
        <v>25</v>
      </c>
      <c r="BR42" s="27">
        <f>+BB42</f>
        <v>3996.5646905081971</v>
      </c>
      <c r="BS42" s="27">
        <f>IF(E42="Bundled",BK42-BI42,AO42-BI42)</f>
        <v>-30085.882737295091</v>
      </c>
      <c r="BT42" s="27" t="e">
        <f>IF(E42="Bundled",+(BD42-#REF!)*V42,(AM42+AN42)-V42*#REF!)</f>
        <v>#REF!</v>
      </c>
      <c r="BU42" s="27" t="e">
        <f>+BS42+BT42</f>
        <v>#REF!</v>
      </c>
      <c r="BV42" s="27">
        <f t="shared" si="369"/>
        <v>-1203.4353094918035</v>
      </c>
      <c r="BW42" s="27" t="e">
        <f t="shared" si="369"/>
        <v>#REF!</v>
      </c>
      <c r="BX42" s="27" t="e">
        <f t="shared" si="369"/>
        <v>#REF!</v>
      </c>
    </row>
    <row r="43" spans="1:79" s="5" customFormat="1" ht="39" x14ac:dyDescent="0.3">
      <c r="A43" s="195" t="s">
        <v>248</v>
      </c>
      <c r="B43" s="512" t="s">
        <v>197</v>
      </c>
      <c r="C43" s="429" t="s">
        <v>343</v>
      </c>
      <c r="D43" s="430" t="s">
        <v>11</v>
      </c>
      <c r="E43" s="431" t="s">
        <v>52</v>
      </c>
      <c r="F43" s="526" t="s">
        <v>8</v>
      </c>
      <c r="G43" s="33" t="s">
        <v>61</v>
      </c>
      <c r="H43" s="31" t="str">
        <f t="shared" si="367"/>
        <v>No of Racks</v>
      </c>
      <c r="I43" s="33">
        <v>1</v>
      </c>
      <c r="J43" s="33">
        <v>1</v>
      </c>
      <c r="K43" s="35">
        <v>0</v>
      </c>
      <c r="L43" s="33">
        <v>1</v>
      </c>
      <c r="M43" s="49"/>
      <c r="N43" s="137">
        <f>((860000+550000+200000)/3)/12</f>
        <v>44722.222222222219</v>
      </c>
      <c r="O43" s="43" t="str">
        <f t="shared" ref="O43" si="370">D43</f>
        <v>Rated</v>
      </c>
      <c r="P43" s="33" t="s">
        <v>54</v>
      </c>
      <c r="Q43" s="34">
        <v>6</v>
      </c>
      <c r="R43" s="45">
        <v>6</v>
      </c>
      <c r="S43" s="46">
        <f t="shared" ref="S43" si="371">Q43-R43</f>
        <v>0</v>
      </c>
      <c r="T43" s="34"/>
      <c r="U43" s="34">
        <f t="shared" ref="U43" si="372">IF(S43&lt;=0,0,(IF(O43="Rated",(S43+T43)*$X$1,(S43+T43))))</f>
        <v>0</v>
      </c>
      <c r="V43" s="34" t="e">
        <f t="shared" ref="V43" si="373">IF(O43="Rated",Q43*$X$1,Q43)</f>
        <v>#REF!</v>
      </c>
      <c r="W43" s="65">
        <v>1.87</v>
      </c>
      <c r="X43" s="34">
        <f t="shared" ref="X43" si="374">IF((S43*-1)&gt;0, (S43*-1), 0)</f>
        <v>0</v>
      </c>
      <c r="Y43" s="47">
        <f>90000/12</f>
        <v>7500</v>
      </c>
      <c r="Z43" s="48" t="str">
        <f t="shared" ref="Z43" si="375">E43</f>
        <v>Bundled</v>
      </c>
      <c r="AA43" s="34"/>
      <c r="AB43" s="34"/>
      <c r="AC43" s="49"/>
      <c r="AD43" s="34"/>
      <c r="AE43" s="50"/>
      <c r="AF43" s="51" t="str">
        <f t="shared" ref="AF43" si="376">IF(AE43="No of Seats","No of Seats",(IF(AE43="Space","Sq Ft","")))</f>
        <v/>
      </c>
      <c r="AG43" s="34"/>
      <c r="AH43" s="34"/>
      <c r="AI43" s="34">
        <f t="shared" ref="AI43" si="377">AG43-AH43</f>
        <v>0</v>
      </c>
      <c r="AJ43" s="34"/>
      <c r="AK43" s="34"/>
      <c r="AL43" s="42"/>
      <c r="AM43" s="52">
        <f t="shared" ref="AM43" si="378">N43*L43</f>
        <v>44722.222222222219</v>
      </c>
      <c r="AN43" s="52">
        <f t="shared" ref="AN43" si="379">Y43*X43</f>
        <v>0</v>
      </c>
      <c r="AO43" s="53">
        <f t="shared" ref="AO43" si="380">AD43*AC43*AA43</f>
        <v>0</v>
      </c>
      <c r="AP43" s="52">
        <f t="shared" ref="AP43" si="381">AL43*AJ43</f>
        <v>0</v>
      </c>
      <c r="AQ43" s="54">
        <f>(20000+200000+50000+5000)/12</f>
        <v>22916.666666666668</v>
      </c>
      <c r="AR43" s="55">
        <f t="shared" ref="AR43" si="382">SUBTOTAL(9,AM43:AQ43)</f>
        <v>67638.888888888891</v>
      </c>
      <c r="AS43" s="55"/>
      <c r="AT43" s="134" t="s">
        <v>111</v>
      </c>
      <c r="AU43" s="63"/>
      <c r="AV43" s="64"/>
      <c r="AW43" s="63"/>
      <c r="AX43" s="196"/>
      <c r="AZ43" s="25">
        <f t="shared" ref="AZ43" si="383">IF(F43="Rack",AR43/I43,0)+IF(F43="U Space",AR43*40/I43,0)+IF(F43="Space",AR43*30/I43,0)</f>
        <v>67638.888888888891</v>
      </c>
      <c r="BA43" s="25" t="e">
        <f t="shared" ref="BA43" si="384">+AR43/V43</f>
        <v>#REF!</v>
      </c>
      <c r="BB43" s="25" t="e">
        <f>+($AM43+$AN43+$AO43-BI43)/$V43</f>
        <v>#REF!</v>
      </c>
      <c r="BC43" s="25" t="e">
        <f>+($AM43+$AN43+$AO43-BJ43)/$V43</f>
        <v>#REF!</v>
      </c>
      <c r="BD43" s="25" t="e">
        <f>+($AM43+$AN43+IF(E43="Bundled",0,V43*0.85*AA43*AC43*30.5*24)-BK43)/$V43</f>
        <v>#REF!</v>
      </c>
      <c r="BE43" s="25"/>
      <c r="BF43" s="26">
        <f t="shared" ref="BF43" si="385">+AM43+AN43+AO43</f>
        <v>44722.222222222219</v>
      </c>
      <c r="BG43" s="26" t="e">
        <f t="shared" ref="BG43" si="386">+BF43-BH43</f>
        <v>#REF!</v>
      </c>
      <c r="BH43" s="26" t="e">
        <f>IF(E43="Bundled",MIN(V43*$AG$1*(1+#REF!),BF43),AO43)</f>
        <v>#REF!</v>
      </c>
      <c r="BI43" s="27">
        <f>IF($AD43&gt;0,$AD43*$AD$1*$AF$1*(1+$AI$1*(20/$AF$1)/732),$AG$1*W43)</f>
        <v>0</v>
      </c>
      <c r="BJ43" s="27">
        <f>IF($AD43&gt;0,$AD43*$AD$1*$AF$1*(1+$AI$1*(20/$AF$1)/732),+$AG$1*(W43+U43))</f>
        <v>0</v>
      </c>
      <c r="BK43" s="27" t="e">
        <f t="shared" ref="BK43" si="387">IF(E43="Bundled",$AG$1*V43,$AG$1*V43*0.85)</f>
        <v>#REF!</v>
      </c>
      <c r="BL43" s="27" t="e">
        <f t="shared" ref="BL43" si="388">+BB43*V43</f>
        <v>#REF!</v>
      </c>
      <c r="BM43" s="27" t="e">
        <f>+#REF!*V43</f>
        <v>#REF!</v>
      </c>
      <c r="BN43" s="27" t="e">
        <f t="shared" ref="BN43" si="389">+BG43-BM43</f>
        <v>#REF!</v>
      </c>
      <c r="BO43" s="27" t="e">
        <f t="shared" ref="BO43" si="390">+BH43-BI43</f>
        <v>#REF!</v>
      </c>
      <c r="BP43" s="27" t="e">
        <f t="shared" ref="BP43" si="391">+BN43+BO43</f>
        <v>#REF!</v>
      </c>
      <c r="BQ43" s="27" t="e">
        <f t="shared" ref="BQ43" si="392">+V43</f>
        <v>#REF!</v>
      </c>
      <c r="BR43" s="27" t="e">
        <f t="shared" ref="BR43" si="393">+BB43</f>
        <v>#REF!</v>
      </c>
      <c r="BS43" s="27" t="e">
        <f t="shared" ref="BS43" si="394">IF(E43="Bundled",BK43-BI43,AO43-BI43)</f>
        <v>#REF!</v>
      </c>
      <c r="BT43" s="27" t="e">
        <f>IF(E43="Bundled",+(BD43-#REF!)*V43,(AM43+AN43)-V43*#REF!)</f>
        <v>#REF!</v>
      </c>
      <c r="BU43" s="27" t="e">
        <f t="shared" ref="BU43" si="395">+BS43+BT43</f>
        <v>#REF!</v>
      </c>
      <c r="BV43" s="27" t="e">
        <f t="shared" ref="BV43:BX44" si="396">+BS43/$BQ43</f>
        <v>#REF!</v>
      </c>
      <c r="BW43" s="27" t="e">
        <f t="shared" si="396"/>
        <v>#REF!</v>
      </c>
      <c r="BX43" s="27" t="e">
        <f t="shared" si="396"/>
        <v>#REF!</v>
      </c>
    </row>
    <row r="44" spans="1:79" s="16" customFormat="1" ht="26" x14ac:dyDescent="0.3">
      <c r="A44" s="199" t="s">
        <v>248</v>
      </c>
      <c r="B44" s="32" t="s">
        <v>203</v>
      </c>
      <c r="C44" s="279" t="s">
        <v>353</v>
      </c>
      <c r="D44" s="33" t="s">
        <v>11</v>
      </c>
      <c r="E44" s="34" t="s">
        <v>52</v>
      </c>
      <c r="F44" s="33" t="s">
        <v>8</v>
      </c>
      <c r="G44" s="33" t="s">
        <v>61</v>
      </c>
      <c r="H44" s="31" t="str">
        <f t="shared" si="367"/>
        <v>No of Racks</v>
      </c>
      <c r="I44" s="33">
        <v>2</v>
      </c>
      <c r="J44" s="33">
        <v>2</v>
      </c>
      <c r="K44" s="35">
        <f>I44-J44</f>
        <v>0</v>
      </c>
      <c r="L44" s="33">
        <v>2</v>
      </c>
      <c r="M44" s="33"/>
      <c r="N44" s="133">
        <f>600000/12</f>
        <v>50000</v>
      </c>
      <c r="O44" s="43" t="str">
        <f>D44</f>
        <v>Rated</v>
      </c>
      <c r="P44" s="33" t="s">
        <v>54</v>
      </c>
      <c r="Q44" s="34">
        <v>6</v>
      </c>
      <c r="R44" s="45">
        <v>4.68</v>
      </c>
      <c r="S44" s="46">
        <f>Q44-R44</f>
        <v>1.3200000000000003</v>
      </c>
      <c r="T44" s="34"/>
      <c r="U44" s="34">
        <f>IF(S44&lt;=0,0,(IF(O44="Rated",(S44+T44)*'Noida-01'!$X$1,(S44+T44))))</f>
        <v>0.66000000000000014</v>
      </c>
      <c r="V44" s="34">
        <f>IF(O44="Rated",Q44*'Noida-01'!$X$1,Q44)</f>
        <v>3</v>
      </c>
      <c r="W44" s="65">
        <v>0.93</v>
      </c>
      <c r="X44" s="34">
        <f>IF((S44*-1)&gt;0, (S44*-1), 0)</f>
        <v>0</v>
      </c>
      <c r="Y44" s="47">
        <f>98000/12</f>
        <v>8166.666666666667</v>
      </c>
      <c r="Z44" s="48" t="str">
        <f>E44</f>
        <v>Bundled</v>
      </c>
      <c r="AA44" s="34"/>
      <c r="AB44" s="34"/>
      <c r="AC44" s="49"/>
      <c r="AD44" s="34"/>
      <c r="AE44" s="50"/>
      <c r="AF44" s="51" t="str">
        <f>IF(AE44="No of Seats","No of Seats",(IF(AE44="Space","Sq Ft","")))</f>
        <v/>
      </c>
      <c r="AG44" s="34"/>
      <c r="AH44" s="34"/>
      <c r="AI44" s="34">
        <f>AG44-AH44</f>
        <v>0</v>
      </c>
      <c r="AJ44" s="34"/>
      <c r="AK44" s="34"/>
      <c r="AL44" s="42"/>
      <c r="AM44" s="52">
        <f>N44*L44</f>
        <v>100000</v>
      </c>
      <c r="AN44" s="52">
        <f>Y44*X44</f>
        <v>0</v>
      </c>
      <c r="AO44" s="53">
        <f>AD44*AC44*AA44</f>
        <v>0</v>
      </c>
      <c r="AP44" s="52">
        <f>AL44*AJ44</f>
        <v>0</v>
      </c>
      <c r="AQ44" s="54">
        <f>(120000)/12</f>
        <v>10000</v>
      </c>
      <c r="AR44" s="55">
        <f>SUBTOTAL(9,AM44:AQ44)</f>
        <v>110000</v>
      </c>
      <c r="AS44" s="55"/>
      <c r="AT44" s="67">
        <v>721005561</v>
      </c>
      <c r="AU44" s="68"/>
      <c r="AV44" s="69"/>
      <c r="AW44" s="68"/>
      <c r="AX44" s="89"/>
      <c r="AY44" s="5"/>
      <c r="AZ44" s="29">
        <f>IF(F44="Rack",AR44/I44,0)+IF(F44="U Space",AR44*40/I44,0)+IF(F44="Space",AR44*30/I44,0)</f>
        <v>55000</v>
      </c>
      <c r="BA44" s="29">
        <f>+AR44/V44</f>
        <v>36666.666666666664</v>
      </c>
      <c r="BB44" s="25">
        <f>+($AM44+$AN44+$AO44-BI44)/$V44</f>
        <v>27676.788055833331</v>
      </c>
      <c r="BC44" s="25">
        <f>+($AM44+$AN44+$AO44-BJ44)/$V44</f>
        <v>23662.46560083333</v>
      </c>
      <c r="BD44" s="25">
        <f>+($AM44+$AN44+IF(E44="Bundled",0,V44*0.85*AA44*AC44*30.5*24)-BK44)/$V44</f>
        <v>15086.413083333333</v>
      </c>
      <c r="BE44" s="29"/>
      <c r="BF44" s="26">
        <f>+AM44+AN44+AO44</f>
        <v>100000</v>
      </c>
      <c r="BG44" s="26" t="e">
        <f>+BF44-BH44</f>
        <v>#REF!</v>
      </c>
      <c r="BH44" s="26" t="e">
        <f>IF(E44="Bundled",MIN(V44*'Noida-01'!$AG$1*(1+#REF!),BF44),AO44)</f>
        <v>#REF!</v>
      </c>
      <c r="BI44" s="27">
        <f>IF($AD44&gt;0,$AD44*'Noida-01'!$AD$1*'Noida-01'!$AF$1*(1+'Noida-01'!$AI$1*(20/'Noida-01'!$AF$1)/732),'Noida-01'!$AG$1*W44)</f>
        <v>16969.6358325</v>
      </c>
      <c r="BJ44" s="27">
        <f>IF($AD44&gt;0,$AD44*'Noida-01'!$AD$1*'Noida-01'!$AF$1*(1+'Noida-01'!$AI$1*(20/'Noida-01'!$AF$1)/732),+'Noida-01'!$AG$1*(W44+U44))</f>
        <v>29012.603197500004</v>
      </c>
      <c r="BK44" s="27">
        <f>IF(E44="Bundled",'Noida-01'!$AG$1*V44,'Noida-01'!$AG$1*V44*0.85)</f>
        <v>54740.760750000001</v>
      </c>
      <c r="BL44" s="27">
        <f>+BB44*V44</f>
        <v>83030.364167499996</v>
      </c>
      <c r="BM44" s="27" t="e">
        <f>+#REF!*V44</f>
        <v>#REF!</v>
      </c>
      <c r="BN44" s="27" t="e">
        <f>+BG44-BM44</f>
        <v>#REF!</v>
      </c>
      <c r="BO44" s="27" t="e">
        <f>+BH44-BI44</f>
        <v>#REF!</v>
      </c>
      <c r="BP44" s="27" t="e">
        <f>+BN44+BO44</f>
        <v>#REF!</v>
      </c>
      <c r="BQ44" s="27">
        <f>+V44</f>
        <v>3</v>
      </c>
      <c r="BR44" s="27">
        <f>+BB44</f>
        <v>27676.788055833331</v>
      </c>
      <c r="BS44" s="27">
        <f>IF(E44="Bundled",BK44-BI44,AO44-BI44)</f>
        <v>37771.124917499998</v>
      </c>
      <c r="BT44" s="27" t="e">
        <f>IF(E44="Bundled",+(BD44-#REF!)*V44,(AM44+AN44)-V44*#REF!)</f>
        <v>#REF!</v>
      </c>
      <c r="BU44" s="27" t="e">
        <f>+BS44+BT44</f>
        <v>#REF!</v>
      </c>
      <c r="BV44" s="27">
        <f t="shared" si="396"/>
        <v>12590.3749725</v>
      </c>
      <c r="BW44" s="27" t="e">
        <f t="shared" si="396"/>
        <v>#REF!</v>
      </c>
      <c r="BX44" s="27" t="e">
        <f t="shared" si="396"/>
        <v>#REF!</v>
      </c>
    </row>
    <row r="45" spans="1:79" s="16" customFormat="1" ht="26" x14ac:dyDescent="0.3">
      <c r="A45" s="199" t="s">
        <v>130</v>
      </c>
      <c r="B45" s="32" t="s">
        <v>167</v>
      </c>
      <c r="C45" s="32" t="s">
        <v>445</v>
      </c>
      <c r="D45" s="33" t="s">
        <v>11</v>
      </c>
      <c r="E45" s="34" t="s">
        <v>52</v>
      </c>
      <c r="F45" s="33" t="s">
        <v>8</v>
      </c>
      <c r="G45" s="33" t="s">
        <v>61</v>
      </c>
      <c r="H45" s="31" t="str">
        <f t="shared" si="367"/>
        <v>No of Racks</v>
      </c>
      <c r="I45" s="33">
        <v>1</v>
      </c>
      <c r="J45" s="33">
        <v>1</v>
      </c>
      <c r="K45" s="35">
        <v>0</v>
      </c>
      <c r="L45" s="33">
        <v>1</v>
      </c>
      <c r="M45" s="33"/>
      <c r="N45" s="42"/>
      <c r="O45" s="43" t="str">
        <f>D45</f>
        <v>Rated</v>
      </c>
      <c r="P45" s="33" t="s">
        <v>54</v>
      </c>
      <c r="Q45" s="34">
        <v>12</v>
      </c>
      <c r="R45" s="45">
        <v>7.31</v>
      </c>
      <c r="S45" s="46">
        <f>Q45-R45</f>
        <v>4.6900000000000004</v>
      </c>
      <c r="T45" s="34"/>
      <c r="U45" s="34">
        <f>IF(S45&lt;=0,0,(IF(O45="Rated",(S45+T45)*'Noida-01'!$X$1,(S45+T45))))</f>
        <v>2.3450000000000002</v>
      </c>
      <c r="V45" s="34">
        <f>IF(O45="Rated",Q45*'Noida-01'!$X$1,Q45)</f>
        <v>6</v>
      </c>
      <c r="W45" s="65">
        <f>AD45/30/24</f>
        <v>6.3906944444444447</v>
      </c>
      <c r="X45" s="34"/>
      <c r="Y45" s="47"/>
      <c r="Z45" s="48" t="str">
        <f>E45</f>
        <v>Bundled</v>
      </c>
      <c r="AA45" s="34"/>
      <c r="AB45" s="34"/>
      <c r="AC45" s="49"/>
      <c r="AD45" s="34">
        <v>4601.3</v>
      </c>
      <c r="AE45" s="50"/>
      <c r="AF45" s="51"/>
      <c r="AG45" s="34"/>
      <c r="AH45" s="34"/>
      <c r="AI45" s="34"/>
      <c r="AJ45" s="34"/>
      <c r="AK45" s="34"/>
      <c r="AL45" s="42"/>
      <c r="AM45" s="52"/>
      <c r="AN45" s="52"/>
      <c r="AO45" s="53"/>
      <c r="AP45" s="52"/>
      <c r="AQ45" s="54"/>
      <c r="AR45" s="55"/>
      <c r="AS45" s="55"/>
      <c r="AT45" s="67"/>
      <c r="AU45" s="68"/>
      <c r="AV45" s="69"/>
      <c r="AW45" s="68"/>
      <c r="AX45" s="89"/>
      <c r="AY45" s="5"/>
      <c r="AZ45" s="71"/>
      <c r="BA45" s="71"/>
      <c r="BB45" s="71"/>
      <c r="BC45" s="71"/>
      <c r="BD45" s="71"/>
      <c r="BE45" s="71"/>
      <c r="BF45" s="72"/>
      <c r="BG45" s="72"/>
      <c r="BH45" s="72"/>
      <c r="BI45" s="73"/>
      <c r="BJ45" s="73"/>
      <c r="BK45" s="73">
        <f>IF(E45="Bundled",'Noida-01'!$AG$1*V45,'Noida-01'!$AG$1*V45*0.85)</f>
        <v>109481.5215</v>
      </c>
      <c r="BL45" s="73"/>
      <c r="BM45" s="73"/>
      <c r="BN45" s="73"/>
      <c r="BO45" s="73"/>
      <c r="BP45" s="73"/>
      <c r="BQ45" s="73">
        <f>+V45</f>
        <v>6</v>
      </c>
      <c r="BR45" s="73"/>
      <c r="BS45" s="73"/>
      <c r="BT45" s="73"/>
      <c r="BU45" s="73"/>
      <c r="BY45" s="73"/>
      <c r="BZ45" s="73"/>
      <c r="CA45" s="73"/>
    </row>
    <row r="46" spans="1:79" s="16" customFormat="1" ht="26" x14ac:dyDescent="0.3">
      <c r="A46" s="199" t="s">
        <v>248</v>
      </c>
      <c r="B46" s="32" t="s">
        <v>533</v>
      </c>
      <c r="C46" s="32" t="s">
        <v>438</v>
      </c>
      <c r="D46" s="33" t="s">
        <v>56</v>
      </c>
      <c r="E46" s="34" t="s">
        <v>57</v>
      </c>
      <c r="F46" s="33" t="s">
        <v>8</v>
      </c>
      <c r="G46" s="33" t="s">
        <v>61</v>
      </c>
      <c r="H46" s="31" t="str">
        <f>IF(F46="Rack","No of Racks",(IF(F46="Space","Sq Ft","U Space")))</f>
        <v>No of Racks</v>
      </c>
      <c r="I46" s="33">
        <v>1</v>
      </c>
      <c r="J46" s="33">
        <v>1</v>
      </c>
      <c r="K46" s="35">
        <f>I46-J46</f>
        <v>0</v>
      </c>
      <c r="L46" s="33">
        <v>1</v>
      </c>
      <c r="M46" s="33"/>
      <c r="N46" s="133"/>
      <c r="O46" s="43" t="str">
        <f>D46</f>
        <v>Subscribed</v>
      </c>
      <c r="P46" s="33" t="s">
        <v>58</v>
      </c>
      <c r="Q46" s="34">
        <v>3</v>
      </c>
      <c r="R46" s="65">
        <f>W46</f>
        <v>1.0707638888888888</v>
      </c>
      <c r="S46" s="46">
        <f>Q46-R46</f>
        <v>1.9292361111111112</v>
      </c>
      <c r="T46" s="34"/>
      <c r="U46" s="34">
        <f>IF(S46&lt;=0,0,(IF(O46="Rated",(S46+T46)*'Noida-01'!$X$1,(S46+T46))))</f>
        <v>1.9292361111111112</v>
      </c>
      <c r="V46" s="34">
        <f>IF(O46="Rated",Q46*'Noida-01'!$X$1,Q46)</f>
        <v>3</v>
      </c>
      <c r="W46" s="65">
        <f>AD46/30/24</f>
        <v>1.0707638888888888</v>
      </c>
      <c r="X46" s="34">
        <f>IF((S46*-1)&gt;0, (S46*-1), 0)</f>
        <v>0</v>
      </c>
      <c r="Y46" s="47"/>
      <c r="Z46" s="48" t="str">
        <f>E46</f>
        <v>Metered</v>
      </c>
      <c r="AA46" s="34">
        <v>1</v>
      </c>
      <c r="AB46" s="34" t="s">
        <v>62</v>
      </c>
      <c r="AC46" s="49"/>
      <c r="AD46" s="34">
        <v>770.95</v>
      </c>
      <c r="AE46" s="50"/>
      <c r="AF46" s="51" t="str">
        <f>IF(AE46="No of Seats","No of Seats",(IF(AE46="Space","Sq Ft","")))</f>
        <v/>
      </c>
      <c r="AG46" s="34"/>
      <c r="AH46" s="34"/>
      <c r="AI46" s="34">
        <f>AG46-AH46</f>
        <v>0</v>
      </c>
      <c r="AJ46" s="34"/>
      <c r="AK46" s="34"/>
      <c r="AL46" s="42"/>
      <c r="AM46" s="52"/>
      <c r="AN46" s="52">
        <f>Y46*X46</f>
        <v>0</v>
      </c>
      <c r="AO46" s="53">
        <f>AD46*AC46*AA46</f>
        <v>0</v>
      </c>
      <c r="AP46" s="52">
        <f>AL46*AJ46</f>
        <v>0</v>
      </c>
      <c r="AQ46" s="54"/>
      <c r="AR46" s="55">
        <f>SUBTOTAL(9,AM46:AQ46)</f>
        <v>0</v>
      </c>
      <c r="AS46" s="55"/>
      <c r="AT46" s="67"/>
      <c r="AU46" s="68"/>
      <c r="AV46" s="69"/>
      <c r="AW46" s="68"/>
      <c r="AX46" s="89"/>
      <c r="AY46" s="5"/>
      <c r="AZ46" s="29">
        <f>IF(F46="Rack",AR46/I46,0)+IF(F46="U Space",AR46*40/I46,0)+IF(F46="Space",AR46*30/I46,0)</f>
        <v>0</v>
      </c>
      <c r="BA46" s="29">
        <f>+AR46/V46</f>
        <v>0</v>
      </c>
      <c r="BB46" s="25">
        <f>+($AM46+$AN46+$AO46-BI46)/$V46</f>
        <v>-6972.0778993169406</v>
      </c>
      <c r="BC46" s="25"/>
      <c r="BD46" s="25"/>
      <c r="BE46" s="29"/>
      <c r="BF46" s="26">
        <f>+AM46+AN46+AO46</f>
        <v>0</v>
      </c>
      <c r="BG46" s="26">
        <f>+BF46-BH46</f>
        <v>0</v>
      </c>
      <c r="BH46" s="26">
        <f>IF(E46="Bundled",MIN(V46*'Noida-01'!$AG$1*(1+#REF!),BF46),AO46)</f>
        <v>0</v>
      </c>
      <c r="BI46" s="27">
        <f>IF($AD46&gt;0,$AD46*'Noida-01'!$AD$1*'Noida-01'!$AF$1*(1+'Noida-01'!$AI$1*(20/'Noida-01'!$AF$1)/732),'Noida-01'!$AG$1*W46)</f>
        <v>20916.233697950822</v>
      </c>
      <c r="BJ46" s="27"/>
      <c r="BK46" s="27"/>
      <c r="BL46" s="27">
        <f>+BB46*V46</f>
        <v>-20916.233697950822</v>
      </c>
      <c r="BM46" s="27" t="e">
        <f>+#REF!*V46</f>
        <v>#REF!</v>
      </c>
      <c r="BN46" s="27" t="e">
        <f>+BG46-BM46</f>
        <v>#REF!</v>
      </c>
      <c r="BO46" s="27">
        <f>+BH46-BI46</f>
        <v>-20916.233697950822</v>
      </c>
      <c r="BP46" s="27" t="e">
        <f>+BN46+BO46</f>
        <v>#REF!</v>
      </c>
      <c r="BQ46" s="27">
        <f>+V46</f>
        <v>3</v>
      </c>
      <c r="BR46" s="27">
        <f>+BB46</f>
        <v>-6972.0778993169406</v>
      </c>
      <c r="BS46" s="27">
        <f>IF(E46="Bundled",BK46-BI46,AO46-BI46)</f>
        <v>-20916.233697950822</v>
      </c>
      <c r="BT46" s="27" t="e">
        <f>IF(E46="Bundled",+(BD46-#REF!)*V46,(AM46+AN46)-V46*#REF!)</f>
        <v>#REF!</v>
      </c>
      <c r="BU46" s="27" t="e">
        <f>+BS46+BT46</f>
        <v>#REF!</v>
      </c>
      <c r="BV46" s="27">
        <f>+BS46/$BQ46</f>
        <v>-6972.0778993169406</v>
      </c>
      <c r="BW46" s="27" t="e">
        <f>+BT46/$BQ46</f>
        <v>#REF!</v>
      </c>
      <c r="BX46" s="27" t="e">
        <f>+BU46/$BQ46</f>
        <v>#REF!</v>
      </c>
    </row>
    <row r="47" spans="1:79" s="16" customFormat="1" ht="26" customHeight="1" x14ac:dyDescent="0.3">
      <c r="A47" s="199" t="s">
        <v>249</v>
      </c>
      <c r="B47" s="454" t="s">
        <v>574</v>
      </c>
      <c r="C47" s="182" t="s">
        <v>434</v>
      </c>
      <c r="D47" s="33" t="s">
        <v>11</v>
      </c>
      <c r="E47" s="34" t="s">
        <v>52</v>
      </c>
      <c r="F47" s="33" t="s">
        <v>60</v>
      </c>
      <c r="G47" s="33" t="s">
        <v>61</v>
      </c>
      <c r="H47" s="31" t="str">
        <f t="shared" ref="H47" si="397">IF(F47="Rack","No of Racks",(IF(F47="Space","Sq Ft","U Space")))</f>
        <v>U Space</v>
      </c>
      <c r="I47" s="33">
        <v>6</v>
      </c>
      <c r="J47" s="175">
        <v>6</v>
      </c>
      <c r="K47" s="176">
        <v>0</v>
      </c>
      <c r="L47" s="175">
        <v>6</v>
      </c>
      <c r="M47" s="175"/>
      <c r="N47" s="177"/>
      <c r="O47" s="43" t="s">
        <v>11</v>
      </c>
      <c r="P47" s="33" t="s">
        <v>54</v>
      </c>
      <c r="Q47" s="34">
        <v>1.5</v>
      </c>
      <c r="R47" s="45">
        <v>2.1</v>
      </c>
      <c r="S47" s="46">
        <f t="shared" ref="S47" si="398">Q47-R47</f>
        <v>-0.60000000000000009</v>
      </c>
      <c r="T47" s="34"/>
      <c r="U47" s="34">
        <f t="shared" ref="U47" si="399">IF(S47&lt;=0,0,(IF(O47="Rated",(S47+T47)*$X$1,(S47+T47))))</f>
        <v>0</v>
      </c>
      <c r="V47" s="34" t="e">
        <f t="shared" ref="V47" si="400">IF(O47="Rated",Q47*$X$1,Q47)</f>
        <v>#REF!</v>
      </c>
      <c r="W47"/>
      <c r="X47" s="34">
        <f t="shared" ref="X47" si="401">IF((S47*-1)&gt;0, (S47*-1), 0)</f>
        <v>0.60000000000000009</v>
      </c>
      <c r="Y47" s="47"/>
      <c r="Z47" s="48"/>
      <c r="AA47" s="34"/>
      <c r="AB47" s="34"/>
      <c r="AC47" s="49"/>
      <c r="AD47" s="34"/>
      <c r="AE47" s="50"/>
      <c r="AF47" s="51"/>
      <c r="AG47" s="34"/>
      <c r="AH47" s="34"/>
      <c r="AI47" s="34"/>
      <c r="AJ47" s="34"/>
      <c r="AK47" s="34"/>
      <c r="AL47" s="42"/>
      <c r="AM47" s="52"/>
      <c r="AN47" s="52"/>
      <c r="AO47" s="53"/>
      <c r="AP47" s="52"/>
      <c r="AQ47" s="54"/>
      <c r="AR47" s="55"/>
      <c r="AS47" s="55"/>
      <c r="AT47" s="67"/>
      <c r="AU47" s="68"/>
      <c r="AV47" s="69"/>
      <c r="AW47" s="68"/>
      <c r="AX47" s="89"/>
      <c r="AY47" s="5"/>
      <c r="AZ47" s="59"/>
      <c r="BA47" s="59"/>
      <c r="BB47" s="59"/>
      <c r="BC47" s="59"/>
      <c r="BD47" s="59"/>
      <c r="BE47" s="59"/>
      <c r="BF47" s="60"/>
      <c r="BG47" s="60"/>
      <c r="BH47" s="60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</row>
    <row r="48" spans="1:79" s="16" customFormat="1" ht="39" x14ac:dyDescent="0.3">
      <c r="A48" s="539" t="s">
        <v>130</v>
      </c>
      <c r="B48" s="540" t="s">
        <v>582</v>
      </c>
      <c r="C48" s="540" t="s">
        <v>509</v>
      </c>
      <c r="D48" s="541" t="s">
        <v>11</v>
      </c>
      <c r="E48" s="542" t="s">
        <v>52</v>
      </c>
      <c r="F48" s="541" t="s">
        <v>60</v>
      </c>
      <c r="G48" s="541" t="s">
        <v>61</v>
      </c>
      <c r="H48" s="543" t="str">
        <f t="shared" ref="H48" si="402">IF(F48="Rack","No of Racks",(IF(F48="Space","Sq Ft","U Space")))</f>
        <v>U Space</v>
      </c>
      <c r="I48" s="541">
        <v>4</v>
      </c>
      <c r="J48" s="541">
        <v>4</v>
      </c>
      <c r="K48" s="544">
        <f t="shared" ref="K48" si="403">I48-J48</f>
        <v>0</v>
      </c>
      <c r="L48" s="541">
        <v>4</v>
      </c>
      <c r="M48" s="541"/>
      <c r="N48" s="545"/>
      <c r="O48" s="546" t="str">
        <f t="shared" ref="O48" si="404">D48</f>
        <v>Rated</v>
      </c>
      <c r="P48" s="547" t="s">
        <v>54</v>
      </c>
      <c r="Q48" s="542">
        <v>1</v>
      </c>
      <c r="R48" s="548">
        <v>0.3</v>
      </c>
      <c r="S48" s="549">
        <f t="shared" ref="S48" si="405">Q48-R48</f>
        <v>0.7</v>
      </c>
      <c r="T48" s="542"/>
      <c r="U48" s="542" t="e">
        <f t="shared" ref="U48" si="406">IF(S48&lt;=0,0,(IF(O48="Rated",(S48+T48)*$X$1,(S48+T48))))</f>
        <v>#REF!</v>
      </c>
      <c r="V48" s="542" t="e">
        <f t="shared" ref="V48" si="407">IF(O48="Rated",Q48*$X$1,Q48)</f>
        <v>#REF!</v>
      </c>
      <c r="W48"/>
      <c r="X48" s="542">
        <f t="shared" ref="X48" si="408">IF((S48*-1)&gt;0, (S48*-1), 0)</f>
        <v>0</v>
      </c>
      <c r="Y48" s="550"/>
      <c r="Z48" s="551" t="str">
        <f t="shared" ref="Z48" si="409">E48</f>
        <v>Bundled</v>
      </c>
      <c r="AA48" s="542"/>
      <c r="AB48" s="542"/>
      <c r="AC48" s="552"/>
      <c r="AD48" s="542"/>
      <c r="AE48" s="553"/>
      <c r="AF48" s="554"/>
      <c r="AG48" s="542"/>
      <c r="AH48" s="542"/>
      <c r="AI48" s="542"/>
      <c r="AJ48" s="542"/>
      <c r="AK48" s="542"/>
      <c r="AL48" s="545"/>
      <c r="AM48" s="555"/>
      <c r="AN48" s="555"/>
      <c r="AO48" s="556"/>
      <c r="AP48" s="555"/>
      <c r="AQ48" s="557"/>
      <c r="AR48" s="558"/>
      <c r="AS48" s="558"/>
      <c r="AT48" s="559"/>
      <c r="AU48" s="560"/>
      <c r="AV48" s="561"/>
      <c r="AW48" s="560"/>
      <c r="AX48" s="562"/>
      <c r="AY48" s="5"/>
      <c r="AZ48" s="563"/>
      <c r="BA48" s="563"/>
      <c r="BB48" s="563"/>
      <c r="BC48" s="563"/>
      <c r="BD48" s="563"/>
      <c r="BE48" s="563"/>
      <c r="BF48" s="564"/>
      <c r="BG48" s="564"/>
      <c r="BH48" s="564"/>
      <c r="BI48" s="565"/>
      <c r="BJ48" s="565"/>
      <c r="BK48" s="565" t="e">
        <f t="shared" ref="BK48" si="410">IF(E48="Bundled",$AG$1*V48,$AG$1*V48*0.85)</f>
        <v>#REF!</v>
      </c>
      <c r="BL48" s="565"/>
      <c r="BM48" s="565" t="e">
        <f>+#REF!*V48</f>
        <v>#REF!</v>
      </c>
      <c r="BN48" s="565"/>
      <c r="BO48" s="565"/>
      <c r="BP48" s="565"/>
      <c r="BQ48" s="565" t="e">
        <f t="shared" ref="BQ48" si="411">+V48</f>
        <v>#REF!</v>
      </c>
      <c r="BR48" s="565"/>
      <c r="BS48" s="565"/>
      <c r="BT48" s="565"/>
      <c r="BU48" s="565"/>
      <c r="BV48" s="565"/>
      <c r="BW48" s="565"/>
      <c r="BX48" s="565"/>
    </row>
    <row r="49" spans="1:78" s="16" customFormat="1" ht="39" x14ac:dyDescent="0.3">
      <c r="A49" s="566" t="s">
        <v>244</v>
      </c>
      <c r="B49" s="454" t="s">
        <v>577</v>
      </c>
      <c r="C49" s="567" t="s">
        <v>498</v>
      </c>
      <c r="D49" s="430" t="s">
        <v>56</v>
      </c>
      <c r="E49" s="431" t="s">
        <v>57</v>
      </c>
      <c r="F49" s="430" t="s">
        <v>8</v>
      </c>
      <c r="G49" s="430" t="s">
        <v>61</v>
      </c>
      <c r="H49" s="432" t="s">
        <v>499</v>
      </c>
      <c r="I49" s="430">
        <v>3</v>
      </c>
      <c r="J49" s="430">
        <v>3</v>
      </c>
      <c r="K49" s="433">
        <v>0</v>
      </c>
      <c r="L49" s="430">
        <v>3</v>
      </c>
      <c r="M49" s="430"/>
      <c r="N49" s="426">
        <v>474999</v>
      </c>
      <c r="O49" s="435" t="str">
        <f>D49</f>
        <v>Subscribed</v>
      </c>
      <c r="P49" s="430" t="s">
        <v>58</v>
      </c>
      <c r="Q49" s="431">
        <v>27</v>
      </c>
      <c r="R49" s="568">
        <f>W49</f>
        <v>0</v>
      </c>
      <c r="S49" s="569">
        <f>Q49-R49</f>
        <v>27</v>
      </c>
      <c r="T49" s="431"/>
      <c r="U49" s="431">
        <f>IF(S49&lt;=0,0,(IF(O49="Rated",(S49+T49)*#REF!,(S49+T49))))</f>
        <v>27</v>
      </c>
      <c r="V49" s="431">
        <f>IF(O49="Rated",Q49*#REF!,Q49)</f>
        <v>27</v>
      </c>
      <c r="W49" s="568">
        <f>AD49/28/24</f>
        <v>0</v>
      </c>
      <c r="X49" s="431">
        <f>IF((S49*-1)&gt;0, (S49*-1), 0)</f>
        <v>0</v>
      </c>
      <c r="Y49" s="431"/>
      <c r="Z49" s="438" t="s">
        <v>563</v>
      </c>
      <c r="AA49" s="430"/>
      <c r="AB49" s="431"/>
      <c r="AC49" s="439"/>
      <c r="AD49" s="570">
        <v>0</v>
      </c>
      <c r="AE49" s="440"/>
      <c r="AF49" s="441"/>
      <c r="AG49" s="431"/>
      <c r="AH49" s="431"/>
      <c r="AI49" s="431"/>
      <c r="AJ49" s="430"/>
      <c r="AK49" s="430"/>
      <c r="AL49" s="434"/>
      <c r="AM49" s="442"/>
      <c r="AN49" s="442"/>
      <c r="AO49" s="443"/>
      <c r="AP49" s="442"/>
      <c r="AQ49" s="444"/>
      <c r="AR49" s="445"/>
      <c r="AS49" s="445"/>
      <c r="AT49" s="571"/>
      <c r="AU49" s="572"/>
      <c r="AV49" s="573"/>
      <c r="AW49" s="572"/>
      <c r="AX49" s="574"/>
      <c r="AY49" s="575"/>
      <c r="AZ49" s="450"/>
      <c r="BA49" s="450"/>
      <c r="BB49" s="450"/>
      <c r="BC49" s="450"/>
      <c r="BD49" s="450"/>
      <c r="BE49" s="450"/>
      <c r="BF49" s="451"/>
      <c r="BG49" s="451"/>
      <c r="BH49" s="451"/>
      <c r="BI49" s="452"/>
      <c r="BJ49" s="452"/>
      <c r="BK49" s="452"/>
      <c r="BL49" s="452"/>
      <c r="BM49" s="452"/>
      <c r="BN49" s="452"/>
      <c r="BO49" s="452"/>
      <c r="BP49" s="452"/>
      <c r="BQ49" s="452"/>
      <c r="BR49" s="452"/>
      <c r="BS49" s="452"/>
      <c r="BT49" s="452"/>
      <c r="BU49" s="452"/>
      <c r="BV49" s="452"/>
      <c r="BW49" s="452"/>
      <c r="BX49" s="575"/>
      <c r="BY49" s="16" t="s">
        <v>583</v>
      </c>
      <c r="BZ49" s="73"/>
    </row>
  </sheetData>
  <mergeCells count="7">
    <mergeCell ref="AT2:AW2"/>
    <mergeCell ref="D2:E2"/>
    <mergeCell ref="F2:N2"/>
    <mergeCell ref="O2:Y2"/>
    <mergeCell ref="Z2:AD2"/>
    <mergeCell ref="AE2:AL2"/>
    <mergeCell ref="AM2:AS2"/>
  </mergeCells>
  <conditionalFormatting sqref="Y4:Y48">
    <cfRule type="cellIs" dxfId="63" priority="10" operator="lessThanOrEqual">
      <formula>0</formula>
    </cfRule>
    <cfRule type="cellIs" dxfId="62" priority="11" operator="lessThanOrEqual">
      <formula>0</formula>
    </cfRule>
  </conditionalFormatting>
  <conditionalFormatting sqref="BB40:BD40 BB41:BE41">
    <cfRule type="cellIs" dxfId="61" priority="73" operator="between">
      <formula>#REF!</formula>
      <formula>#REF!</formula>
    </cfRule>
  </conditionalFormatting>
  <conditionalFormatting sqref="BB4:BE20">
    <cfRule type="cellIs" dxfId="60" priority="229" operator="lessThan">
      <formula>#REF!</formula>
    </cfRule>
    <cfRule type="cellIs" dxfId="59" priority="230" operator="between">
      <formula>#REF!</formula>
      <formula>#REF!</formula>
    </cfRule>
    <cfRule type="cellIs" dxfId="58" priority="231" operator="between">
      <formula>#REF!</formula>
      <formula>#REF!</formula>
    </cfRule>
    <cfRule type="cellIs" dxfId="57" priority="232" operator="greaterThan">
      <formula>#REF!</formula>
    </cfRule>
    <cfRule type="cellIs" dxfId="56" priority="233" operator="between">
      <formula>#REF!</formula>
      <formula>#REF!</formula>
    </cfRule>
  </conditionalFormatting>
  <conditionalFormatting sqref="BB21:BE21">
    <cfRule type="cellIs" dxfId="55" priority="219" operator="greaterThan">
      <formula>$J$7</formula>
    </cfRule>
    <cfRule type="cellIs" dxfId="54" priority="220" operator="between">
      <formula>$J$8</formula>
      <formula>$J$7</formula>
    </cfRule>
    <cfRule type="cellIs" dxfId="53" priority="221" operator="lessThan">
      <formula>$J$10</formula>
    </cfRule>
    <cfRule type="cellIs" dxfId="52" priority="222" operator="between">
      <formula>$J$10</formula>
      <formula>$J$9</formula>
    </cfRule>
    <cfRule type="cellIs" dxfId="51" priority="223" operator="between">
      <formula>$J$9</formula>
      <formula>$J$8</formula>
    </cfRule>
  </conditionalFormatting>
  <conditionalFormatting sqref="BB22:BE36">
    <cfRule type="cellIs" dxfId="50" priority="98" operator="lessThan">
      <formula>#REF!</formula>
    </cfRule>
    <cfRule type="cellIs" dxfId="49" priority="99" operator="between">
      <formula>#REF!</formula>
      <formula>#REF!</formula>
    </cfRule>
    <cfRule type="cellIs" dxfId="48" priority="100" operator="between">
      <formula>#REF!</formula>
      <formula>#REF!</formula>
    </cfRule>
    <cfRule type="cellIs" dxfId="47" priority="105" operator="greaterThan">
      <formula>#REF!</formula>
    </cfRule>
    <cfRule type="cellIs" dxfId="46" priority="106" operator="between">
      <formula>#REF!</formula>
      <formula>#REF!</formula>
    </cfRule>
  </conditionalFormatting>
  <conditionalFormatting sqref="BB38:BE39">
    <cfRule type="cellIs" dxfId="45" priority="80" operator="greaterThan">
      <formula>#REF!</formula>
    </cfRule>
    <cfRule type="cellIs" dxfId="44" priority="81" operator="between">
      <formula>#REF!</formula>
      <formula>#REF!</formula>
    </cfRule>
  </conditionalFormatting>
  <conditionalFormatting sqref="BB38:BE48">
    <cfRule type="cellIs" dxfId="43" priority="7" operator="lessThan">
      <formula>#REF!</formula>
    </cfRule>
    <cfRule type="cellIs" dxfId="42" priority="8" operator="between">
      <formula>#REF!</formula>
      <formula>#REF!</formula>
    </cfRule>
    <cfRule type="cellIs" dxfId="41" priority="9" operator="between">
      <formula>#REF!</formula>
      <formula>#REF!</formula>
    </cfRule>
  </conditionalFormatting>
  <conditionalFormatting sqref="BB41:BE41 BB40:BD40">
    <cfRule type="cellIs" dxfId="40" priority="72" operator="greaterThan">
      <formula>#REF!</formula>
    </cfRule>
  </conditionalFormatting>
  <conditionalFormatting sqref="BB42:BE48">
    <cfRule type="cellIs" dxfId="39" priority="13" operator="greaterThan">
      <formula>#REF!</formula>
    </cfRule>
    <cfRule type="cellIs" dxfId="38" priority="14" operator="between">
      <formula>#REF!</formula>
      <formula>#REF!</formula>
    </cfRule>
  </conditionalFormatting>
  <conditionalFormatting sqref="BC37:BE37">
    <cfRule type="cellIs" dxfId="37" priority="93" operator="lessThan">
      <formula>#REF!</formula>
    </cfRule>
    <cfRule type="cellIs" dxfId="36" priority="94" operator="between">
      <formula>#REF!</formula>
      <formula>#REF!</formula>
    </cfRule>
    <cfRule type="cellIs" dxfId="35" priority="95" operator="between">
      <formula>#REF!</formula>
      <formula>#REF!</formula>
    </cfRule>
    <cfRule type="cellIs" dxfId="34" priority="96" operator="greaterThan">
      <formula>#REF!</formula>
    </cfRule>
    <cfRule type="cellIs" dxfId="33" priority="97" operator="between">
      <formula>#REF!</formula>
      <formula>#REF!</formula>
    </cfRule>
  </conditionalFormatting>
  <conditionalFormatting sqref="BE40:BE41">
    <cfRule type="cellIs" dxfId="32" priority="68" operator="greaterThan">
      <formula>#REF!</formula>
    </cfRule>
    <cfRule type="cellIs" dxfId="31" priority="69" operator="between">
      <formula>#REF!</formula>
      <formula>#REF!</formula>
    </cfRule>
  </conditionalFormatting>
  <conditionalFormatting sqref="BV28:BW28">
    <cfRule type="colorScale" priority="2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2:BW32">
    <cfRule type="colorScale" priority="22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3:BW33">
    <cfRule type="colorScale" priority="2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:BX4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5:BX5"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6:BX6"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7:BX7"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8:BX8"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9:BX9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0:BX10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1:BX11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2:BX12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3:BX13"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4:BX14"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5:BX15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6:BX16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7:BX17"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8:BX18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9:BX1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0:BX20"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1:BX21"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2:BX2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3:BX23"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4:BX24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5:BX25"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6:BX26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7:BX27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9:BX29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0:BX30 BX32:BX33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1:BX31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4:BX34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5:BX35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6:BX36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7:BX37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8:BX38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9:BX39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0:BX40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1:BX41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2:BX42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3:BX4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4:BX44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6:BX4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7:BX4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8:BX4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5:CA4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B49:BE49">
    <cfRule type="cellIs" dxfId="30" priority="1" operator="lessThan">
      <formula>#REF!</formula>
    </cfRule>
    <cfRule type="cellIs" dxfId="29" priority="2" operator="between">
      <formula>#REF!</formula>
      <formula>#REF!</formula>
    </cfRule>
    <cfRule type="cellIs" dxfId="28" priority="3" operator="between">
      <formula>#REF!</formula>
      <formula>#REF!</formula>
    </cfRule>
  </conditionalFormatting>
  <conditionalFormatting sqref="BB49:BE49">
    <cfRule type="cellIs" dxfId="27" priority="5" operator="greaterThan">
      <formula>#REF!</formula>
    </cfRule>
    <cfRule type="cellIs" dxfId="26" priority="6" operator="between">
      <formula>#REF!</formula>
      <formula>#REF!</formula>
    </cfRule>
  </conditionalFormatting>
  <conditionalFormatting sqref="BV49:BW49 BZ49">
    <cfRule type="colorScale" priority="2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E4:AE48 AE49" xr:uid="{00000000-0002-0000-0000-000007000000}">
      <formula1>"No of Seats, Space"</formula1>
    </dataValidation>
    <dataValidation type="list" allowBlank="1" showInputMessage="1" showErrorMessage="1" sqref="D4:D48 D49" xr:uid="{00000000-0002-0000-0000-000006000000}">
      <formula1>"Rated, Subscribed"</formula1>
    </dataValidation>
    <dataValidation type="list" allowBlank="1" showInputMessage="1" showErrorMessage="1" sqref="AS4:AS48 AS49" xr:uid="{00000000-0002-0000-0000-000005000000}">
      <formula1>"Qtrly Adv, Qtry Ars, Monthly Adv, Monthly Ars"</formula1>
    </dataValidation>
    <dataValidation type="list" allowBlank="1" showInputMessage="1" showErrorMessage="1" sqref="P4:P48 P49" xr:uid="{00000000-0002-0000-0000-000004000000}">
      <formula1>"KW, KVA"</formula1>
    </dataValidation>
    <dataValidation type="list" allowBlank="1" showInputMessage="1" showErrorMessage="1" sqref="E4:E48 E49" xr:uid="{00000000-0002-0000-0000-000003000000}">
      <formula1>"Bundled, Metered"</formula1>
    </dataValidation>
    <dataValidation type="list" allowBlank="1" showInputMessage="1" showErrorMessage="1" promptTitle="Rack, U Space, Cage" sqref="G4:G48 G49" xr:uid="{00000000-0002-0000-0000-000002000000}">
      <formula1>"Caged, Uncaged"</formula1>
    </dataValidation>
    <dataValidation type="list" allowBlank="1" showInputMessage="1" showErrorMessage="1" sqref="AB4:AB48 AB49" xr:uid="{00000000-0002-0000-0000-000001000000}">
      <formula1>"Fixed, Variable"</formula1>
    </dataValidation>
    <dataValidation type="list" allowBlank="1" showInputMessage="1" showErrorMessage="1" promptTitle="Rack, U Space, Cage" sqref="F4:F48 F49" xr:uid="{00000000-0002-0000-0000-000000000000}">
      <formula1>"Space, Rack, U space"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33"/>
  <sheetViews>
    <sheetView tabSelected="1" topLeftCell="B1" zoomScale="90" zoomScaleNormal="90" workbookViewId="0">
      <selection activeCell="B1" sqref="B1"/>
    </sheetView>
  </sheetViews>
  <sheetFormatPr defaultColWidth="9" defaultRowHeight="13" x14ac:dyDescent="0.3"/>
  <cols>
    <col min="1" max="1" width="9" style="5" hidden="1" customWidth="1"/>
    <col min="2" max="2" width="31" style="5" customWidth="1"/>
    <col min="3" max="3" width="46.5" style="5" customWidth="1"/>
    <col min="4" max="6" width="16.5" style="5" hidden="1" customWidth="1"/>
    <col min="7" max="7" width="18.3984375" style="5" hidden="1" customWidth="1"/>
    <col min="8" max="8" width="19.3984375" style="5" hidden="1" customWidth="1"/>
    <col min="9" max="9" width="12" style="5" hidden="1" customWidth="1"/>
    <col min="10" max="10" width="13.09765625" style="5" hidden="1" customWidth="1"/>
    <col min="11" max="11" width="12.59765625" style="5" hidden="1" customWidth="1"/>
    <col min="12" max="12" width="12" style="5" customWidth="1"/>
    <col min="13" max="13" width="7.59765625" style="5" customWidth="1"/>
    <col min="14" max="14" width="10.3984375" style="6" customWidth="1"/>
    <col min="15" max="15" width="17.09765625" style="4" customWidth="1"/>
    <col min="16" max="16" width="17.09765625" style="4" hidden="1" customWidth="1"/>
    <col min="17" max="17" width="17.09765625" style="4" customWidth="1"/>
    <col min="18" max="18" width="12" style="4" customWidth="1"/>
    <col min="19" max="19" width="5.3984375" style="4" customWidth="1"/>
    <col min="20" max="20" width="10" style="17" customWidth="1"/>
    <col min="21" max="21" width="8.3984375" style="5" customWidth="1"/>
    <col min="22" max="22" width="13" style="6" hidden="1" customWidth="1"/>
    <col min="23" max="23" width="10" style="5" hidden="1" customWidth="1"/>
    <col min="24" max="24" width="10.59765625" style="5" hidden="1" customWidth="1"/>
    <col min="25" max="25" width="12.59765625" style="5" hidden="1" customWidth="1"/>
    <col min="26" max="26" width="8" style="5" customWidth="1"/>
    <col min="27" max="27" width="10.09765625" style="5" hidden="1" customWidth="1"/>
    <col min="28" max="28" width="14" style="5" hidden="1" customWidth="1"/>
    <col min="29" max="29" width="8.59765625" style="5" hidden="1" customWidth="1"/>
    <col min="30" max="30" width="10" style="5" hidden="1" customWidth="1"/>
    <col min="31" max="31" width="15.09765625" style="5" hidden="1" customWidth="1"/>
    <col min="32" max="32" width="12" style="5" hidden="1" customWidth="1"/>
    <col min="33" max="34" width="11.59765625" style="10" customWidth="1"/>
    <col min="35" max="35" width="11" style="10" customWidth="1"/>
    <col min="36" max="36" width="12.3984375" style="5" customWidth="1"/>
    <col min="37" max="37" width="6.59765625" style="5" customWidth="1"/>
    <col min="38" max="38" width="12.09765625" style="5" customWidth="1"/>
    <col min="39" max="39" width="6" style="5" customWidth="1"/>
    <col min="40" max="40" width="9.09765625" style="5" customWidth="1"/>
    <col min="41" max="41" width="9" style="5" customWidth="1"/>
    <col min="42" max="42" width="11" style="5" bestFit="1" customWidth="1"/>
    <col min="43" max="43" width="10" style="5" customWidth="1"/>
    <col min="44" max="44" width="11" style="5" bestFit="1" customWidth="1"/>
    <col min="45" max="45" width="9" style="5" customWidth="1"/>
    <col min="46" max="46" width="10" style="5" customWidth="1"/>
    <col min="47" max="47" width="13.59765625" style="5" customWidth="1"/>
    <col min="48" max="48" width="10.09765625" style="5" customWidth="1"/>
    <col min="49" max="49" width="21.59765625" style="8" customWidth="1"/>
    <col min="50" max="50" width="20" style="8" customWidth="1"/>
    <col min="51" max="51" width="8.3984375" style="8" customWidth="1"/>
    <col min="52" max="52" width="7.59765625" style="8" customWidth="1"/>
    <col min="53" max="53" width="34.59765625" style="5" customWidth="1"/>
    <col min="54" max="54" width="6.59765625" style="5" customWidth="1"/>
    <col min="55" max="55" width="10.3984375" style="5" customWidth="1"/>
    <col min="56" max="56" width="11" style="5" customWidth="1"/>
    <col min="57" max="60" width="9" style="5"/>
    <col min="61" max="61" width="11" style="5" customWidth="1"/>
    <col min="62" max="63" width="10" style="5" customWidth="1"/>
    <col min="64" max="74" width="9" style="5"/>
    <col min="75" max="75" width="10.8984375" style="5" bestFit="1" customWidth="1"/>
    <col min="76" max="16384" width="9" style="5"/>
  </cols>
  <sheetData>
    <row r="1" spans="1:80" x14ac:dyDescent="0.3">
      <c r="B1" s="7"/>
      <c r="C1" s="7"/>
      <c r="D1" s="7"/>
      <c r="E1" s="7"/>
      <c r="F1" s="7"/>
      <c r="G1" s="7"/>
      <c r="H1" s="7"/>
      <c r="I1" s="11"/>
      <c r="J1" s="11"/>
      <c r="K1" s="11"/>
      <c r="L1" s="11"/>
      <c r="M1" s="3"/>
      <c r="N1" s="12"/>
      <c r="O1" s="9"/>
      <c r="P1" s="9"/>
      <c r="Q1" s="9"/>
      <c r="R1" s="13"/>
      <c r="S1" s="13"/>
      <c r="T1" s="9"/>
      <c r="U1" s="3"/>
      <c r="V1" s="14" t="s">
        <v>10</v>
      </c>
      <c r="W1" s="15"/>
      <c r="X1" s="15">
        <v>0.5</v>
      </c>
      <c r="Y1" s="20" t="s">
        <v>84</v>
      </c>
      <c r="Z1" s="15"/>
      <c r="AA1" s="21" t="e">
        <f>#REF!</f>
        <v>#REF!</v>
      </c>
      <c r="AB1" s="15"/>
      <c r="AC1" s="1" t="s">
        <v>81</v>
      </c>
      <c r="AD1" s="18">
        <v>2.21</v>
      </c>
      <c r="AE1" s="1" t="s">
        <v>82</v>
      </c>
      <c r="AF1" s="22">
        <v>10.35</v>
      </c>
      <c r="AG1" s="2">
        <f>+AD1*(AF1*(30.5*24-AI1)+AI1*20)</f>
        <v>18246.920249999999</v>
      </c>
      <c r="AH1" s="2" t="s">
        <v>83</v>
      </c>
      <c r="AI1" s="19">
        <v>70.5</v>
      </c>
      <c r="AJ1" s="15"/>
      <c r="AK1" s="15"/>
      <c r="AL1" s="15"/>
      <c r="AM1" s="15"/>
      <c r="AN1" s="15"/>
      <c r="AO1" s="15"/>
    </row>
    <row r="2" spans="1:80" ht="13.5" thickBot="1" x14ac:dyDescent="0.35">
      <c r="B2" s="7"/>
      <c r="C2" s="7"/>
      <c r="D2" s="7"/>
      <c r="E2" s="7"/>
      <c r="F2" s="7"/>
      <c r="G2" s="456" t="s">
        <v>12</v>
      </c>
      <c r="H2" s="457"/>
      <c r="I2" s="458" t="s">
        <v>3</v>
      </c>
      <c r="J2" s="458"/>
      <c r="K2" s="458"/>
      <c r="L2" s="458"/>
      <c r="M2" s="458"/>
      <c r="N2" s="458"/>
      <c r="O2" s="458"/>
      <c r="P2" s="458"/>
      <c r="Q2" s="458"/>
      <c r="R2" s="459" t="s">
        <v>13</v>
      </c>
      <c r="S2" s="459"/>
      <c r="T2" s="459"/>
      <c r="U2" s="459"/>
      <c r="V2" s="460"/>
      <c r="W2" s="459"/>
      <c r="X2" s="459"/>
      <c r="Y2" s="459"/>
      <c r="Z2" s="459"/>
      <c r="AA2" s="459"/>
      <c r="AB2" s="459"/>
      <c r="AC2" s="461" t="s">
        <v>14</v>
      </c>
      <c r="AD2" s="461"/>
      <c r="AE2" s="461"/>
      <c r="AF2" s="461"/>
      <c r="AG2" s="462"/>
      <c r="AH2" s="463" t="s">
        <v>15</v>
      </c>
      <c r="AI2" s="464"/>
      <c r="AJ2" s="464"/>
      <c r="AK2" s="464"/>
      <c r="AL2" s="464"/>
      <c r="AM2" s="464"/>
      <c r="AN2" s="464"/>
      <c r="AO2" s="465"/>
      <c r="AP2" s="466" t="s">
        <v>16</v>
      </c>
      <c r="AQ2" s="466"/>
      <c r="AR2" s="466"/>
      <c r="AS2" s="466"/>
      <c r="AT2" s="466"/>
      <c r="AU2" s="466"/>
      <c r="AV2" s="466"/>
      <c r="AW2" s="455" t="s">
        <v>17</v>
      </c>
      <c r="AX2" s="455"/>
      <c r="AY2" s="455"/>
      <c r="AZ2" s="455"/>
    </row>
    <row r="3" spans="1:80" ht="104" x14ac:dyDescent="0.3">
      <c r="A3" s="200" t="s">
        <v>256</v>
      </c>
      <c r="B3" s="183" t="s">
        <v>2</v>
      </c>
      <c r="C3" s="183" t="s">
        <v>1</v>
      </c>
      <c r="D3" s="183" t="s">
        <v>450</v>
      </c>
      <c r="E3" s="184" t="s">
        <v>485</v>
      </c>
      <c r="F3" s="184" t="s">
        <v>538</v>
      </c>
      <c r="G3" s="184" t="s">
        <v>18</v>
      </c>
      <c r="H3" s="184" t="s">
        <v>19</v>
      </c>
      <c r="I3" s="184" t="s">
        <v>6</v>
      </c>
      <c r="J3" s="184" t="s">
        <v>20</v>
      </c>
      <c r="K3" s="185" t="s">
        <v>21</v>
      </c>
      <c r="L3" s="184" t="s">
        <v>4</v>
      </c>
      <c r="M3" s="183" t="s">
        <v>7</v>
      </c>
      <c r="N3" s="186" t="s">
        <v>22</v>
      </c>
      <c r="O3" s="184" t="s">
        <v>23</v>
      </c>
      <c r="P3" s="184" t="s">
        <v>24</v>
      </c>
      <c r="Q3" s="184" t="s">
        <v>25</v>
      </c>
      <c r="R3" s="187" t="s">
        <v>26</v>
      </c>
      <c r="S3" s="185" t="s">
        <v>21</v>
      </c>
      <c r="T3" s="185" t="s">
        <v>27</v>
      </c>
      <c r="U3" s="185" t="s">
        <v>28</v>
      </c>
      <c r="V3" s="188" t="s">
        <v>29</v>
      </c>
      <c r="W3" s="184" t="s">
        <v>30</v>
      </c>
      <c r="X3" s="185" t="s">
        <v>31</v>
      </c>
      <c r="Y3" s="204" t="s">
        <v>297</v>
      </c>
      <c r="Z3" s="189" t="s">
        <v>113</v>
      </c>
      <c r="AA3" s="185" t="s">
        <v>32</v>
      </c>
      <c r="AB3" s="185" t="s">
        <v>33</v>
      </c>
      <c r="AC3" s="185" t="s">
        <v>34</v>
      </c>
      <c r="AD3" s="190" t="s">
        <v>35</v>
      </c>
      <c r="AE3" s="191" t="s">
        <v>36</v>
      </c>
      <c r="AF3" s="191" t="s">
        <v>37</v>
      </c>
      <c r="AG3" s="192" t="s">
        <v>38</v>
      </c>
      <c r="AH3" s="192" t="s">
        <v>26</v>
      </c>
      <c r="AI3" s="192" t="s">
        <v>21</v>
      </c>
      <c r="AJ3" s="184" t="s">
        <v>4</v>
      </c>
      <c r="AK3" s="183" t="s">
        <v>7</v>
      </c>
      <c r="AL3" s="184" t="s">
        <v>9</v>
      </c>
      <c r="AM3" s="184" t="s">
        <v>23</v>
      </c>
      <c r="AN3" s="184" t="s">
        <v>30</v>
      </c>
      <c r="AO3" s="184" t="s">
        <v>39</v>
      </c>
      <c r="AP3" s="191" t="s">
        <v>40</v>
      </c>
      <c r="AQ3" s="191" t="s">
        <v>41</v>
      </c>
      <c r="AR3" s="191" t="s">
        <v>42</v>
      </c>
      <c r="AS3" s="191" t="s">
        <v>15</v>
      </c>
      <c r="AT3" s="191" t="s">
        <v>43</v>
      </c>
      <c r="AU3" s="191" t="s">
        <v>44</v>
      </c>
      <c r="AV3" s="191" t="s">
        <v>45</v>
      </c>
      <c r="AW3" s="193" t="s">
        <v>46</v>
      </c>
      <c r="AX3" s="193" t="s">
        <v>47</v>
      </c>
      <c r="AY3" s="193" t="s">
        <v>48</v>
      </c>
      <c r="AZ3" s="193" t="s">
        <v>49</v>
      </c>
      <c r="BA3" s="194" t="s">
        <v>50</v>
      </c>
      <c r="BC3" s="23" t="s">
        <v>51</v>
      </c>
      <c r="BD3" s="23" t="s">
        <v>74</v>
      </c>
      <c r="BE3" s="23" t="s">
        <v>75</v>
      </c>
      <c r="BF3" s="23" t="s">
        <v>76</v>
      </c>
      <c r="BG3" s="23" t="s">
        <v>77</v>
      </c>
      <c r="BH3" s="23"/>
      <c r="BI3" s="23" t="s">
        <v>85</v>
      </c>
      <c r="BJ3" s="23" t="s">
        <v>86</v>
      </c>
      <c r="BK3" s="23" t="s">
        <v>87</v>
      </c>
      <c r="BL3" s="23" t="s">
        <v>78</v>
      </c>
      <c r="BM3" s="23" t="s">
        <v>79</v>
      </c>
      <c r="BN3" s="23" t="s">
        <v>80</v>
      </c>
      <c r="BO3" s="23" t="s">
        <v>88</v>
      </c>
      <c r="BP3" s="23" t="s">
        <v>89</v>
      </c>
      <c r="BQ3" s="23" t="s">
        <v>90</v>
      </c>
      <c r="BR3" s="23" t="s">
        <v>91</v>
      </c>
      <c r="BS3" s="23" t="s">
        <v>92</v>
      </c>
      <c r="BT3" s="24" t="s">
        <v>58</v>
      </c>
      <c r="BU3" s="24"/>
      <c r="BV3" s="23" t="s">
        <v>91</v>
      </c>
      <c r="BW3" s="23" t="s">
        <v>90</v>
      </c>
      <c r="BX3" s="23" t="s">
        <v>93</v>
      </c>
      <c r="BY3" s="23" t="s">
        <v>94</v>
      </c>
      <c r="BZ3" s="23" t="s">
        <v>95</v>
      </c>
      <c r="CA3" s="23" t="s">
        <v>96</v>
      </c>
    </row>
    <row r="4" spans="1:80" s="16" customFormat="1" x14ac:dyDescent="0.3">
      <c r="A4" s="195" t="s">
        <v>248</v>
      </c>
      <c r="B4" s="32" t="s">
        <v>185</v>
      </c>
      <c r="C4" s="279" t="s">
        <v>341</v>
      </c>
      <c r="D4" s="279" t="s">
        <v>404</v>
      </c>
      <c r="E4" s="279"/>
      <c r="F4" s="279"/>
      <c r="G4" s="33" t="s">
        <v>11</v>
      </c>
      <c r="H4" s="34" t="s">
        <v>52</v>
      </c>
      <c r="I4" s="33" t="s">
        <v>8</v>
      </c>
      <c r="J4" s="33" t="s">
        <v>61</v>
      </c>
      <c r="K4" s="31" t="str">
        <f t="shared" ref="K4:K10" si="0">IF(I4="Rack","No of Racks",(IF(I4="Space","Sq Ft","U Space")))</f>
        <v>No of Racks</v>
      </c>
      <c r="L4" s="33">
        <v>1</v>
      </c>
      <c r="M4" s="33">
        <v>1</v>
      </c>
      <c r="N4" s="35">
        <f t="shared" ref="N4:N10" si="1">L4-M4</f>
        <v>0</v>
      </c>
      <c r="O4" s="33">
        <v>1</v>
      </c>
      <c r="P4" s="33"/>
      <c r="Q4" s="136">
        <f>519750/12</f>
        <v>43312.5</v>
      </c>
      <c r="R4" s="43" t="str">
        <f t="shared" ref="R4:R12" si="2">G4</f>
        <v>Rated</v>
      </c>
      <c r="S4" s="33" t="s">
        <v>54</v>
      </c>
      <c r="T4" s="34">
        <v>8.93</v>
      </c>
      <c r="U4" s="45">
        <v>9.77</v>
      </c>
      <c r="V4" s="46">
        <f t="shared" ref="V4:V16" si="3">T4-U4</f>
        <v>-0.83999999999999986</v>
      </c>
      <c r="W4" s="34"/>
      <c r="X4" s="34">
        <f t="shared" ref="X4:X16" si="4">IF(V4&lt;=0,0,(IF(R4="Rated",(V4+W4)*$X$1,(V4+W4))))</f>
        <v>0</v>
      </c>
      <c r="Y4" s="34">
        <f t="shared" ref="Y4:Y36" si="5">IF(R4="Rated",T4*$X$1,T4)</f>
        <v>4.4649999999999999</v>
      </c>
      <c r="Z4" s="65">
        <f>AG4/28/24</f>
        <v>5.1572023809523806</v>
      </c>
      <c r="AA4" s="34">
        <f t="shared" ref="AA4:AA16" si="6">IF((V4*-1)&gt;0, (V4*-1), 0)</f>
        <v>0.83999999999999986</v>
      </c>
      <c r="AB4" s="47">
        <f>100000/12</f>
        <v>8333.3333333333339</v>
      </c>
      <c r="AC4" s="48" t="str">
        <f t="shared" ref="AC4:AC16" si="7">H4</f>
        <v>Bundled</v>
      </c>
      <c r="AD4" s="33"/>
      <c r="AE4" s="34"/>
      <c r="AF4" s="49"/>
      <c r="AG4" s="34">
        <v>3465.64</v>
      </c>
      <c r="AH4" s="50"/>
      <c r="AI4" s="51" t="str">
        <f t="shared" ref="AI4:AI16" si="8">IF(AH4="No of Seats","No of Seats",(IF(AH4="Space","Sq Ft","")))</f>
        <v/>
      </c>
      <c r="AJ4" s="34"/>
      <c r="AK4" s="34"/>
      <c r="AL4" s="34">
        <f t="shared" ref="AL4:AL16" si="9">AJ4-AK4</f>
        <v>0</v>
      </c>
      <c r="AM4" s="33"/>
      <c r="AN4" s="33"/>
      <c r="AO4" s="42"/>
      <c r="AP4" s="52">
        <f t="shared" ref="AP4:AP16" si="10">Q4*O4</f>
        <v>43312.5</v>
      </c>
      <c r="AQ4" s="52">
        <f t="shared" ref="AQ4:AQ16" si="11">AB4*AA4</f>
        <v>6999.9999999999991</v>
      </c>
      <c r="AR4" s="53">
        <f t="shared" ref="AR4:AR16" si="12">AG4*AF4*AD4</f>
        <v>0</v>
      </c>
      <c r="AS4" s="52">
        <f t="shared" ref="AS4:AS15" si="13">AO4*AM4</f>
        <v>0</v>
      </c>
      <c r="AT4" s="54">
        <f>(593000+30000)/12</f>
        <v>51916.666666666664</v>
      </c>
      <c r="AU4" s="55">
        <f t="shared" ref="AU4:AU16" si="14">SUBTOTAL(9,AP4:AT4)</f>
        <v>102229.16666666666</v>
      </c>
      <c r="AV4" s="55"/>
      <c r="AW4" s="134" t="s">
        <v>111</v>
      </c>
      <c r="AX4" s="63"/>
      <c r="AY4" s="64"/>
      <c r="AZ4" s="63"/>
      <c r="BA4" s="196"/>
      <c r="BC4" s="25">
        <f t="shared" ref="BC4:BC16" si="15">IF(I4="Rack",AU4/L4,0)+IF(I4="U Space",AU4*40/L4,0)+IF(I4="Space",AU4*30/L4,0)</f>
        <v>102229.16666666666</v>
      </c>
      <c r="BD4" s="25">
        <f t="shared" ref="BD4:BD16" si="16">+AU4/Y4</f>
        <v>22895.670026129152</v>
      </c>
      <c r="BE4" s="25">
        <f t="shared" ref="BE4:BE16" si="17">+($AP4+$AQ4+$AR4-BL4)/$Y4</f>
        <v>-9789.9064708754759</v>
      </c>
      <c r="BF4" s="25">
        <f t="shared" ref="BF4:BF16" si="18">+($AP4+$AQ4+$AR4-BM4)/$Y4</f>
        <v>-9789.9064708754759</v>
      </c>
      <c r="BG4" s="25">
        <f t="shared" ref="BG4:BG16" si="19">+($AP4+$AQ4+IF(H4="Bundled",0,Y4*0.85*AD4*AF4*30.5*24)-BN4)/$Y4</f>
        <v>-6978.7231615341543</v>
      </c>
      <c r="BH4" s="25"/>
      <c r="BI4" s="26">
        <f t="shared" ref="BI4:BI16" si="20">+AP4+AQ4+AR4</f>
        <v>50312.5</v>
      </c>
      <c r="BJ4" s="26" t="e">
        <f t="shared" ref="BJ4:BJ16" si="21">+BI4-BK4</f>
        <v>#REF!</v>
      </c>
      <c r="BK4" s="26" t="e">
        <f>IF(H4="Bundled",MIN(Y4*$AG$1*(1+#REF!),BI4),AR4)</f>
        <v>#REF!</v>
      </c>
      <c r="BL4" s="27">
        <f t="shared" ref="BL4:BL17" si="22">IF($AG4&gt;0,$AG4*$AD$1*$AF$1*(1+$AI$1*(20/$AF$1)/732),$AG$1*Z4)</f>
        <v>94024.432392458999</v>
      </c>
      <c r="BM4" s="27">
        <f t="shared" ref="BM4:BM16" si="23">IF($AG4&gt;0,$AG4*$AD$1*$AF$1*(1+$AI$1*(20/$AF$1)/732),+$AG$1*(Z4+X4))</f>
        <v>94024.432392458999</v>
      </c>
      <c r="BN4" s="27">
        <f t="shared" ref="BN4:BN23" si="24">IF(H4="Bundled",$AG$1*Y4,$AG$1*Y4*0.85)</f>
        <v>81472.498916249999</v>
      </c>
      <c r="BO4" s="27">
        <f t="shared" ref="BO4:BO16" si="25">+BE4*Y4</f>
        <v>-43711.932392458999</v>
      </c>
      <c r="BP4" s="27" t="e">
        <f>+#REF!*Y4</f>
        <v>#REF!</v>
      </c>
      <c r="BQ4" s="27" t="e">
        <f t="shared" ref="BQ4:BQ16" si="26">+BJ4-BP4</f>
        <v>#REF!</v>
      </c>
      <c r="BR4" s="27" t="e">
        <f t="shared" ref="BR4:BR16" si="27">+BK4-BL4</f>
        <v>#REF!</v>
      </c>
      <c r="BS4" s="27" t="e">
        <f t="shared" ref="BS4:BS16" si="28">+BQ4+BR4</f>
        <v>#REF!</v>
      </c>
      <c r="BT4" s="27">
        <f t="shared" ref="BT4:BT23" si="29">+Y4</f>
        <v>4.4649999999999999</v>
      </c>
      <c r="BU4" s="27">
        <f t="shared" ref="BU4:BU16" si="30">+BE4</f>
        <v>-9789.9064708754759</v>
      </c>
      <c r="BV4" s="27">
        <f t="shared" ref="BV4:BV16" si="31">IF(H4="Bundled",BN4-BL4,AR4-BL4)</f>
        <v>-12551.933476209</v>
      </c>
      <c r="BW4" s="27" t="e">
        <f>IF(H4="Bundled",+(BG4-#REF!)*Y4,(AP4+AQ4)-Y4*#REF!)</f>
        <v>#REF!</v>
      </c>
      <c r="BX4" s="27" t="e">
        <f t="shared" ref="BX4:BX16" si="32">+BV4+BW4</f>
        <v>#REF!</v>
      </c>
      <c r="BY4" s="27">
        <f t="shared" ref="BY4:BY16" si="33">+BV4/$BT4</f>
        <v>-2811.1833093413215</v>
      </c>
      <c r="BZ4" s="27" t="e">
        <f t="shared" ref="BZ4:BZ16" si="34">+BW4/$BT4</f>
        <v>#REF!</v>
      </c>
      <c r="CA4" s="27" t="e">
        <f t="shared" ref="CA4:CA16" si="35">+BX4/$BT4</f>
        <v>#REF!</v>
      </c>
    </row>
    <row r="5" spans="1:80" s="16" customFormat="1" x14ac:dyDescent="0.3">
      <c r="A5" s="195" t="s">
        <v>248</v>
      </c>
      <c r="B5" s="32" t="s">
        <v>186</v>
      </c>
      <c r="C5" s="279" t="s">
        <v>341</v>
      </c>
      <c r="D5" s="279" t="s">
        <v>404</v>
      </c>
      <c r="E5" s="279"/>
      <c r="F5" s="279"/>
      <c r="G5" s="33" t="s">
        <v>11</v>
      </c>
      <c r="H5" s="34" t="s">
        <v>52</v>
      </c>
      <c r="I5" s="33" t="s">
        <v>8</v>
      </c>
      <c r="J5" s="33" t="s">
        <v>61</v>
      </c>
      <c r="K5" s="31" t="str">
        <f t="shared" si="0"/>
        <v>No of Racks</v>
      </c>
      <c r="L5" s="33">
        <v>1</v>
      </c>
      <c r="M5" s="33">
        <v>1</v>
      </c>
      <c r="N5" s="35">
        <f t="shared" si="1"/>
        <v>0</v>
      </c>
      <c r="O5" s="33">
        <v>1</v>
      </c>
      <c r="P5" s="33"/>
      <c r="Q5" s="136">
        <f>1020000/12</f>
        <v>85000</v>
      </c>
      <c r="R5" s="43" t="str">
        <f t="shared" si="2"/>
        <v>Rated</v>
      </c>
      <c r="S5" s="33" t="s">
        <v>54</v>
      </c>
      <c r="T5" s="34">
        <v>10</v>
      </c>
      <c r="U5" s="45">
        <v>7.46</v>
      </c>
      <c r="V5" s="46">
        <f t="shared" si="3"/>
        <v>2.54</v>
      </c>
      <c r="W5" s="34"/>
      <c r="X5" s="34">
        <f t="shared" si="4"/>
        <v>1.27</v>
      </c>
      <c r="Y5" s="34">
        <f t="shared" si="5"/>
        <v>5</v>
      </c>
      <c r="Z5" s="65">
        <f t="shared" ref="Z5:Z6" si="36">AG5/28/24</f>
        <v>2.9673363095238092</v>
      </c>
      <c r="AA5" s="34">
        <f t="shared" si="6"/>
        <v>0</v>
      </c>
      <c r="AB5" s="47">
        <f>90000/12</f>
        <v>7500</v>
      </c>
      <c r="AC5" s="48" t="str">
        <f t="shared" si="7"/>
        <v>Bundled</v>
      </c>
      <c r="AD5" s="33"/>
      <c r="AE5" s="34"/>
      <c r="AF5" s="49"/>
      <c r="AG5" s="34">
        <v>1994.05</v>
      </c>
      <c r="AH5" s="50"/>
      <c r="AI5" s="51" t="str">
        <f t="shared" si="8"/>
        <v/>
      </c>
      <c r="AJ5" s="34"/>
      <c r="AK5" s="34"/>
      <c r="AL5" s="34">
        <f t="shared" si="9"/>
        <v>0</v>
      </c>
      <c r="AM5" s="33"/>
      <c r="AN5" s="33"/>
      <c r="AO5" s="42"/>
      <c r="AP5" s="52">
        <f t="shared" si="10"/>
        <v>85000</v>
      </c>
      <c r="AQ5" s="52">
        <f t="shared" si="11"/>
        <v>0</v>
      </c>
      <c r="AR5" s="53">
        <f t="shared" si="12"/>
        <v>0</v>
      </c>
      <c r="AS5" s="52">
        <f t="shared" si="13"/>
        <v>0</v>
      </c>
      <c r="AT5" s="54"/>
      <c r="AU5" s="55">
        <f t="shared" si="14"/>
        <v>85000</v>
      </c>
      <c r="AV5" s="55"/>
      <c r="AW5" s="134">
        <v>721006057</v>
      </c>
      <c r="AX5" s="63"/>
      <c r="AY5" s="64"/>
      <c r="AZ5" s="63"/>
      <c r="BA5" s="197"/>
      <c r="BC5" s="25">
        <f t="shared" si="15"/>
        <v>85000</v>
      </c>
      <c r="BD5" s="25">
        <f t="shared" si="16"/>
        <v>17000</v>
      </c>
      <c r="BE5" s="25">
        <f t="shared" si="17"/>
        <v>6180.0983707377063</v>
      </c>
      <c r="BF5" s="25">
        <f t="shared" si="18"/>
        <v>6180.0983707377063</v>
      </c>
      <c r="BG5" s="25">
        <f t="shared" si="19"/>
        <v>-1246.9202499999985</v>
      </c>
      <c r="BH5" s="25"/>
      <c r="BI5" s="26">
        <f t="shared" si="20"/>
        <v>85000</v>
      </c>
      <c r="BJ5" s="26" t="e">
        <f t="shared" si="21"/>
        <v>#REF!</v>
      </c>
      <c r="BK5" s="26" t="e">
        <f>IF(H5="Bundled",MIN(Y5*$AG$1*(1+#REF!),BI5),AR5)</f>
        <v>#REF!</v>
      </c>
      <c r="BL5" s="27">
        <f t="shared" si="22"/>
        <v>54099.508146311469</v>
      </c>
      <c r="BM5" s="27">
        <f t="shared" si="23"/>
        <v>54099.508146311469</v>
      </c>
      <c r="BN5" s="27">
        <f t="shared" si="24"/>
        <v>91234.601249999992</v>
      </c>
      <c r="BO5" s="27">
        <f t="shared" si="25"/>
        <v>30900.491853688531</v>
      </c>
      <c r="BP5" s="27" t="e">
        <f>+#REF!*Y5</f>
        <v>#REF!</v>
      </c>
      <c r="BQ5" s="27" t="e">
        <f t="shared" si="26"/>
        <v>#REF!</v>
      </c>
      <c r="BR5" s="27" t="e">
        <f t="shared" si="27"/>
        <v>#REF!</v>
      </c>
      <c r="BS5" s="27" t="e">
        <f t="shared" si="28"/>
        <v>#REF!</v>
      </c>
      <c r="BT5" s="27">
        <f t="shared" si="29"/>
        <v>5</v>
      </c>
      <c r="BU5" s="27">
        <f t="shared" si="30"/>
        <v>6180.0983707377063</v>
      </c>
      <c r="BV5" s="27">
        <f t="shared" si="31"/>
        <v>37135.093103688523</v>
      </c>
      <c r="BW5" s="27" t="e">
        <f>IF(H5="Bundled",+(BG5-#REF!)*Y5,(AP5+AQ5)-Y5*#REF!)</f>
        <v>#REF!</v>
      </c>
      <c r="BX5" s="27" t="e">
        <f t="shared" si="32"/>
        <v>#REF!</v>
      </c>
      <c r="BY5" s="27">
        <f t="shared" si="33"/>
        <v>7427.0186207377046</v>
      </c>
      <c r="BZ5" s="27" t="e">
        <f t="shared" si="34"/>
        <v>#REF!</v>
      </c>
      <c r="CA5" s="27" t="e">
        <f t="shared" si="35"/>
        <v>#REF!</v>
      </c>
    </row>
    <row r="6" spans="1:80" x14ac:dyDescent="0.3">
      <c r="A6" s="195" t="s">
        <v>248</v>
      </c>
      <c r="B6" s="32" t="s">
        <v>188</v>
      </c>
      <c r="C6" s="371" t="s">
        <v>313</v>
      </c>
      <c r="D6" s="371" t="s">
        <v>405</v>
      </c>
      <c r="E6" s="371"/>
      <c r="F6" s="371"/>
      <c r="G6" s="33" t="s">
        <v>11</v>
      </c>
      <c r="H6" s="34" t="s">
        <v>57</v>
      </c>
      <c r="I6" s="33" t="s">
        <v>8</v>
      </c>
      <c r="J6" s="33" t="s">
        <v>61</v>
      </c>
      <c r="K6" s="31" t="str">
        <f t="shared" si="0"/>
        <v>No of Racks</v>
      </c>
      <c r="L6" s="33">
        <v>1</v>
      </c>
      <c r="M6" s="33">
        <v>1</v>
      </c>
      <c r="N6" s="35">
        <f t="shared" si="1"/>
        <v>0</v>
      </c>
      <c r="O6" s="33">
        <v>1</v>
      </c>
      <c r="P6" s="33"/>
      <c r="Q6" s="42">
        <f>300000/12</f>
        <v>25000</v>
      </c>
      <c r="R6" s="43" t="str">
        <f t="shared" si="2"/>
        <v>Rated</v>
      </c>
      <c r="S6" s="33" t="s">
        <v>54</v>
      </c>
      <c r="T6" s="34">
        <v>3</v>
      </c>
      <c r="U6" s="45">
        <v>4.07</v>
      </c>
      <c r="V6" s="46">
        <f t="shared" si="3"/>
        <v>-1.0700000000000003</v>
      </c>
      <c r="W6" s="34"/>
      <c r="X6" s="34">
        <f t="shared" si="4"/>
        <v>0</v>
      </c>
      <c r="Y6" s="34">
        <f t="shared" si="5"/>
        <v>1.5</v>
      </c>
      <c r="Z6" s="65">
        <f t="shared" si="36"/>
        <v>1.3959523809523811</v>
      </c>
      <c r="AA6" s="34">
        <f t="shared" si="6"/>
        <v>1.0700000000000003</v>
      </c>
      <c r="AB6" s="47">
        <v>0</v>
      </c>
      <c r="AC6" s="48" t="str">
        <f t="shared" si="7"/>
        <v>Metered</v>
      </c>
      <c r="AD6" s="34">
        <v>1</v>
      </c>
      <c r="AE6" s="34" t="s">
        <v>62</v>
      </c>
      <c r="AF6" s="49">
        <v>19</v>
      </c>
      <c r="AG6" s="34">
        <v>938.08</v>
      </c>
      <c r="AH6" s="50"/>
      <c r="AI6" s="51" t="str">
        <f t="shared" si="8"/>
        <v/>
      </c>
      <c r="AJ6" s="34"/>
      <c r="AK6" s="34"/>
      <c r="AL6" s="34">
        <f t="shared" si="9"/>
        <v>0</v>
      </c>
      <c r="AM6" s="34"/>
      <c r="AN6" s="34"/>
      <c r="AO6" s="42"/>
      <c r="AP6" s="52">
        <f t="shared" si="10"/>
        <v>25000</v>
      </c>
      <c r="AQ6" s="52">
        <f t="shared" si="11"/>
        <v>0</v>
      </c>
      <c r="AR6" s="53">
        <f t="shared" si="12"/>
        <v>17823.52</v>
      </c>
      <c r="AS6" s="52">
        <f t="shared" si="13"/>
        <v>0</v>
      </c>
      <c r="AT6" s="54">
        <v>2083.3333333333335</v>
      </c>
      <c r="AU6" s="55">
        <f t="shared" si="14"/>
        <v>44906.85333333334</v>
      </c>
      <c r="AV6" s="55"/>
      <c r="AW6" s="134">
        <v>721004322</v>
      </c>
      <c r="AX6" s="63"/>
      <c r="AY6" s="64"/>
      <c r="AZ6" s="63"/>
      <c r="BA6" s="198"/>
      <c r="BC6" s="25">
        <f t="shared" si="15"/>
        <v>44906.85333333334</v>
      </c>
      <c r="BD6" s="25">
        <f t="shared" si="16"/>
        <v>29937.902222222227</v>
      </c>
      <c r="BE6" s="25">
        <f t="shared" si="17"/>
        <v>11581.980877814209</v>
      </c>
      <c r="BF6" s="25">
        <f t="shared" si="18"/>
        <v>11581.980877814209</v>
      </c>
      <c r="BG6" s="25">
        <f t="shared" si="19"/>
        <v>12978.584454166665</v>
      </c>
      <c r="BH6" s="25"/>
      <c r="BI6" s="26">
        <f t="shared" si="20"/>
        <v>42823.520000000004</v>
      </c>
      <c r="BJ6" s="26">
        <f t="shared" si="21"/>
        <v>25000.000000000004</v>
      </c>
      <c r="BK6" s="26">
        <f>IF(H6="Bundled",MIN(Y6*$AG$1*(1+#REF!),BI6),AR6)</f>
        <v>17823.52</v>
      </c>
      <c r="BL6" s="27">
        <f t="shared" si="22"/>
        <v>25450.548683278692</v>
      </c>
      <c r="BM6" s="27">
        <f t="shared" si="23"/>
        <v>25450.548683278692</v>
      </c>
      <c r="BN6" s="27">
        <f t="shared" si="24"/>
        <v>23264.823318750001</v>
      </c>
      <c r="BO6" s="27">
        <f t="shared" si="25"/>
        <v>17372.971316721312</v>
      </c>
      <c r="BP6" s="27" t="e">
        <f>+#REF!*Y6</f>
        <v>#REF!</v>
      </c>
      <c r="BQ6" s="27" t="e">
        <f t="shared" si="26"/>
        <v>#REF!</v>
      </c>
      <c r="BR6" s="27">
        <f t="shared" si="27"/>
        <v>-7627.0286832786915</v>
      </c>
      <c r="BS6" s="27" t="e">
        <f t="shared" si="28"/>
        <v>#REF!</v>
      </c>
      <c r="BT6" s="27">
        <f t="shared" si="29"/>
        <v>1.5</v>
      </c>
      <c r="BU6" s="27">
        <f t="shared" si="30"/>
        <v>11581.980877814209</v>
      </c>
      <c r="BV6" s="27">
        <f t="shared" si="31"/>
        <v>-7627.0286832786915</v>
      </c>
      <c r="BW6" s="27" t="e">
        <f>IF(H6="Bundled",+(BG6-#REF!)*Y6,(AP6+AQ6)-Y6*#REF!)</f>
        <v>#REF!</v>
      </c>
      <c r="BX6" s="27" t="e">
        <f t="shared" si="32"/>
        <v>#REF!</v>
      </c>
      <c r="BY6" s="27">
        <f t="shared" si="33"/>
        <v>-5084.685788852461</v>
      </c>
      <c r="BZ6" s="27" t="e">
        <f t="shared" si="34"/>
        <v>#REF!</v>
      </c>
      <c r="CA6" s="27" t="e">
        <f t="shared" si="35"/>
        <v>#REF!</v>
      </c>
    </row>
    <row r="7" spans="1:80" x14ac:dyDescent="0.3">
      <c r="A7" s="195" t="s">
        <v>248</v>
      </c>
      <c r="B7" s="32" t="s">
        <v>189</v>
      </c>
      <c r="C7" s="32" t="s">
        <v>382</v>
      </c>
      <c r="D7" s="32" t="s">
        <v>405</v>
      </c>
      <c r="E7" s="32"/>
      <c r="F7" s="32"/>
      <c r="G7" s="33" t="s">
        <v>56</v>
      </c>
      <c r="H7" s="34" t="s">
        <v>57</v>
      </c>
      <c r="I7" s="33" t="s">
        <v>8</v>
      </c>
      <c r="J7" s="33" t="s">
        <v>61</v>
      </c>
      <c r="K7" s="31" t="str">
        <f t="shared" si="0"/>
        <v>No of Racks</v>
      </c>
      <c r="L7" s="33">
        <v>2</v>
      </c>
      <c r="M7" s="33">
        <v>2</v>
      </c>
      <c r="N7" s="35">
        <f t="shared" si="1"/>
        <v>0</v>
      </c>
      <c r="O7" s="33">
        <v>2</v>
      </c>
      <c r="P7" s="33"/>
      <c r="Q7" s="42">
        <f>(798000+760000)/2/12</f>
        <v>64916.666666666664</v>
      </c>
      <c r="R7" s="43" t="str">
        <f t="shared" si="2"/>
        <v>Subscribed</v>
      </c>
      <c r="S7" s="33" t="s">
        <v>58</v>
      </c>
      <c r="T7" s="34">
        <v>7.5</v>
      </c>
      <c r="U7" s="66">
        <f>Z7</f>
        <v>5.6367113095238102</v>
      </c>
      <c r="V7" s="46">
        <f t="shared" si="3"/>
        <v>1.8632886904761898</v>
      </c>
      <c r="W7" s="34"/>
      <c r="X7" s="34">
        <f t="shared" si="4"/>
        <v>1.8632886904761898</v>
      </c>
      <c r="Y7" s="34">
        <f t="shared" si="5"/>
        <v>7.5</v>
      </c>
      <c r="Z7" s="65">
        <f>AG7/28/24</f>
        <v>5.6367113095238102</v>
      </c>
      <c r="AA7" s="34">
        <f t="shared" si="6"/>
        <v>0</v>
      </c>
      <c r="AB7" s="47">
        <f>110000/12</f>
        <v>9166.6666666666661</v>
      </c>
      <c r="AC7" s="48" t="str">
        <f t="shared" si="7"/>
        <v>Metered</v>
      </c>
      <c r="AD7" s="34">
        <v>1</v>
      </c>
      <c r="AE7" s="34" t="s">
        <v>62</v>
      </c>
      <c r="AF7" s="49">
        <v>19.5</v>
      </c>
      <c r="AG7" s="34">
        <v>3787.87</v>
      </c>
      <c r="AH7" s="50"/>
      <c r="AI7" s="51" t="str">
        <f t="shared" si="8"/>
        <v/>
      </c>
      <c r="AJ7" s="34"/>
      <c r="AK7" s="34"/>
      <c r="AL7" s="34">
        <f t="shared" si="9"/>
        <v>0</v>
      </c>
      <c r="AM7" s="34"/>
      <c r="AN7" s="34"/>
      <c r="AO7" s="42"/>
      <c r="AP7" s="52">
        <f t="shared" si="10"/>
        <v>129833.33333333333</v>
      </c>
      <c r="AQ7" s="52">
        <f t="shared" si="11"/>
        <v>0</v>
      </c>
      <c r="AR7" s="53">
        <f t="shared" si="12"/>
        <v>73863.464999999997</v>
      </c>
      <c r="AS7" s="52">
        <f t="shared" si="13"/>
        <v>0</v>
      </c>
      <c r="AT7" s="54">
        <f>(15450)/12</f>
        <v>1287.5</v>
      </c>
      <c r="AU7" s="55">
        <f t="shared" si="14"/>
        <v>204984.29833333334</v>
      </c>
      <c r="AV7" s="55"/>
      <c r="AW7" s="134" t="s">
        <v>111</v>
      </c>
      <c r="AX7" s="63"/>
      <c r="AY7" s="64"/>
      <c r="AZ7" s="63"/>
      <c r="BA7" s="196"/>
      <c r="BC7" s="25">
        <f t="shared" si="15"/>
        <v>102492.14916666667</v>
      </c>
      <c r="BD7" s="25">
        <f t="shared" si="16"/>
        <v>27331.239777777777</v>
      </c>
      <c r="BE7" s="25">
        <f t="shared" si="17"/>
        <v>13457.348732105647</v>
      </c>
      <c r="BF7" s="25">
        <f t="shared" si="18"/>
        <v>13457.348732105647</v>
      </c>
      <c r="BG7" s="25">
        <f t="shared" si="19"/>
        <v>13934.128898611112</v>
      </c>
      <c r="BH7" s="25"/>
      <c r="BI7" s="26">
        <f t="shared" si="20"/>
        <v>203696.79833333334</v>
      </c>
      <c r="BJ7" s="26">
        <f t="shared" si="21"/>
        <v>129833.33333333334</v>
      </c>
      <c r="BK7" s="26">
        <f>IF(H7="Bundled",MIN(Y7*$AG$1*(1+#REF!),BI7),AR7)</f>
        <v>73863.464999999997</v>
      </c>
      <c r="BL7" s="27">
        <f t="shared" si="22"/>
        <v>102766.68284254099</v>
      </c>
      <c r="BM7" s="27">
        <f t="shared" si="23"/>
        <v>102766.68284254099</v>
      </c>
      <c r="BN7" s="27">
        <f t="shared" si="24"/>
        <v>116324.11659374998</v>
      </c>
      <c r="BO7" s="27">
        <f t="shared" si="25"/>
        <v>100930.11549079235</v>
      </c>
      <c r="BP7" s="27" t="e">
        <f>+#REF!*Y7</f>
        <v>#REF!</v>
      </c>
      <c r="BQ7" s="27" t="e">
        <f t="shared" si="26"/>
        <v>#REF!</v>
      </c>
      <c r="BR7" s="27">
        <f t="shared" si="27"/>
        <v>-28903.217842540995</v>
      </c>
      <c r="BS7" s="27" t="e">
        <f t="shared" si="28"/>
        <v>#REF!</v>
      </c>
      <c r="BT7" s="27">
        <f t="shared" si="29"/>
        <v>7.5</v>
      </c>
      <c r="BU7" s="27">
        <f t="shared" si="30"/>
        <v>13457.348732105647</v>
      </c>
      <c r="BV7" s="27">
        <f t="shared" si="31"/>
        <v>-28903.217842540995</v>
      </c>
      <c r="BW7" s="27" t="e">
        <f>IF(H7="Bundled",+(BG7-#REF!)*Y7,(AP7+AQ7)-Y7*#REF!)</f>
        <v>#REF!</v>
      </c>
      <c r="BX7" s="27" t="e">
        <f t="shared" si="32"/>
        <v>#REF!</v>
      </c>
      <c r="BY7" s="27">
        <f t="shared" si="33"/>
        <v>-3853.7623790054658</v>
      </c>
      <c r="BZ7" s="27" t="e">
        <f t="shared" si="34"/>
        <v>#REF!</v>
      </c>
      <c r="CA7" s="27" t="e">
        <f t="shared" si="35"/>
        <v>#REF!</v>
      </c>
      <c r="CB7" s="5" t="s">
        <v>103</v>
      </c>
    </row>
    <row r="8" spans="1:80" x14ac:dyDescent="0.3">
      <c r="A8" s="195" t="s">
        <v>248</v>
      </c>
      <c r="B8" s="32" t="s">
        <v>566</v>
      </c>
      <c r="C8" s="32" t="s">
        <v>382</v>
      </c>
      <c r="D8" s="32" t="s">
        <v>405</v>
      </c>
      <c r="E8" s="32"/>
      <c r="F8" s="32"/>
      <c r="G8" s="33" t="s">
        <v>56</v>
      </c>
      <c r="H8" s="34" t="s">
        <v>57</v>
      </c>
      <c r="I8" s="33" t="s">
        <v>8</v>
      </c>
      <c r="J8" s="33" t="s">
        <v>61</v>
      </c>
      <c r="K8" s="31" t="str">
        <f t="shared" si="0"/>
        <v>No of Racks</v>
      </c>
      <c r="L8" s="33">
        <v>1</v>
      </c>
      <c r="M8" s="33">
        <v>0</v>
      </c>
      <c r="N8" s="35">
        <f t="shared" si="1"/>
        <v>1</v>
      </c>
      <c r="O8" s="33">
        <v>0</v>
      </c>
      <c r="P8" s="33"/>
      <c r="Q8" s="42"/>
      <c r="R8" s="43" t="str">
        <f t="shared" si="2"/>
        <v>Subscribed</v>
      </c>
      <c r="S8" s="33" t="s">
        <v>58</v>
      </c>
      <c r="T8" s="34">
        <v>3</v>
      </c>
      <c r="U8" s="66"/>
      <c r="V8" s="46">
        <f t="shared" ref="V8" si="37">T8-U8</f>
        <v>3</v>
      </c>
      <c r="W8" s="34"/>
      <c r="X8" s="34">
        <f t="shared" ref="X8" si="38">IF(V8&lt;=0,0,(IF(R8="Rated",(V8+W8)*$X$1,(V8+W8))))</f>
        <v>3</v>
      </c>
      <c r="Y8" s="34">
        <f t="shared" ref="Y8" si="39">IF(R8="Rated",T8*$X$1,T8)</f>
        <v>3</v>
      </c>
      <c r="Z8" s="65"/>
      <c r="AA8" s="34"/>
      <c r="AB8" s="47"/>
      <c r="AC8" s="48" t="str">
        <f t="shared" si="7"/>
        <v>Metered</v>
      </c>
      <c r="AD8" s="34"/>
      <c r="AE8" s="34"/>
      <c r="AF8" s="49"/>
      <c r="AG8" s="34"/>
      <c r="AH8" s="50"/>
      <c r="AI8" s="51"/>
      <c r="AJ8" s="34"/>
      <c r="AK8" s="34"/>
      <c r="AL8" s="34"/>
      <c r="AM8" s="34"/>
      <c r="AN8" s="34"/>
      <c r="AO8" s="42"/>
      <c r="AP8" s="52"/>
      <c r="AQ8" s="52"/>
      <c r="AR8" s="53"/>
      <c r="AS8" s="52"/>
      <c r="AT8" s="54"/>
      <c r="AU8" s="55"/>
      <c r="AV8" s="55"/>
      <c r="AW8" s="134"/>
      <c r="AX8" s="63"/>
      <c r="AY8" s="64"/>
      <c r="AZ8" s="63"/>
      <c r="BA8" s="196"/>
      <c r="BC8" s="59"/>
      <c r="BD8" s="59"/>
      <c r="BE8" s="59"/>
      <c r="BF8" s="59"/>
      <c r="BG8" s="59"/>
      <c r="BH8" s="59"/>
      <c r="BI8" s="60"/>
      <c r="BJ8" s="60"/>
      <c r="BK8" s="60"/>
      <c r="BL8" s="61"/>
      <c r="BM8" s="61"/>
      <c r="BN8" s="61">
        <f t="shared" si="24"/>
        <v>46529.646637500002</v>
      </c>
      <c r="BO8" s="61"/>
      <c r="BP8" s="61"/>
      <c r="BQ8" s="61"/>
      <c r="BR8" s="61"/>
      <c r="BS8" s="61"/>
      <c r="BT8" s="61">
        <f t="shared" si="29"/>
        <v>3</v>
      </c>
      <c r="BU8" s="61"/>
      <c r="BV8" s="61"/>
      <c r="BW8" s="61"/>
      <c r="BX8" s="61"/>
      <c r="BY8" s="61"/>
      <c r="BZ8" s="61"/>
      <c r="CA8" s="61"/>
    </row>
    <row r="9" spans="1:80" x14ac:dyDescent="0.3">
      <c r="A9" s="195" t="s">
        <v>248</v>
      </c>
      <c r="B9" s="32" t="s">
        <v>190</v>
      </c>
      <c r="C9" s="33" t="s">
        <v>329</v>
      </c>
      <c r="D9" s="33" t="s">
        <v>404</v>
      </c>
      <c r="E9" s="33"/>
      <c r="F9" s="33"/>
      <c r="G9" s="33" t="s">
        <v>56</v>
      </c>
      <c r="H9" s="34" t="s">
        <v>57</v>
      </c>
      <c r="I9" s="33" t="s">
        <v>8</v>
      </c>
      <c r="J9" s="33" t="s">
        <v>61</v>
      </c>
      <c r="K9" s="31" t="str">
        <f t="shared" si="0"/>
        <v>No of Racks</v>
      </c>
      <c r="L9" s="33">
        <v>1</v>
      </c>
      <c r="M9" s="33">
        <v>1</v>
      </c>
      <c r="N9" s="35">
        <f t="shared" si="1"/>
        <v>0</v>
      </c>
      <c r="O9" s="33">
        <v>1</v>
      </c>
      <c r="P9" s="33"/>
      <c r="Q9" s="42">
        <f>270000/12</f>
        <v>22500</v>
      </c>
      <c r="R9" s="43" t="str">
        <f t="shared" si="2"/>
        <v>Subscribed</v>
      </c>
      <c r="S9" s="33" t="s">
        <v>58</v>
      </c>
      <c r="T9" s="34">
        <v>3</v>
      </c>
      <c r="U9" s="66">
        <f>Z9</f>
        <v>2.9718303571428568</v>
      </c>
      <c r="V9" s="46">
        <f t="shared" si="3"/>
        <v>2.8169642857143185E-2</v>
      </c>
      <c r="W9" s="34"/>
      <c r="X9" s="34">
        <f t="shared" si="4"/>
        <v>2.8169642857143185E-2</v>
      </c>
      <c r="Y9" s="34">
        <f t="shared" si="5"/>
        <v>3</v>
      </c>
      <c r="Z9" s="65">
        <f>AG9/28/24</f>
        <v>2.9718303571428568</v>
      </c>
      <c r="AA9" s="34">
        <f t="shared" si="6"/>
        <v>0</v>
      </c>
      <c r="AB9" s="47">
        <f>100000/12</f>
        <v>8333.3333333333339</v>
      </c>
      <c r="AC9" s="48" t="str">
        <f t="shared" si="7"/>
        <v>Metered</v>
      </c>
      <c r="AD9" s="34">
        <v>1</v>
      </c>
      <c r="AE9" s="34" t="s">
        <v>62</v>
      </c>
      <c r="AF9" s="49">
        <v>17</v>
      </c>
      <c r="AG9" s="34">
        <v>1997.07</v>
      </c>
      <c r="AH9" s="50"/>
      <c r="AI9" s="51" t="str">
        <f t="shared" si="8"/>
        <v/>
      </c>
      <c r="AJ9" s="34"/>
      <c r="AK9" s="34"/>
      <c r="AL9" s="34">
        <f t="shared" si="9"/>
        <v>0</v>
      </c>
      <c r="AM9" s="34"/>
      <c r="AN9" s="34"/>
      <c r="AO9" s="42"/>
      <c r="AP9" s="52">
        <f t="shared" si="10"/>
        <v>22500</v>
      </c>
      <c r="AQ9" s="52">
        <f t="shared" si="11"/>
        <v>0</v>
      </c>
      <c r="AR9" s="53">
        <f t="shared" si="12"/>
        <v>33950.19</v>
      </c>
      <c r="AS9" s="52">
        <f t="shared" si="13"/>
        <v>0</v>
      </c>
      <c r="AT9" s="54">
        <f>107880/12</f>
        <v>8990</v>
      </c>
      <c r="AU9" s="55">
        <f t="shared" si="14"/>
        <v>65440.19</v>
      </c>
      <c r="AV9" s="55"/>
      <c r="AW9" s="134" t="s">
        <v>111</v>
      </c>
      <c r="AX9" s="63"/>
      <c r="AY9" s="64"/>
      <c r="AZ9" s="63"/>
      <c r="BA9" s="196"/>
      <c r="BC9" s="25">
        <f t="shared" si="15"/>
        <v>65440.19</v>
      </c>
      <c r="BD9" s="25">
        <f t="shared" si="16"/>
        <v>21813.396666666667</v>
      </c>
      <c r="BE9" s="25">
        <f t="shared" si="17"/>
        <v>756.2492809016403</v>
      </c>
      <c r="BF9" s="25">
        <f t="shared" si="18"/>
        <v>756.2492809016403</v>
      </c>
      <c r="BG9" s="25">
        <f t="shared" si="19"/>
        <v>2567.5177874999986</v>
      </c>
      <c r="BH9" s="25"/>
      <c r="BI9" s="26">
        <f t="shared" si="20"/>
        <v>56450.19</v>
      </c>
      <c r="BJ9" s="26">
        <f t="shared" si="21"/>
        <v>22500</v>
      </c>
      <c r="BK9" s="26">
        <f>IF(H9="Bundled",MIN(Y9*$AG$1*(1+#REF!),BI9),AR9)</f>
        <v>33950.19</v>
      </c>
      <c r="BL9" s="27">
        <f t="shared" si="22"/>
        <v>54181.442157295081</v>
      </c>
      <c r="BM9" s="27">
        <f t="shared" si="23"/>
        <v>54181.442157295081</v>
      </c>
      <c r="BN9" s="27">
        <f t="shared" si="24"/>
        <v>46529.646637500002</v>
      </c>
      <c r="BO9" s="27">
        <f t="shared" si="25"/>
        <v>2268.7478427049209</v>
      </c>
      <c r="BP9" s="27" t="e">
        <f>+#REF!*Y9</f>
        <v>#REF!</v>
      </c>
      <c r="BQ9" s="27" t="e">
        <f t="shared" si="26"/>
        <v>#REF!</v>
      </c>
      <c r="BR9" s="27">
        <f t="shared" si="27"/>
        <v>-20231.252157295079</v>
      </c>
      <c r="BS9" s="27" t="e">
        <f t="shared" si="28"/>
        <v>#REF!</v>
      </c>
      <c r="BT9" s="27">
        <f t="shared" si="29"/>
        <v>3</v>
      </c>
      <c r="BU9" s="27">
        <f t="shared" si="30"/>
        <v>756.2492809016403</v>
      </c>
      <c r="BV9" s="27">
        <f t="shared" si="31"/>
        <v>-20231.252157295079</v>
      </c>
      <c r="BW9" s="27" t="e">
        <f>IF(H9="Bundled",+(BG9-#REF!)*Y9,(AP9+AQ9)-Y9*#REF!)</f>
        <v>#REF!</v>
      </c>
      <c r="BX9" s="27" t="e">
        <f t="shared" si="32"/>
        <v>#REF!</v>
      </c>
      <c r="BY9" s="27">
        <f t="shared" si="33"/>
        <v>-6743.7507190983597</v>
      </c>
      <c r="BZ9" s="27" t="e">
        <f t="shared" si="34"/>
        <v>#REF!</v>
      </c>
      <c r="CA9" s="27" t="e">
        <f t="shared" si="35"/>
        <v>#REF!</v>
      </c>
    </row>
    <row r="10" spans="1:80" x14ac:dyDescent="0.3">
      <c r="A10" s="195" t="s">
        <v>248</v>
      </c>
      <c r="B10" s="32" t="s">
        <v>194</v>
      </c>
      <c r="C10" s="135" t="s">
        <v>327</v>
      </c>
      <c r="D10" s="135" t="s">
        <v>405</v>
      </c>
      <c r="E10" s="135"/>
      <c r="F10" s="135"/>
      <c r="G10" s="33" t="s">
        <v>56</v>
      </c>
      <c r="H10" s="34" t="s">
        <v>57</v>
      </c>
      <c r="I10" s="33" t="s">
        <v>8</v>
      </c>
      <c r="J10" s="33" t="s">
        <v>61</v>
      </c>
      <c r="K10" s="31" t="str">
        <f t="shared" si="0"/>
        <v>No of Racks</v>
      </c>
      <c r="L10" s="33">
        <v>1</v>
      </c>
      <c r="M10" s="33">
        <v>1</v>
      </c>
      <c r="N10" s="35">
        <f t="shared" si="1"/>
        <v>0</v>
      </c>
      <c r="O10" s="33">
        <v>1</v>
      </c>
      <c r="P10" s="33"/>
      <c r="Q10" s="42">
        <f>(264600)/12</f>
        <v>22050</v>
      </c>
      <c r="R10" s="43" t="str">
        <f t="shared" si="2"/>
        <v>Subscribed</v>
      </c>
      <c r="S10" s="33" t="s">
        <v>58</v>
      </c>
      <c r="T10" s="34">
        <v>3</v>
      </c>
      <c r="U10" s="66">
        <f>Z10</f>
        <v>2.8116220238095235</v>
      </c>
      <c r="V10" s="46">
        <f t="shared" si="3"/>
        <v>0.18837797619047647</v>
      </c>
      <c r="W10" s="34"/>
      <c r="X10" s="34">
        <f t="shared" si="4"/>
        <v>0.18837797619047647</v>
      </c>
      <c r="Y10" s="34">
        <f t="shared" si="5"/>
        <v>3</v>
      </c>
      <c r="Z10" s="65">
        <f>AG10/28/24</f>
        <v>2.8116220238095235</v>
      </c>
      <c r="AA10" s="34">
        <f t="shared" si="6"/>
        <v>0</v>
      </c>
      <c r="AB10" s="47">
        <f>80000/12</f>
        <v>6666.666666666667</v>
      </c>
      <c r="AC10" s="48" t="str">
        <f t="shared" si="7"/>
        <v>Metered</v>
      </c>
      <c r="AD10" s="34">
        <v>1</v>
      </c>
      <c r="AE10" s="34" t="s">
        <v>62</v>
      </c>
      <c r="AF10" s="49">
        <v>17</v>
      </c>
      <c r="AG10" s="34">
        <v>1889.41</v>
      </c>
      <c r="AH10" s="50"/>
      <c r="AI10" s="51" t="str">
        <f t="shared" si="8"/>
        <v/>
      </c>
      <c r="AJ10" s="34"/>
      <c r="AK10" s="34"/>
      <c r="AL10" s="34">
        <f t="shared" si="9"/>
        <v>0</v>
      </c>
      <c r="AM10" s="34"/>
      <c r="AN10" s="34"/>
      <c r="AO10" s="42"/>
      <c r="AP10" s="52">
        <f t="shared" si="10"/>
        <v>22050</v>
      </c>
      <c r="AQ10" s="52">
        <f t="shared" si="11"/>
        <v>0</v>
      </c>
      <c r="AR10" s="53">
        <f t="shared" si="12"/>
        <v>32119.97</v>
      </c>
      <c r="AS10" s="52">
        <f t="shared" si="13"/>
        <v>0</v>
      </c>
      <c r="AT10" s="54">
        <f>(220500+11025)/12</f>
        <v>19293.75</v>
      </c>
      <c r="AU10" s="55">
        <f t="shared" si="14"/>
        <v>73463.72</v>
      </c>
      <c r="AV10" s="55"/>
      <c r="AW10" s="134" t="s">
        <v>111</v>
      </c>
      <c r="AX10" s="63"/>
      <c r="AY10" s="64"/>
      <c r="AZ10" s="63"/>
      <c r="BA10" s="196"/>
      <c r="BC10" s="25">
        <f t="shared" si="15"/>
        <v>73463.72</v>
      </c>
      <c r="BD10" s="25">
        <f t="shared" si="16"/>
        <v>24487.906666666666</v>
      </c>
      <c r="BE10" s="25">
        <f t="shared" si="17"/>
        <v>969.7979809562845</v>
      </c>
      <c r="BF10" s="25">
        <f t="shared" si="18"/>
        <v>969.7979809562845</v>
      </c>
      <c r="BG10" s="25">
        <f t="shared" si="19"/>
        <v>2417.5177874999986</v>
      </c>
      <c r="BH10" s="25"/>
      <c r="BI10" s="26">
        <f t="shared" si="20"/>
        <v>54169.97</v>
      </c>
      <c r="BJ10" s="26">
        <f t="shared" si="21"/>
        <v>22050</v>
      </c>
      <c r="BK10" s="26">
        <f>IF(H10="Bundled",MIN(Y10*$AG$1*(1+#REF!),BI10),AR10)</f>
        <v>32119.97</v>
      </c>
      <c r="BL10" s="27">
        <f t="shared" si="22"/>
        <v>51260.576057131148</v>
      </c>
      <c r="BM10" s="27">
        <f t="shared" si="23"/>
        <v>51260.576057131148</v>
      </c>
      <c r="BN10" s="27">
        <f t="shared" si="24"/>
        <v>46529.646637500002</v>
      </c>
      <c r="BO10" s="27">
        <f t="shared" si="25"/>
        <v>2909.3939428688536</v>
      </c>
      <c r="BP10" s="27" t="e">
        <f>+#REF!*Y10</f>
        <v>#REF!</v>
      </c>
      <c r="BQ10" s="27" t="e">
        <f t="shared" si="26"/>
        <v>#REF!</v>
      </c>
      <c r="BR10" s="27">
        <f t="shared" si="27"/>
        <v>-19140.606057131146</v>
      </c>
      <c r="BS10" s="27" t="e">
        <f t="shared" si="28"/>
        <v>#REF!</v>
      </c>
      <c r="BT10" s="27">
        <f t="shared" si="29"/>
        <v>3</v>
      </c>
      <c r="BU10" s="27">
        <f t="shared" si="30"/>
        <v>969.7979809562845</v>
      </c>
      <c r="BV10" s="27">
        <f t="shared" si="31"/>
        <v>-19140.606057131146</v>
      </c>
      <c r="BW10" s="27" t="e">
        <f>IF(H10="Bundled",+(BG10-#REF!)*Y10,(AP10+AQ10)-Y10*#REF!)</f>
        <v>#REF!</v>
      </c>
      <c r="BX10" s="27" t="e">
        <f t="shared" si="32"/>
        <v>#REF!</v>
      </c>
      <c r="BY10" s="27">
        <f t="shared" si="33"/>
        <v>-6380.2020190437152</v>
      </c>
      <c r="BZ10" s="27" t="e">
        <f t="shared" si="34"/>
        <v>#REF!</v>
      </c>
      <c r="CA10" s="27" t="e">
        <f t="shared" si="35"/>
        <v>#REF!</v>
      </c>
      <c r="CB10" s="5" t="s">
        <v>104</v>
      </c>
    </row>
    <row r="11" spans="1:80" ht="26" x14ac:dyDescent="0.3">
      <c r="A11" s="195" t="s">
        <v>248</v>
      </c>
      <c r="B11" s="32" t="s">
        <v>477</v>
      </c>
      <c r="C11" s="279" t="s">
        <v>342</v>
      </c>
      <c r="D11" s="279" t="s">
        <v>406</v>
      </c>
      <c r="E11" s="34"/>
      <c r="F11" s="34"/>
      <c r="G11" s="33" t="s">
        <v>11</v>
      </c>
      <c r="H11" s="34" t="s">
        <v>52</v>
      </c>
      <c r="I11" s="33" t="s">
        <v>3</v>
      </c>
      <c r="J11" s="33" t="s">
        <v>53</v>
      </c>
      <c r="K11" s="31" t="s">
        <v>479</v>
      </c>
      <c r="L11" s="33">
        <v>224</v>
      </c>
      <c r="M11" s="33">
        <v>224</v>
      </c>
      <c r="N11" s="35">
        <v>0</v>
      </c>
      <c r="O11" s="33">
        <v>3</v>
      </c>
      <c r="P11" s="35"/>
      <c r="Q11" s="137">
        <f>(595000)/12</f>
        <v>49583.333333333336</v>
      </c>
      <c r="R11" s="43" t="str">
        <f t="shared" si="2"/>
        <v>Rated</v>
      </c>
      <c r="S11" s="33" t="s">
        <v>54</v>
      </c>
      <c r="T11" s="138">
        <v>15.39</v>
      </c>
      <c r="U11" s="45">
        <v>15.73</v>
      </c>
      <c r="V11" s="46">
        <f t="shared" si="3"/>
        <v>-0.33999999999999986</v>
      </c>
      <c r="W11" s="34"/>
      <c r="X11" s="34">
        <f t="shared" si="4"/>
        <v>0</v>
      </c>
      <c r="Y11" s="34">
        <f t="shared" si="5"/>
        <v>7.6950000000000003</v>
      </c>
      <c r="Z11" s="65">
        <v>3.48</v>
      </c>
      <c r="AA11" s="34">
        <f t="shared" si="6"/>
        <v>0.33999999999999986</v>
      </c>
      <c r="AB11" s="47">
        <f>109945/12</f>
        <v>9162.0833333333339</v>
      </c>
      <c r="AC11" s="48" t="str">
        <f t="shared" si="7"/>
        <v>Bundled</v>
      </c>
      <c r="AD11" s="34"/>
      <c r="AE11" s="34"/>
      <c r="AF11" s="49"/>
      <c r="AG11" s="34"/>
      <c r="AH11" s="50" t="s">
        <v>55</v>
      </c>
      <c r="AI11" s="51" t="str">
        <f t="shared" si="8"/>
        <v>No of Seats</v>
      </c>
      <c r="AJ11" s="34">
        <v>1</v>
      </c>
      <c r="AK11" s="34">
        <v>1</v>
      </c>
      <c r="AL11" s="34">
        <f t="shared" si="9"/>
        <v>0</v>
      </c>
      <c r="AM11" s="34">
        <v>1</v>
      </c>
      <c r="AN11" s="34"/>
      <c r="AO11" s="42">
        <f>102000/12</f>
        <v>8500</v>
      </c>
      <c r="AP11" s="52">
        <f t="shared" si="10"/>
        <v>148750</v>
      </c>
      <c r="AQ11" s="52">
        <f t="shared" si="11"/>
        <v>3115.1083333333322</v>
      </c>
      <c r="AR11" s="53">
        <f t="shared" si="12"/>
        <v>0</v>
      </c>
      <c r="AS11" s="52">
        <f t="shared" si="13"/>
        <v>8500</v>
      </c>
      <c r="AT11" s="54">
        <f>(300000+37000+42000)/12</f>
        <v>31583.333333333332</v>
      </c>
      <c r="AU11" s="55">
        <f t="shared" si="14"/>
        <v>191948.44166666668</v>
      </c>
      <c r="AV11" s="55"/>
      <c r="AW11" s="62" t="s">
        <v>111</v>
      </c>
      <c r="AX11" s="63"/>
      <c r="AY11" s="64"/>
      <c r="AZ11" s="63"/>
      <c r="BA11" s="197"/>
      <c r="BC11" s="25">
        <f t="shared" si="15"/>
        <v>25707.380580357141</v>
      </c>
      <c r="BD11" s="25">
        <f t="shared" si="16"/>
        <v>24944.566818280269</v>
      </c>
      <c r="BE11" s="25">
        <f t="shared" si="17"/>
        <v>11483.538123889972</v>
      </c>
      <c r="BF11" s="25">
        <f t="shared" si="18"/>
        <v>11483.538123889972</v>
      </c>
      <c r="BG11" s="25">
        <f t="shared" si="19"/>
        <v>1488.6363885098556</v>
      </c>
      <c r="BH11" s="25"/>
      <c r="BI11" s="26">
        <f t="shared" si="20"/>
        <v>151865.10833333334</v>
      </c>
      <c r="BJ11" s="26" t="e">
        <f t="shared" si="21"/>
        <v>#REF!</v>
      </c>
      <c r="BK11" s="26" t="e">
        <f>IF(H11="Bundled",MIN(Y11*$AG$1*(1+#REF!),BI11),AR11)</f>
        <v>#REF!</v>
      </c>
      <c r="BL11" s="27">
        <f t="shared" si="22"/>
        <v>63499.282469999998</v>
      </c>
      <c r="BM11" s="27">
        <f t="shared" si="23"/>
        <v>63499.282469999998</v>
      </c>
      <c r="BN11" s="27">
        <f t="shared" si="24"/>
        <v>140410.05132375</v>
      </c>
      <c r="BO11" s="27">
        <f t="shared" si="25"/>
        <v>88365.825863333332</v>
      </c>
      <c r="BP11" s="27" t="e">
        <f>+#REF!*Y11</f>
        <v>#REF!</v>
      </c>
      <c r="BQ11" s="27" t="e">
        <f t="shared" si="26"/>
        <v>#REF!</v>
      </c>
      <c r="BR11" s="27" t="e">
        <f t="shared" si="27"/>
        <v>#REF!</v>
      </c>
      <c r="BS11" s="27" t="e">
        <f t="shared" si="28"/>
        <v>#REF!</v>
      </c>
      <c r="BT11" s="27">
        <f t="shared" si="29"/>
        <v>7.6950000000000003</v>
      </c>
      <c r="BU11" s="27">
        <f t="shared" si="30"/>
        <v>11483.538123889972</v>
      </c>
      <c r="BV11" s="27">
        <f t="shared" si="31"/>
        <v>76910.768853749993</v>
      </c>
      <c r="BW11" s="27" t="e">
        <f>IF(H11="Bundled",+(BG11-#REF!)*Y11,(AP11+AQ11)-Y11*#REF!)</f>
        <v>#REF!</v>
      </c>
      <c r="BX11" s="27" t="e">
        <f t="shared" si="32"/>
        <v>#REF!</v>
      </c>
      <c r="BY11" s="27">
        <f t="shared" si="33"/>
        <v>9994.9017353801155</v>
      </c>
      <c r="BZ11" s="27" t="e">
        <f t="shared" si="34"/>
        <v>#REF!</v>
      </c>
      <c r="CA11" s="27" t="e">
        <f t="shared" si="35"/>
        <v>#REF!</v>
      </c>
      <c r="CB11" s="5" t="s">
        <v>100</v>
      </c>
    </row>
    <row r="12" spans="1:80" x14ac:dyDescent="0.3">
      <c r="A12" s="195" t="s">
        <v>248</v>
      </c>
      <c r="B12" s="32" t="s">
        <v>558</v>
      </c>
      <c r="C12" s="279" t="s">
        <v>343</v>
      </c>
      <c r="D12" s="279" t="s">
        <v>405</v>
      </c>
      <c r="E12" s="279"/>
      <c r="F12" s="279"/>
      <c r="G12" s="33" t="s">
        <v>11</v>
      </c>
      <c r="H12" s="34" t="s">
        <v>52</v>
      </c>
      <c r="I12" s="33" t="s">
        <v>8</v>
      </c>
      <c r="J12" s="33" t="s">
        <v>61</v>
      </c>
      <c r="K12" s="31" t="str">
        <f>IF(I12="Rack","No of Racks",(IF(I12="Space","Sq Ft","U Space")))</f>
        <v>No of Racks</v>
      </c>
      <c r="L12" s="33">
        <v>2</v>
      </c>
      <c r="M12" s="33">
        <v>2</v>
      </c>
      <c r="N12" s="35">
        <f>L12-M12</f>
        <v>0</v>
      </c>
      <c r="O12" s="33">
        <v>2</v>
      </c>
      <c r="P12" s="49"/>
      <c r="Q12" s="137">
        <f>((860000+550000+200000)/3)/12</f>
        <v>44722.222222222219</v>
      </c>
      <c r="R12" s="43" t="str">
        <f t="shared" si="2"/>
        <v>Rated</v>
      </c>
      <c r="S12" s="33" t="s">
        <v>54</v>
      </c>
      <c r="T12" s="34">
        <v>9</v>
      </c>
      <c r="U12" s="45">
        <v>12.72</v>
      </c>
      <c r="V12" s="46">
        <f t="shared" si="3"/>
        <v>-3.7200000000000006</v>
      </c>
      <c r="W12" s="34"/>
      <c r="X12" s="34">
        <f t="shared" si="4"/>
        <v>0</v>
      </c>
      <c r="Y12" s="34">
        <f t="shared" si="5"/>
        <v>4.5</v>
      </c>
      <c r="Z12" s="65">
        <v>1.74</v>
      </c>
      <c r="AA12" s="34">
        <f t="shared" si="6"/>
        <v>3.7200000000000006</v>
      </c>
      <c r="AB12" s="47">
        <f>90000/12</f>
        <v>7500</v>
      </c>
      <c r="AC12" s="48" t="str">
        <f t="shared" si="7"/>
        <v>Bundled</v>
      </c>
      <c r="AD12" s="34"/>
      <c r="AE12" s="34"/>
      <c r="AF12" s="49"/>
      <c r="AG12" s="34"/>
      <c r="AH12" s="50"/>
      <c r="AI12" s="51" t="str">
        <f t="shared" si="8"/>
        <v/>
      </c>
      <c r="AJ12" s="34"/>
      <c r="AK12" s="34"/>
      <c r="AL12" s="34">
        <f t="shared" si="9"/>
        <v>0</v>
      </c>
      <c r="AM12" s="34"/>
      <c r="AN12" s="34"/>
      <c r="AO12" s="42"/>
      <c r="AP12" s="52">
        <f t="shared" si="10"/>
        <v>89444.444444444438</v>
      </c>
      <c r="AQ12" s="52">
        <f t="shared" si="11"/>
        <v>27900.000000000004</v>
      </c>
      <c r="AR12" s="53">
        <f t="shared" si="12"/>
        <v>0</v>
      </c>
      <c r="AS12" s="52">
        <f t="shared" si="13"/>
        <v>0</v>
      </c>
      <c r="AT12" s="54">
        <f>(20000+200000+50000+5000)/12</f>
        <v>22916.666666666668</v>
      </c>
      <c r="AU12" s="55">
        <f t="shared" si="14"/>
        <v>140261.11111111109</v>
      </c>
      <c r="AV12" s="55"/>
      <c r="AW12" s="134" t="s">
        <v>111</v>
      </c>
      <c r="AX12" s="63"/>
      <c r="AY12" s="64"/>
      <c r="AZ12" s="63"/>
      <c r="BA12" s="196"/>
      <c r="BC12" s="25">
        <f t="shared" si="15"/>
        <v>70130.555555555547</v>
      </c>
      <c r="BD12" s="25">
        <f t="shared" si="16"/>
        <v>31169.135802469133</v>
      </c>
      <c r="BE12" s="25">
        <f t="shared" si="17"/>
        <v>19021.067379876542</v>
      </c>
      <c r="BF12" s="25">
        <f t="shared" si="18"/>
        <v>19021.067379876542</v>
      </c>
      <c r="BG12" s="25">
        <f t="shared" si="19"/>
        <v>7829.6229598765431</v>
      </c>
      <c r="BH12" s="25"/>
      <c r="BI12" s="26">
        <f t="shared" si="20"/>
        <v>117344.44444444444</v>
      </c>
      <c r="BJ12" s="26" t="e">
        <f t="shared" si="21"/>
        <v>#REF!</v>
      </c>
      <c r="BK12" s="26" t="e">
        <f>IF(H12="Bundled",MIN(Y12*$AG$1*(1+#REF!),BI12),AR12)</f>
        <v>#REF!</v>
      </c>
      <c r="BL12" s="27">
        <f t="shared" si="22"/>
        <v>31749.641234999999</v>
      </c>
      <c r="BM12" s="27">
        <f t="shared" si="23"/>
        <v>31749.641234999999</v>
      </c>
      <c r="BN12" s="27">
        <f t="shared" si="24"/>
        <v>82111.141124999995</v>
      </c>
      <c r="BO12" s="27">
        <f t="shared" si="25"/>
        <v>85594.803209444435</v>
      </c>
      <c r="BP12" s="27" t="e">
        <f>+#REF!*Y12</f>
        <v>#REF!</v>
      </c>
      <c r="BQ12" s="27" t="e">
        <f t="shared" si="26"/>
        <v>#REF!</v>
      </c>
      <c r="BR12" s="27" t="e">
        <f t="shared" si="27"/>
        <v>#REF!</v>
      </c>
      <c r="BS12" s="27" t="e">
        <f t="shared" si="28"/>
        <v>#REF!</v>
      </c>
      <c r="BT12" s="27">
        <f t="shared" si="29"/>
        <v>4.5</v>
      </c>
      <c r="BU12" s="27">
        <f t="shared" si="30"/>
        <v>19021.067379876542</v>
      </c>
      <c r="BV12" s="27">
        <f t="shared" si="31"/>
        <v>50361.499889999992</v>
      </c>
      <c r="BW12" s="27" t="e">
        <f>IF(H12="Bundled",+(BG12-#REF!)*Y12,(AP12+AQ12)-Y12*#REF!)</f>
        <v>#REF!</v>
      </c>
      <c r="BX12" s="27" t="e">
        <f t="shared" si="32"/>
        <v>#REF!</v>
      </c>
      <c r="BY12" s="27">
        <f t="shared" si="33"/>
        <v>11191.444419999998</v>
      </c>
      <c r="BZ12" s="27" t="e">
        <f t="shared" si="34"/>
        <v>#REF!</v>
      </c>
      <c r="CA12" s="27" t="e">
        <f t="shared" si="35"/>
        <v>#REF!</v>
      </c>
    </row>
    <row r="13" spans="1:80" x14ac:dyDescent="0.3">
      <c r="A13" s="422" t="s">
        <v>248</v>
      </c>
      <c r="B13" s="370" t="s">
        <v>559</v>
      </c>
      <c r="C13" s="423" t="s">
        <v>560</v>
      </c>
      <c r="D13" s="423" t="s">
        <v>404</v>
      </c>
      <c r="E13" s="279"/>
      <c r="F13" s="279"/>
      <c r="G13" s="33" t="s">
        <v>56</v>
      </c>
      <c r="H13" s="34" t="s">
        <v>52</v>
      </c>
      <c r="I13" s="33" t="s">
        <v>8</v>
      </c>
      <c r="J13" s="33" t="s">
        <v>61</v>
      </c>
      <c r="K13" s="31" t="str">
        <f>IF(I13="Rack","No of Racks",(IF(I13="Space","Sq Ft","U Space")))</f>
        <v>No of Racks</v>
      </c>
      <c r="L13" s="33">
        <v>1</v>
      </c>
      <c r="M13" s="33">
        <v>1</v>
      </c>
      <c r="N13" s="35">
        <f>L13-M13</f>
        <v>0</v>
      </c>
      <c r="O13" s="33">
        <v>1</v>
      </c>
      <c r="P13" s="49"/>
      <c r="Q13" s="137">
        <f>((860000+550000+200000)/3)/12</f>
        <v>44722.222222222219</v>
      </c>
      <c r="R13" s="43"/>
      <c r="S13" s="33" t="s">
        <v>54</v>
      </c>
      <c r="T13" s="34">
        <v>4</v>
      </c>
      <c r="U13" s="66">
        <f t="shared" ref="U13:U18" si="40">Z13</f>
        <v>0.71726190476190477</v>
      </c>
      <c r="V13" s="46">
        <f t="shared" si="3"/>
        <v>3.2827380952380953</v>
      </c>
      <c r="W13" s="34"/>
      <c r="X13" s="34">
        <f t="shared" si="4"/>
        <v>3.2827380952380953</v>
      </c>
      <c r="Y13" s="34">
        <f t="shared" si="5"/>
        <v>4</v>
      </c>
      <c r="Z13" s="65">
        <f>AG13/28/24</f>
        <v>0.71726190476190477</v>
      </c>
      <c r="AA13" s="34">
        <f t="shared" si="6"/>
        <v>0</v>
      </c>
      <c r="AB13" s="47">
        <f>90000/12</f>
        <v>7500</v>
      </c>
      <c r="AC13" s="48" t="str">
        <f t="shared" si="7"/>
        <v>Bundled</v>
      </c>
      <c r="AD13" s="34"/>
      <c r="AE13" s="34"/>
      <c r="AF13" s="49"/>
      <c r="AG13" s="34">
        <v>482</v>
      </c>
      <c r="AH13" s="50"/>
      <c r="AI13" s="51" t="str">
        <f t="shared" si="8"/>
        <v/>
      </c>
      <c r="AJ13" s="34"/>
      <c r="AK13" s="34"/>
      <c r="AL13" s="34">
        <f t="shared" si="9"/>
        <v>0</v>
      </c>
      <c r="AM13" s="34"/>
      <c r="AN13" s="34"/>
      <c r="AO13" s="42"/>
      <c r="AP13" s="52">
        <f t="shared" si="10"/>
        <v>44722.222222222219</v>
      </c>
      <c r="AQ13" s="52">
        <f t="shared" si="11"/>
        <v>0</v>
      </c>
      <c r="AR13" s="53">
        <f t="shared" si="12"/>
        <v>0</v>
      </c>
      <c r="AS13" s="52">
        <f t="shared" si="13"/>
        <v>0</v>
      </c>
      <c r="AT13" s="54">
        <f>(20000+200000+50000+5000)/12</f>
        <v>22916.666666666668</v>
      </c>
      <c r="AU13" s="55">
        <f t="shared" si="14"/>
        <v>67638.888888888891</v>
      </c>
      <c r="AV13" s="55"/>
      <c r="AW13" s="134" t="s">
        <v>111</v>
      </c>
      <c r="AX13" s="63"/>
      <c r="AY13" s="64"/>
      <c r="AZ13" s="63"/>
      <c r="BA13" s="196"/>
      <c r="BC13" s="25">
        <f t="shared" si="15"/>
        <v>67638.888888888891</v>
      </c>
      <c r="BD13" s="25">
        <f t="shared" si="16"/>
        <v>16909.722222222223</v>
      </c>
      <c r="BE13" s="25">
        <f t="shared" si="17"/>
        <v>7911.3342563752267</v>
      </c>
      <c r="BF13" s="25">
        <f t="shared" si="18"/>
        <v>7911.3342563752267</v>
      </c>
      <c r="BG13" s="25">
        <f t="shared" si="19"/>
        <v>-7066.3646944444445</v>
      </c>
      <c r="BH13" s="25"/>
      <c r="BI13" s="26">
        <f t="shared" si="20"/>
        <v>44722.222222222219</v>
      </c>
      <c r="BJ13" s="26" t="e">
        <f t="shared" si="21"/>
        <v>#REF!</v>
      </c>
      <c r="BK13" s="26" t="e">
        <f>IF(H13="Bundled",MIN(Y13*$AG$1*(1+#REF!),BI13),AR13)</f>
        <v>#REF!</v>
      </c>
      <c r="BL13" s="27">
        <f t="shared" si="22"/>
        <v>13076.885196721312</v>
      </c>
      <c r="BM13" s="27">
        <f t="shared" si="23"/>
        <v>13076.885196721312</v>
      </c>
      <c r="BN13" s="27">
        <f t="shared" si="24"/>
        <v>72987.680999999997</v>
      </c>
      <c r="BO13" s="27">
        <f t="shared" si="25"/>
        <v>31645.337025500907</v>
      </c>
      <c r="BP13" s="27" t="e">
        <f>+#REF!*Y13</f>
        <v>#REF!</v>
      </c>
      <c r="BQ13" s="27" t="e">
        <f t="shared" si="26"/>
        <v>#REF!</v>
      </c>
      <c r="BR13" s="27" t="e">
        <f t="shared" si="27"/>
        <v>#REF!</v>
      </c>
      <c r="BS13" s="27" t="e">
        <f t="shared" si="28"/>
        <v>#REF!</v>
      </c>
      <c r="BT13" s="27">
        <f t="shared" si="29"/>
        <v>4</v>
      </c>
      <c r="BU13" s="27">
        <f t="shared" si="30"/>
        <v>7911.3342563752267</v>
      </c>
      <c r="BV13" s="27">
        <f t="shared" si="31"/>
        <v>59910.795803278685</v>
      </c>
      <c r="BW13" s="27" t="e">
        <f>IF(H13="Bundled",+(BG13-#REF!)*Y13,(AP13+AQ13)-Y13*#REF!)</f>
        <v>#REF!</v>
      </c>
      <c r="BX13" s="27" t="e">
        <f t="shared" si="32"/>
        <v>#REF!</v>
      </c>
      <c r="BY13" s="27">
        <f t="shared" si="33"/>
        <v>14977.698950819671</v>
      </c>
      <c r="BZ13" s="27" t="e">
        <f t="shared" si="34"/>
        <v>#REF!</v>
      </c>
      <c r="CA13" s="27" t="e">
        <f t="shared" si="35"/>
        <v>#REF!</v>
      </c>
    </row>
    <row r="14" spans="1:80" ht="26" x14ac:dyDescent="0.3">
      <c r="A14" s="195" t="s">
        <v>248</v>
      </c>
      <c r="B14" s="32" t="s">
        <v>302</v>
      </c>
      <c r="C14" s="132" t="s">
        <v>324</v>
      </c>
      <c r="D14" s="132" t="s">
        <v>406</v>
      </c>
      <c r="E14" s="34">
        <v>1</v>
      </c>
      <c r="F14" s="34"/>
      <c r="G14" s="33" t="s">
        <v>56</v>
      </c>
      <c r="H14" s="34" t="s">
        <v>57</v>
      </c>
      <c r="I14" s="33" t="s">
        <v>8</v>
      </c>
      <c r="J14" s="33" t="s">
        <v>61</v>
      </c>
      <c r="K14" s="31" t="str">
        <f>IF(I14="Rack","No of Racks",(IF(I14="Space","Sq Ft","U Space")))</f>
        <v>No of Racks</v>
      </c>
      <c r="L14" s="33">
        <v>5</v>
      </c>
      <c r="M14" s="33">
        <v>5</v>
      </c>
      <c r="N14" s="35">
        <f>L14-M14</f>
        <v>0</v>
      </c>
      <c r="O14" s="33">
        <v>5</v>
      </c>
      <c r="P14" s="33"/>
      <c r="Q14" s="42">
        <f>297500/12</f>
        <v>24791.666666666668</v>
      </c>
      <c r="R14" s="43" t="str">
        <f t="shared" ref="R14:R23" si="41">G14</f>
        <v>Subscribed</v>
      </c>
      <c r="S14" s="33" t="s">
        <v>58</v>
      </c>
      <c r="T14" s="34">
        <v>17.5</v>
      </c>
      <c r="U14" s="66">
        <f t="shared" si="40"/>
        <v>16.045491071428572</v>
      </c>
      <c r="V14" s="46">
        <f t="shared" si="3"/>
        <v>1.4545089285714283</v>
      </c>
      <c r="W14" s="34"/>
      <c r="X14" s="34">
        <f t="shared" si="4"/>
        <v>1.4545089285714283</v>
      </c>
      <c r="Y14" s="34">
        <f t="shared" si="5"/>
        <v>17.5</v>
      </c>
      <c r="Z14" s="65">
        <f t="shared" ref="Z14:Z18" si="42">AG14/28/24</f>
        <v>16.045491071428572</v>
      </c>
      <c r="AA14" s="34">
        <f t="shared" si="6"/>
        <v>0</v>
      </c>
      <c r="AB14" s="47">
        <f>85000/12</f>
        <v>7083.333333333333</v>
      </c>
      <c r="AC14" s="48" t="str">
        <f t="shared" si="7"/>
        <v>Metered</v>
      </c>
      <c r="AD14" s="34">
        <v>1</v>
      </c>
      <c r="AE14" s="34" t="s">
        <v>62</v>
      </c>
      <c r="AF14" s="49">
        <v>19.5</v>
      </c>
      <c r="AG14" s="34">
        <v>10782.57</v>
      </c>
      <c r="AH14" s="50" t="s">
        <v>55</v>
      </c>
      <c r="AI14" s="51" t="str">
        <f t="shared" si="8"/>
        <v>No of Seats</v>
      </c>
      <c r="AJ14" s="34">
        <v>1</v>
      </c>
      <c r="AK14" s="34">
        <v>1</v>
      </c>
      <c r="AL14" s="34">
        <f t="shared" si="9"/>
        <v>0</v>
      </c>
      <c r="AM14" s="34">
        <v>1</v>
      </c>
      <c r="AN14" s="34"/>
      <c r="AO14" s="42">
        <f>96307/12</f>
        <v>8025.583333333333</v>
      </c>
      <c r="AP14" s="52">
        <f t="shared" si="10"/>
        <v>123958.33333333334</v>
      </c>
      <c r="AQ14" s="52">
        <f t="shared" si="11"/>
        <v>0</v>
      </c>
      <c r="AR14" s="53">
        <f t="shared" si="12"/>
        <v>210260.11499999999</v>
      </c>
      <c r="AS14" s="52">
        <f t="shared" si="13"/>
        <v>8025.583333333333</v>
      </c>
      <c r="AT14" s="54">
        <f>(96307+74906)/12</f>
        <v>14267.75</v>
      </c>
      <c r="AU14" s="55">
        <f t="shared" si="14"/>
        <v>356511.78166666668</v>
      </c>
      <c r="AV14" s="55"/>
      <c r="AW14" s="134" t="s">
        <v>111</v>
      </c>
      <c r="AX14" s="63"/>
      <c r="AY14" s="64"/>
      <c r="AZ14" s="63"/>
      <c r="BA14" s="196"/>
      <c r="BC14" s="25">
        <f t="shared" si="15"/>
        <v>71302.35633333333</v>
      </c>
      <c r="BD14" s="25">
        <f t="shared" si="16"/>
        <v>20372.101809523811</v>
      </c>
      <c r="BE14" s="25">
        <f t="shared" si="17"/>
        <v>2381.8449414410629</v>
      </c>
      <c r="BF14" s="25">
        <f t="shared" si="18"/>
        <v>2381.8449414410629</v>
      </c>
      <c r="BG14" s="25">
        <f t="shared" si="19"/>
        <v>3706.3511208333375</v>
      </c>
      <c r="BH14" s="25"/>
      <c r="BI14" s="26">
        <f t="shared" si="20"/>
        <v>334218.44833333336</v>
      </c>
      <c r="BJ14" s="26">
        <f t="shared" si="21"/>
        <v>123958.33333333337</v>
      </c>
      <c r="BK14" s="26">
        <f>IF(H14="Bundled",MIN(Y14*$AG$1*(1+#REF!),BI14),AR14)</f>
        <v>210260.11499999999</v>
      </c>
      <c r="BL14" s="27">
        <f t="shared" si="22"/>
        <v>292536.16185811476</v>
      </c>
      <c r="BM14" s="27">
        <f t="shared" si="23"/>
        <v>292536.16185811476</v>
      </c>
      <c r="BN14" s="27">
        <f t="shared" si="24"/>
        <v>271422.93871874997</v>
      </c>
      <c r="BO14" s="27">
        <f t="shared" si="25"/>
        <v>41682.2864752186</v>
      </c>
      <c r="BP14" s="27" t="e">
        <f>+#REF!*Y14</f>
        <v>#REF!</v>
      </c>
      <c r="BQ14" s="27" t="e">
        <f t="shared" si="26"/>
        <v>#REF!</v>
      </c>
      <c r="BR14" s="27">
        <f t="shared" si="27"/>
        <v>-82276.046858114772</v>
      </c>
      <c r="BS14" s="27" t="e">
        <f t="shared" si="28"/>
        <v>#REF!</v>
      </c>
      <c r="BT14" s="27">
        <f t="shared" si="29"/>
        <v>17.5</v>
      </c>
      <c r="BU14" s="27">
        <f t="shared" si="30"/>
        <v>2381.8449414410629</v>
      </c>
      <c r="BV14" s="27">
        <f t="shared" si="31"/>
        <v>-82276.046858114772</v>
      </c>
      <c r="BW14" s="27" t="e">
        <f>IF(H14="Bundled",+(BG14-#REF!)*Y14,(AP14+AQ14)-Y14*#REF!)</f>
        <v>#REF!</v>
      </c>
      <c r="BX14" s="27" t="e">
        <f t="shared" si="32"/>
        <v>#REF!</v>
      </c>
      <c r="BY14" s="27">
        <f t="shared" si="33"/>
        <v>-4701.4883918922724</v>
      </c>
      <c r="BZ14" s="27" t="e">
        <f t="shared" si="34"/>
        <v>#REF!</v>
      </c>
      <c r="CA14" s="27" t="e">
        <f t="shared" si="35"/>
        <v>#REF!</v>
      </c>
    </row>
    <row r="15" spans="1:80" x14ac:dyDescent="0.3">
      <c r="A15" s="195" t="s">
        <v>248</v>
      </c>
      <c r="B15" s="32" t="s">
        <v>63</v>
      </c>
      <c r="C15" s="44" t="s">
        <v>334</v>
      </c>
      <c r="D15" s="44" t="s">
        <v>405</v>
      </c>
      <c r="E15" s="44"/>
      <c r="F15" s="44"/>
      <c r="G15" s="33" t="s">
        <v>56</v>
      </c>
      <c r="H15" s="34" t="s">
        <v>57</v>
      </c>
      <c r="I15" s="33" t="s">
        <v>3</v>
      </c>
      <c r="J15" s="33" t="s">
        <v>53</v>
      </c>
      <c r="K15" s="31" t="s">
        <v>479</v>
      </c>
      <c r="L15" s="33">
        <v>416</v>
      </c>
      <c r="M15" s="33">
        <v>416</v>
      </c>
      <c r="N15" s="35">
        <f>L15-M15</f>
        <v>0</v>
      </c>
      <c r="O15" s="33">
        <v>19</v>
      </c>
      <c r="P15" s="33"/>
      <c r="Q15" s="42">
        <f>((4778000+330000)/20)/12</f>
        <v>21283.333333333332</v>
      </c>
      <c r="R15" s="43" t="str">
        <f t="shared" si="41"/>
        <v>Subscribed</v>
      </c>
      <c r="S15" s="33" t="s">
        <v>58</v>
      </c>
      <c r="T15" s="34">
        <v>56</v>
      </c>
      <c r="U15" s="66">
        <f t="shared" si="40"/>
        <v>45.667470238095241</v>
      </c>
      <c r="V15" s="46">
        <f t="shared" si="3"/>
        <v>10.332529761904759</v>
      </c>
      <c r="W15" s="34"/>
      <c r="X15" s="34">
        <f t="shared" si="4"/>
        <v>10.332529761904759</v>
      </c>
      <c r="Y15" s="34">
        <f t="shared" si="5"/>
        <v>56</v>
      </c>
      <c r="Z15" s="65">
        <f t="shared" si="42"/>
        <v>45.667470238095241</v>
      </c>
      <c r="AA15" s="34">
        <f t="shared" si="6"/>
        <v>0</v>
      </c>
      <c r="AB15" s="47">
        <f>70000/12</f>
        <v>5833.333333333333</v>
      </c>
      <c r="AC15" s="48" t="str">
        <f t="shared" si="7"/>
        <v>Metered</v>
      </c>
      <c r="AD15" s="34">
        <v>1</v>
      </c>
      <c r="AE15" s="34" t="s">
        <v>62</v>
      </c>
      <c r="AF15" s="49">
        <v>16.5</v>
      </c>
      <c r="AG15" s="34">
        <v>30688.54</v>
      </c>
      <c r="AH15" s="50"/>
      <c r="AI15" s="51" t="str">
        <f t="shared" si="8"/>
        <v/>
      </c>
      <c r="AJ15" s="34"/>
      <c r="AK15" s="34"/>
      <c r="AL15" s="34">
        <f t="shared" si="9"/>
        <v>0</v>
      </c>
      <c r="AM15" s="33"/>
      <c r="AN15" s="33"/>
      <c r="AO15" s="42"/>
      <c r="AP15" s="52">
        <f t="shared" si="10"/>
        <v>404383.33333333331</v>
      </c>
      <c r="AQ15" s="52">
        <f t="shared" si="11"/>
        <v>0</v>
      </c>
      <c r="AR15" s="53">
        <f t="shared" si="12"/>
        <v>506360.91000000003</v>
      </c>
      <c r="AS15" s="52">
        <f t="shared" si="13"/>
        <v>0</v>
      </c>
      <c r="AT15" s="54">
        <f>(175000+700000)/12</f>
        <v>72916.666666666672</v>
      </c>
      <c r="AU15" s="55">
        <f t="shared" si="14"/>
        <v>983660.91</v>
      </c>
      <c r="AV15" s="55"/>
      <c r="AW15" s="62" t="s">
        <v>111</v>
      </c>
      <c r="AX15" s="63"/>
      <c r="AY15" s="64"/>
      <c r="AZ15" s="63"/>
      <c r="BA15" s="197"/>
      <c r="BC15" s="25">
        <f t="shared" si="15"/>
        <v>70937.084855769237</v>
      </c>
      <c r="BD15" s="25">
        <f t="shared" si="16"/>
        <v>17565.373392857142</v>
      </c>
      <c r="BE15" s="25">
        <f t="shared" si="17"/>
        <v>1395.5324115173717</v>
      </c>
      <c r="BF15" s="25">
        <f t="shared" si="18"/>
        <v>1395.5324115173717</v>
      </c>
      <c r="BG15" s="25">
        <f t="shared" si="19"/>
        <v>1977.5487398809532</v>
      </c>
      <c r="BH15" s="25"/>
      <c r="BI15" s="26">
        <f t="shared" si="20"/>
        <v>910744.2433333334</v>
      </c>
      <c r="BJ15" s="26">
        <f t="shared" si="21"/>
        <v>404383.33333333337</v>
      </c>
      <c r="BK15" s="26">
        <f>IF(H15="Bundled",MIN(Y15*$AG$1*(1+#REF!),BI15),AR15)</f>
        <v>506360.91000000003</v>
      </c>
      <c r="BL15" s="27">
        <f t="shared" si="22"/>
        <v>832594.42828836059</v>
      </c>
      <c r="BM15" s="27">
        <f t="shared" si="23"/>
        <v>832594.42828836059</v>
      </c>
      <c r="BN15" s="27">
        <f t="shared" si="24"/>
        <v>868553.40389999992</v>
      </c>
      <c r="BO15" s="27">
        <f t="shared" si="25"/>
        <v>78149.815044972813</v>
      </c>
      <c r="BP15" s="27" t="e">
        <f>+#REF!*Y15</f>
        <v>#REF!</v>
      </c>
      <c r="BQ15" s="27" t="e">
        <f t="shared" si="26"/>
        <v>#REF!</v>
      </c>
      <c r="BR15" s="27">
        <f t="shared" si="27"/>
        <v>-326233.51828836056</v>
      </c>
      <c r="BS15" s="27" t="e">
        <f t="shared" si="28"/>
        <v>#REF!</v>
      </c>
      <c r="BT15" s="27">
        <f t="shared" si="29"/>
        <v>56</v>
      </c>
      <c r="BU15" s="27">
        <f t="shared" si="30"/>
        <v>1395.5324115173717</v>
      </c>
      <c r="BV15" s="27">
        <f t="shared" si="31"/>
        <v>-326233.51828836056</v>
      </c>
      <c r="BW15" s="27" t="e">
        <f>IF(H15="Bundled",+(BG15-#REF!)*Y15,(AP15+AQ15)-Y15*#REF!)</f>
        <v>#REF!</v>
      </c>
      <c r="BX15" s="27" t="e">
        <f t="shared" si="32"/>
        <v>#REF!</v>
      </c>
      <c r="BY15" s="27">
        <f t="shared" si="33"/>
        <v>-5825.5985408635815</v>
      </c>
      <c r="BZ15" s="27" t="e">
        <f t="shared" si="34"/>
        <v>#REF!</v>
      </c>
      <c r="CA15" s="27" t="e">
        <f t="shared" si="35"/>
        <v>#REF!</v>
      </c>
      <c r="CB15" s="5" t="s">
        <v>105</v>
      </c>
    </row>
    <row r="16" spans="1:80" s="16" customFormat="1" ht="26" x14ac:dyDescent="0.3">
      <c r="A16" s="383" t="s">
        <v>248</v>
      </c>
      <c r="B16" s="286" t="s">
        <v>63</v>
      </c>
      <c r="C16" s="359" t="s">
        <v>322</v>
      </c>
      <c r="D16" s="359" t="s">
        <v>407</v>
      </c>
      <c r="E16" s="288">
        <v>52</v>
      </c>
      <c r="F16" s="288"/>
      <c r="G16" s="287" t="s">
        <v>56</v>
      </c>
      <c r="H16" s="288" t="s">
        <v>57</v>
      </c>
      <c r="I16" s="287" t="s">
        <v>3</v>
      </c>
      <c r="J16" s="287" t="s">
        <v>53</v>
      </c>
      <c r="K16" s="289" t="str">
        <f t="shared" ref="K16:K57" si="43">IF(I16="Rack","No of Racks",(IF(I16="Space","Sq Ft","U Space")))</f>
        <v>Sq Ft</v>
      </c>
      <c r="L16" s="287">
        <v>998</v>
      </c>
      <c r="M16" s="287">
        <v>998</v>
      </c>
      <c r="N16" s="290">
        <f>L16-M16</f>
        <v>0</v>
      </c>
      <c r="O16" s="287">
        <v>998</v>
      </c>
      <c r="P16" s="287"/>
      <c r="Q16" s="384">
        <f>(7527733.92/998)/12</f>
        <v>628.56829659318635</v>
      </c>
      <c r="R16" s="292" t="str">
        <f t="shared" si="41"/>
        <v>Subscribed</v>
      </c>
      <c r="S16" s="287" t="s">
        <v>58</v>
      </c>
      <c r="T16" s="288">
        <v>100</v>
      </c>
      <c r="U16" s="293">
        <f t="shared" si="40"/>
        <v>107.67181547619049</v>
      </c>
      <c r="V16" s="294">
        <f t="shared" si="3"/>
        <v>-7.6718154761904884</v>
      </c>
      <c r="W16" s="288"/>
      <c r="X16" s="288">
        <f t="shared" si="4"/>
        <v>0</v>
      </c>
      <c r="Y16" s="288">
        <f t="shared" si="5"/>
        <v>100</v>
      </c>
      <c r="Z16" s="65">
        <f t="shared" si="42"/>
        <v>107.67181547619049</v>
      </c>
      <c r="AA16" s="288">
        <f t="shared" si="6"/>
        <v>7.6718154761904884</v>
      </c>
      <c r="AB16" s="296">
        <v>0</v>
      </c>
      <c r="AC16" s="297" t="str">
        <f t="shared" si="7"/>
        <v>Metered</v>
      </c>
      <c r="AD16" s="288">
        <v>1</v>
      </c>
      <c r="AE16" s="288" t="s">
        <v>62</v>
      </c>
      <c r="AF16" s="298">
        <v>12.48</v>
      </c>
      <c r="AG16" s="288">
        <v>72355.460000000006</v>
      </c>
      <c r="AH16" s="299"/>
      <c r="AI16" s="300" t="str">
        <f t="shared" si="8"/>
        <v/>
      </c>
      <c r="AJ16" s="288">
        <v>52</v>
      </c>
      <c r="AK16" s="288">
        <v>52</v>
      </c>
      <c r="AL16" s="288">
        <f t="shared" si="9"/>
        <v>0</v>
      </c>
      <c r="AM16" s="288">
        <v>52</v>
      </c>
      <c r="AN16" s="288"/>
      <c r="AO16" s="385">
        <f>((1895859.28+162489.68+189571.29+355473.61+118491)/12)/21</f>
        <v>10801.130396825396</v>
      </c>
      <c r="AP16" s="301">
        <f t="shared" si="10"/>
        <v>627311.15999999992</v>
      </c>
      <c r="AQ16" s="301">
        <f t="shared" si="11"/>
        <v>0</v>
      </c>
      <c r="AR16" s="302">
        <f t="shared" si="12"/>
        <v>902996.14080000017</v>
      </c>
      <c r="AS16" s="301">
        <f>AO16</f>
        <v>10801.130396825396</v>
      </c>
      <c r="AT16" s="303">
        <f>161135/12</f>
        <v>13427.916666666666</v>
      </c>
      <c r="AU16" s="304">
        <f t="shared" si="14"/>
        <v>1554536.3478634923</v>
      </c>
      <c r="AV16" s="304"/>
      <c r="AW16" s="305" t="s">
        <v>65</v>
      </c>
      <c r="AX16" s="306"/>
      <c r="AY16" s="307"/>
      <c r="AZ16" s="306"/>
      <c r="BA16" s="308"/>
      <c r="BC16" s="309">
        <f t="shared" si="15"/>
        <v>46729.549534974722</v>
      </c>
      <c r="BD16" s="309">
        <f t="shared" si="16"/>
        <v>15545.363478634923</v>
      </c>
      <c r="BE16" s="309">
        <f t="shared" si="17"/>
        <v>-4327.301344198363</v>
      </c>
      <c r="BF16" s="309">
        <f t="shared" si="18"/>
        <v>-4327.301344198363</v>
      </c>
      <c r="BG16" s="309">
        <f t="shared" si="19"/>
        <v>-1471.7146125000017</v>
      </c>
      <c r="BH16" s="309"/>
      <c r="BI16" s="310">
        <f t="shared" si="20"/>
        <v>1530307.3008000001</v>
      </c>
      <c r="BJ16" s="310">
        <f t="shared" si="21"/>
        <v>627311.15999999992</v>
      </c>
      <c r="BK16" s="310">
        <f>IF(H16="Bundled",MIN(Y16*$AG$1*(1+#REF!),BI16),AR16)</f>
        <v>902996.14080000017</v>
      </c>
      <c r="BL16" s="311">
        <f t="shared" si="22"/>
        <v>1963037.4352198364</v>
      </c>
      <c r="BM16" s="311">
        <f t="shared" si="23"/>
        <v>1963037.4352198364</v>
      </c>
      <c r="BN16" s="311">
        <f t="shared" si="24"/>
        <v>1550988.2212499999</v>
      </c>
      <c r="BO16" s="311">
        <f t="shared" si="25"/>
        <v>-432730.13441983628</v>
      </c>
      <c r="BP16" s="311" t="e">
        <f>+#REF!*Y16</f>
        <v>#REF!</v>
      </c>
      <c r="BQ16" s="311" t="e">
        <f t="shared" si="26"/>
        <v>#REF!</v>
      </c>
      <c r="BR16" s="311">
        <f t="shared" si="27"/>
        <v>-1060041.2944198363</v>
      </c>
      <c r="BS16" s="311" t="e">
        <f t="shared" si="28"/>
        <v>#REF!</v>
      </c>
      <c r="BT16" s="311">
        <f t="shared" si="29"/>
        <v>100</v>
      </c>
      <c r="BU16" s="311">
        <f t="shared" si="30"/>
        <v>-4327.301344198363</v>
      </c>
      <c r="BV16" s="311">
        <f t="shared" si="31"/>
        <v>-1060041.2944198363</v>
      </c>
      <c r="BW16" s="311" t="e">
        <f>IF(H16="Bundled",+(BG16-#REF!)*Y16,(AP16+AQ16)-Y16*#REF!)</f>
        <v>#REF!</v>
      </c>
      <c r="BX16" s="311" t="e">
        <f t="shared" si="32"/>
        <v>#REF!</v>
      </c>
      <c r="BY16" s="311">
        <f t="shared" si="33"/>
        <v>-10600.412944198362</v>
      </c>
      <c r="BZ16" s="311" t="e">
        <f t="shared" si="34"/>
        <v>#REF!</v>
      </c>
      <c r="CA16" s="311" t="e">
        <f t="shared" si="35"/>
        <v>#REF!</v>
      </c>
    </row>
    <row r="17" spans="1:80" s="376" customFormat="1" x14ac:dyDescent="0.3">
      <c r="A17" s="376" t="s">
        <v>248</v>
      </c>
      <c r="B17" s="370" t="s">
        <v>63</v>
      </c>
      <c r="C17" s="175" t="s">
        <v>322</v>
      </c>
      <c r="D17" s="175" t="s">
        <v>407</v>
      </c>
      <c r="E17" s="369"/>
      <c r="F17" s="369"/>
      <c r="G17" s="175" t="s">
        <v>56</v>
      </c>
      <c r="H17" s="369" t="s">
        <v>57</v>
      </c>
      <c r="I17" s="175" t="s">
        <v>3</v>
      </c>
      <c r="J17" s="175" t="s">
        <v>53</v>
      </c>
      <c r="K17" s="381" t="str">
        <f t="shared" si="43"/>
        <v>Sq Ft</v>
      </c>
      <c r="L17" s="379">
        <v>216</v>
      </c>
      <c r="M17" s="379">
        <v>216</v>
      </c>
      <c r="N17" s="176">
        <v>0</v>
      </c>
      <c r="O17" s="175">
        <v>216</v>
      </c>
      <c r="P17" s="378"/>
      <c r="Q17" s="378"/>
      <c r="R17" s="382" t="str">
        <f t="shared" si="41"/>
        <v>Subscribed</v>
      </c>
      <c r="S17" s="378" t="s">
        <v>58</v>
      </c>
      <c r="T17" s="380">
        <v>30</v>
      </c>
      <c r="U17" s="66">
        <f t="shared" si="40"/>
        <v>6.4434523809523805</v>
      </c>
      <c r="V17" s="377"/>
      <c r="Y17" s="379">
        <f t="shared" si="5"/>
        <v>30</v>
      </c>
      <c r="Z17" s="65">
        <f t="shared" si="42"/>
        <v>6.4434523809523805</v>
      </c>
      <c r="AG17" s="408">
        <v>4330</v>
      </c>
      <c r="AH17" s="408"/>
      <c r="AI17" s="408"/>
      <c r="AW17" s="409"/>
      <c r="AX17" s="409"/>
      <c r="AY17" s="409"/>
      <c r="AZ17" s="409"/>
      <c r="BL17" s="376">
        <f t="shared" si="22"/>
        <v>117474.92303278689</v>
      </c>
      <c r="BN17" s="376">
        <f t="shared" si="24"/>
        <v>465296.4663749999</v>
      </c>
      <c r="BT17" s="376">
        <f t="shared" si="29"/>
        <v>30</v>
      </c>
    </row>
    <row r="18" spans="1:80" s="16" customFormat="1" x14ac:dyDescent="0.3">
      <c r="A18" s="386" t="s">
        <v>248</v>
      </c>
      <c r="B18" s="375" t="s">
        <v>191</v>
      </c>
      <c r="C18" s="375" t="s">
        <v>336</v>
      </c>
      <c r="D18" s="375" t="s">
        <v>404</v>
      </c>
      <c r="E18" s="375"/>
      <c r="F18" s="375"/>
      <c r="G18" s="267" t="s">
        <v>56</v>
      </c>
      <c r="H18" s="266" t="s">
        <v>57</v>
      </c>
      <c r="I18" s="267" t="s">
        <v>8</v>
      </c>
      <c r="J18" s="267" t="s">
        <v>61</v>
      </c>
      <c r="K18" s="268" t="str">
        <f t="shared" si="43"/>
        <v>No of Racks</v>
      </c>
      <c r="L18" s="267">
        <v>1</v>
      </c>
      <c r="M18" s="267">
        <v>1</v>
      </c>
      <c r="N18" s="387">
        <f>L18-M18</f>
        <v>0</v>
      </c>
      <c r="O18" s="267">
        <v>1</v>
      </c>
      <c r="P18" s="267"/>
      <c r="Q18" s="388">
        <f>270000/12</f>
        <v>22500</v>
      </c>
      <c r="R18" s="389" t="str">
        <f t="shared" si="41"/>
        <v>Subscribed</v>
      </c>
      <c r="S18" s="267" t="s">
        <v>58</v>
      </c>
      <c r="T18" s="266">
        <v>2.5</v>
      </c>
      <c r="U18" s="390">
        <f t="shared" si="40"/>
        <v>1.5044642857142856</v>
      </c>
      <c r="V18" s="391">
        <f t="shared" ref="V18:V62" si="44">T18-U18</f>
        <v>0.99553571428571441</v>
      </c>
      <c r="W18" s="266"/>
      <c r="X18" s="266">
        <f t="shared" ref="X18:X36" si="45">IF(V18&lt;=0,0,(IF(R18="Rated",(V18+W18)*$X$1,(V18+W18))))</f>
        <v>0.99553571428571441</v>
      </c>
      <c r="Y18" s="266">
        <f t="shared" si="5"/>
        <v>2.5</v>
      </c>
      <c r="Z18" s="65">
        <f t="shared" si="42"/>
        <v>1.5044642857142856</v>
      </c>
      <c r="AA18" s="266">
        <f t="shared" ref="AA18:AA51" si="46">IF((V18*-1)&gt;0, (V18*-1), 0)</f>
        <v>0</v>
      </c>
      <c r="AB18" s="392">
        <f>95000/12</f>
        <v>7916.666666666667</v>
      </c>
      <c r="AC18" s="393" t="str">
        <f t="shared" ref="AC18:AC49" si="47">H18</f>
        <v>Metered</v>
      </c>
      <c r="AD18" s="266">
        <v>1</v>
      </c>
      <c r="AE18" s="266" t="s">
        <v>62</v>
      </c>
      <c r="AF18" s="394">
        <v>17</v>
      </c>
      <c r="AG18" s="266">
        <v>1011</v>
      </c>
      <c r="AH18" s="395"/>
      <c r="AI18" s="396" t="str">
        <f>IF(AH18="No of Seats","No of Seats",(IF(AH18="Space","Sq Ft","")))</f>
        <v/>
      </c>
      <c r="AJ18" s="266"/>
      <c r="AK18" s="266"/>
      <c r="AL18" s="266">
        <f>AJ18-AK18</f>
        <v>0</v>
      </c>
      <c r="AM18" s="266"/>
      <c r="AN18" s="266"/>
      <c r="AO18" s="388"/>
      <c r="AP18" s="397">
        <f>Q18*O18</f>
        <v>22500</v>
      </c>
      <c r="AQ18" s="397">
        <f>AB18*AA18</f>
        <v>0</v>
      </c>
      <c r="AR18" s="398">
        <f>AG18*AF18*AD18</f>
        <v>17187</v>
      </c>
      <c r="AS18" s="397">
        <f>AO18*AM18</f>
        <v>0</v>
      </c>
      <c r="AT18" s="399">
        <f>95051/12</f>
        <v>7920.916666666667</v>
      </c>
      <c r="AU18" s="400">
        <f>SUBTOTAL(9,AP18:AT18)</f>
        <v>47607.916666666664</v>
      </c>
      <c r="AV18" s="400"/>
      <c r="AW18" s="401" t="s">
        <v>111</v>
      </c>
      <c r="AX18" s="402"/>
      <c r="AY18" s="403"/>
      <c r="AZ18" s="402"/>
      <c r="BA18" s="404"/>
      <c r="BB18" s="5"/>
      <c r="BC18" s="405">
        <f>IF(I18="Rack",AU18/L18,0)+IF(I18="U Space",AU18*40/L18,0)+IF(I18="Space",AU18*30/L18,0)</f>
        <v>47607.916666666664</v>
      </c>
      <c r="BD18" s="405">
        <f>+AU18/Y18</f>
        <v>19043.166666666664</v>
      </c>
      <c r="BE18" s="405">
        <f>+($AP18+$AQ18+$AR18-BL18)/$Y18</f>
        <v>4903.2390590163941</v>
      </c>
      <c r="BF18" s="405">
        <f>+($AP18+$AQ18+$AR18-BM18)/$Y18</f>
        <v>4903.2390590163941</v>
      </c>
      <c r="BG18" s="405">
        <f>+($AP18+$AQ18+IF(H18="Bundled",0,Y18*0.85*AD18*AF18*30.5*24)-BN18)/$Y18</f>
        <v>4067.5177875000022</v>
      </c>
      <c r="BH18" s="405"/>
      <c r="BI18" s="406">
        <f>+AP18+AQ18+AR18</f>
        <v>39687</v>
      </c>
      <c r="BJ18" s="406">
        <f>+BI18-BK18</f>
        <v>22500</v>
      </c>
      <c r="BK18" s="406">
        <f>IF(H18="Bundled",MIN(Y18*$AG$1*(1+#REF!),BI18),AR18)</f>
        <v>17187</v>
      </c>
      <c r="BL18" s="407">
        <f>IF($AG18&gt;0,$AG18*$AD$1*$AF$1*(1+$AI$1*(20/$AF$1)/732),$AG$1*Z18)</f>
        <v>27428.902352459016</v>
      </c>
      <c r="BM18" s="407">
        <f t="shared" ref="BM18:BM23" si="48">IF($AG18&gt;0,$AG18*$AD$1*$AF$1*(1+$AI$1*(20/$AF$1)/732),+$AG$1*(Z18+X18))</f>
        <v>27428.902352459016</v>
      </c>
      <c r="BN18" s="407">
        <f t="shared" si="24"/>
        <v>38774.705531249994</v>
      </c>
      <c r="BO18" s="407">
        <f>+BE18*Y18</f>
        <v>12258.097647540984</v>
      </c>
      <c r="BP18" s="407" t="e">
        <f>+#REF!*Y18</f>
        <v>#REF!</v>
      </c>
      <c r="BQ18" s="407" t="e">
        <f>+BJ18-BP18</f>
        <v>#REF!</v>
      </c>
      <c r="BR18" s="407">
        <f>+BK18-BL18</f>
        <v>-10241.902352459016</v>
      </c>
      <c r="BS18" s="407" t="e">
        <f>+BQ18+BR18</f>
        <v>#REF!</v>
      </c>
      <c r="BT18" s="407">
        <f t="shared" si="29"/>
        <v>2.5</v>
      </c>
      <c r="BU18" s="407">
        <f>+BE18</f>
        <v>4903.2390590163941</v>
      </c>
      <c r="BV18" s="407">
        <f>IF(H18="Bundled",BN18-BL18,AR18-BL18)</f>
        <v>-10241.902352459016</v>
      </c>
      <c r="BW18" s="407" t="e">
        <f>IF(H18="Bundled",+(BG18-#REF!)*Y18,(AP18+AQ18)-Y18*#REF!)</f>
        <v>#REF!</v>
      </c>
      <c r="BX18" s="407" t="e">
        <f>+BV18+BW18</f>
        <v>#REF!</v>
      </c>
      <c r="BY18" s="407">
        <f t="shared" ref="BY18:CA19" si="49">+BV18/$BT18</f>
        <v>-4096.7609409836059</v>
      </c>
      <c r="BZ18" s="407" t="e">
        <f t="shared" si="49"/>
        <v>#REF!</v>
      </c>
      <c r="CA18" s="407" t="e">
        <f t="shared" si="49"/>
        <v>#REF!</v>
      </c>
      <c r="CB18" s="16" t="s">
        <v>99</v>
      </c>
    </row>
    <row r="19" spans="1:80" s="16" customFormat="1" ht="13" customHeight="1" x14ac:dyDescent="0.3">
      <c r="A19" s="195" t="s">
        <v>248</v>
      </c>
      <c r="B19" s="489" t="s">
        <v>140</v>
      </c>
      <c r="C19" s="279" t="s">
        <v>519</v>
      </c>
      <c r="D19" s="279" t="s">
        <v>405</v>
      </c>
      <c r="E19" s="279"/>
      <c r="F19" s="279"/>
      <c r="G19" s="33" t="s">
        <v>11</v>
      </c>
      <c r="H19" s="34" t="s">
        <v>52</v>
      </c>
      <c r="I19" s="33" t="s">
        <v>60</v>
      </c>
      <c r="J19" s="33" t="s">
        <v>61</v>
      </c>
      <c r="K19" s="31" t="str">
        <f t="shared" si="43"/>
        <v>U Space</v>
      </c>
      <c r="L19" s="33">
        <v>4</v>
      </c>
      <c r="M19" s="33">
        <v>4</v>
      </c>
      <c r="N19" s="35">
        <f>L19-M19</f>
        <v>0</v>
      </c>
      <c r="O19" s="33">
        <v>4</v>
      </c>
      <c r="P19" s="33"/>
      <c r="Q19" s="42">
        <f>(160000/4)/12</f>
        <v>3333.3333333333335</v>
      </c>
      <c r="R19" s="43" t="str">
        <f t="shared" si="41"/>
        <v>Rated</v>
      </c>
      <c r="S19" s="44" t="s">
        <v>54</v>
      </c>
      <c r="T19" s="34">
        <v>1</v>
      </c>
      <c r="U19" s="45">
        <v>0.27</v>
      </c>
      <c r="V19" s="46">
        <f t="shared" si="44"/>
        <v>0.73</v>
      </c>
      <c r="W19" s="34"/>
      <c r="X19" s="34">
        <f t="shared" si="45"/>
        <v>0.36499999999999999</v>
      </c>
      <c r="Y19" s="34">
        <f t="shared" si="5"/>
        <v>0.5</v>
      </c>
      <c r="Z19" s="481">
        <v>0.8</v>
      </c>
      <c r="AA19" s="34">
        <f t="shared" si="46"/>
        <v>0</v>
      </c>
      <c r="AB19" s="47">
        <f>100000/12</f>
        <v>8333.3333333333339</v>
      </c>
      <c r="AC19" s="48" t="str">
        <f t="shared" si="47"/>
        <v>Bundled</v>
      </c>
      <c r="AD19" s="34"/>
      <c r="AE19" s="34"/>
      <c r="AF19" s="49"/>
      <c r="AG19" s="34"/>
      <c r="AH19" s="50"/>
      <c r="AI19" s="51" t="str">
        <f>IF(AH19="No of Seats","No of Seats",(IF(AH19="Space","Sq Ft","")))</f>
        <v/>
      </c>
      <c r="AJ19" s="34"/>
      <c r="AK19" s="34"/>
      <c r="AL19" s="34">
        <f>AJ19-AK19</f>
        <v>0</v>
      </c>
      <c r="AM19" s="34"/>
      <c r="AN19" s="34"/>
      <c r="AO19" s="42"/>
      <c r="AP19" s="52">
        <f>Q19*O19</f>
        <v>13333.333333333334</v>
      </c>
      <c r="AQ19" s="52">
        <f>AB19*AA19</f>
        <v>0</v>
      </c>
      <c r="AR19" s="53">
        <f>AG19*AF19*AD19</f>
        <v>0</v>
      </c>
      <c r="AS19" s="52">
        <f>AO19*AM19</f>
        <v>0</v>
      </c>
      <c r="AT19" s="54">
        <f>(15000+50000+60000)/12</f>
        <v>10416.666666666666</v>
      </c>
      <c r="AU19" s="55">
        <f>SUBTOTAL(9,AP19:AT19)</f>
        <v>23750</v>
      </c>
      <c r="AV19" s="55"/>
      <c r="AW19" s="62" t="s">
        <v>111</v>
      </c>
      <c r="AX19" s="63"/>
      <c r="AY19" s="64"/>
      <c r="AZ19" s="63"/>
      <c r="BA19" s="197"/>
      <c r="BC19" s="25">
        <f>IF(I19="Rack",AU19/L19,0)+IF(I19="U Space",AU19*40/L19,0)+IF(I19="Space",AU19*30/L19,0)</f>
        <v>237500</v>
      </c>
      <c r="BD19" s="25">
        <f>+AU19/Y19</f>
        <v>47500</v>
      </c>
      <c r="BE19" s="25">
        <f>+($AP19+$AQ19+$AR19-BL19)/$Y19</f>
        <v>-2528.405733333333</v>
      </c>
      <c r="BF19" s="25">
        <f>+($AP19+$AQ19+$AR19-BM19)/$Y19</f>
        <v>-15848.657515833333</v>
      </c>
      <c r="BG19" s="25">
        <f>+($AP19+$AQ19+IF(H19="Bundled",0,Y19*0.85*AD19*AF19*30.5*24)-BN19)/$Y19</f>
        <v>8419.7464166666687</v>
      </c>
      <c r="BH19" s="25"/>
      <c r="BI19" s="26">
        <f>+AP19+AQ19+AR19</f>
        <v>13333.333333333334</v>
      </c>
      <c r="BJ19" s="26" t="e">
        <f>+BI19-BK19</f>
        <v>#REF!</v>
      </c>
      <c r="BK19" s="26" t="e">
        <f>IF(H19="Bundled",MIN(Y19*$AG$1*(1+#REF!),BI19),AR19)</f>
        <v>#REF!</v>
      </c>
      <c r="BL19" s="27">
        <f>IF($AG19&gt;0,$AG19*$AD$1*$AF$1*(1+$AI$1*(20/$AF$1)/732),$AG$1*Z19)</f>
        <v>14597.5362</v>
      </c>
      <c r="BM19" s="27">
        <f t="shared" si="48"/>
        <v>21257.66209125</v>
      </c>
      <c r="BN19" s="27">
        <f t="shared" si="24"/>
        <v>9123.4601249999996</v>
      </c>
      <c r="BO19" s="27">
        <f>+BE19*Y19</f>
        <v>-1264.2028666666665</v>
      </c>
      <c r="BP19" s="27" t="e">
        <f>+#REF!*Y19</f>
        <v>#REF!</v>
      </c>
      <c r="BQ19" s="27" t="e">
        <f>+BJ19-BP19</f>
        <v>#REF!</v>
      </c>
      <c r="BR19" s="27" t="e">
        <f>+BK19-BL19</f>
        <v>#REF!</v>
      </c>
      <c r="BS19" s="27" t="e">
        <f>+BQ19+BR19</f>
        <v>#REF!</v>
      </c>
      <c r="BT19" s="27">
        <f t="shared" si="29"/>
        <v>0.5</v>
      </c>
      <c r="BU19" s="27">
        <f>+BE19</f>
        <v>-2528.405733333333</v>
      </c>
      <c r="BV19" s="27">
        <f>IF(H19="Bundled",BN19-BL19,AR19-BL19)</f>
        <v>-5474.0760750000009</v>
      </c>
      <c r="BW19" s="27" t="e">
        <f>IF(H19="Bundled",+(BG19-#REF!)*Y19,(AP19+AQ19)-Y19*#REF!)</f>
        <v>#REF!</v>
      </c>
      <c r="BX19" s="27" t="e">
        <f>+BV19+BW19</f>
        <v>#REF!</v>
      </c>
      <c r="BY19" s="27">
        <f t="shared" si="49"/>
        <v>-10948.152150000002</v>
      </c>
      <c r="BZ19" s="27" t="e">
        <f t="shared" si="49"/>
        <v>#REF!</v>
      </c>
      <c r="CA19" s="27" t="e">
        <f t="shared" si="49"/>
        <v>#REF!</v>
      </c>
    </row>
    <row r="20" spans="1:80" x14ac:dyDescent="0.3">
      <c r="A20" s="195" t="s">
        <v>248</v>
      </c>
      <c r="B20" s="490"/>
      <c r="C20" s="44" t="s">
        <v>518</v>
      </c>
      <c r="D20" s="44" t="s">
        <v>404</v>
      </c>
      <c r="E20" s="44"/>
      <c r="F20" s="44"/>
      <c r="G20" s="33" t="s">
        <v>11</v>
      </c>
      <c r="H20" s="34" t="s">
        <v>52</v>
      </c>
      <c r="I20" s="33" t="s">
        <v>60</v>
      </c>
      <c r="J20" s="33" t="s">
        <v>61</v>
      </c>
      <c r="K20" s="31" t="str">
        <f t="shared" si="43"/>
        <v>U Space</v>
      </c>
      <c r="L20" s="33">
        <v>3</v>
      </c>
      <c r="M20" s="33">
        <v>3</v>
      </c>
      <c r="N20" s="35">
        <v>0</v>
      </c>
      <c r="O20" s="33">
        <v>3</v>
      </c>
      <c r="P20" s="33"/>
      <c r="Q20" s="42">
        <f>(30000/1)/12</f>
        <v>2500</v>
      </c>
      <c r="R20" s="43" t="str">
        <f t="shared" si="41"/>
        <v>Rated</v>
      </c>
      <c r="S20" s="44" t="s">
        <v>54</v>
      </c>
      <c r="T20" s="34">
        <v>0.75</v>
      </c>
      <c r="U20" s="45">
        <v>1.68</v>
      </c>
      <c r="V20" s="46">
        <f t="shared" si="44"/>
        <v>-0.92999999999999994</v>
      </c>
      <c r="W20" s="34"/>
      <c r="X20" s="34">
        <f t="shared" si="45"/>
        <v>0</v>
      </c>
      <c r="Y20" s="34">
        <f t="shared" si="5"/>
        <v>0.375</v>
      </c>
      <c r="Z20" s="481"/>
      <c r="AA20" s="34">
        <f t="shared" si="46"/>
        <v>0.92999999999999994</v>
      </c>
      <c r="AB20" s="47"/>
      <c r="AC20" s="48" t="str">
        <f t="shared" si="47"/>
        <v>Bundled</v>
      </c>
      <c r="AD20" s="34"/>
      <c r="AE20" s="34"/>
      <c r="AF20" s="49"/>
      <c r="AG20" s="34"/>
      <c r="AH20" s="50"/>
      <c r="AI20" s="51"/>
      <c r="AJ20" s="34"/>
      <c r="AK20" s="34"/>
      <c r="AL20" s="34"/>
      <c r="AM20" s="34"/>
      <c r="AN20" s="34"/>
      <c r="AO20" s="42"/>
      <c r="AP20" s="52"/>
      <c r="AQ20" s="52"/>
      <c r="AR20" s="53"/>
      <c r="AS20" s="52"/>
      <c r="AT20" s="54"/>
      <c r="AU20" s="55"/>
      <c r="AV20" s="55"/>
      <c r="AW20" s="62"/>
      <c r="AX20" s="63"/>
      <c r="AY20" s="64"/>
      <c r="AZ20" s="63"/>
      <c r="BA20" s="197"/>
      <c r="BC20" s="59"/>
      <c r="BD20" s="59"/>
      <c r="BE20" s="59"/>
      <c r="BF20" s="59"/>
      <c r="BG20" s="59"/>
      <c r="BH20" s="59"/>
      <c r="BI20" s="60"/>
      <c r="BJ20" s="60"/>
      <c r="BK20" s="60"/>
      <c r="BL20" s="61"/>
      <c r="BM20" s="61">
        <f t="shared" si="48"/>
        <v>0</v>
      </c>
      <c r="BN20" s="61">
        <f t="shared" si="24"/>
        <v>6842.5950937500002</v>
      </c>
      <c r="BO20" s="61"/>
      <c r="BP20" s="61"/>
      <c r="BQ20" s="61"/>
      <c r="BR20" s="61"/>
      <c r="BS20" s="61"/>
      <c r="BT20" s="61">
        <f t="shared" si="29"/>
        <v>0.375</v>
      </c>
      <c r="BU20" s="61"/>
      <c r="BV20" s="61"/>
      <c r="BW20" s="61"/>
      <c r="BX20" s="61"/>
      <c r="BY20" s="61"/>
      <c r="BZ20" s="61"/>
      <c r="CA20" s="61"/>
    </row>
    <row r="21" spans="1:80" x14ac:dyDescent="0.3">
      <c r="A21" s="195" t="s">
        <v>248</v>
      </c>
      <c r="B21" s="490"/>
      <c r="C21" s="44" t="s">
        <v>237</v>
      </c>
      <c r="D21" s="44" t="s">
        <v>404</v>
      </c>
      <c r="E21" s="44"/>
      <c r="F21" s="44"/>
      <c r="G21" s="33" t="s">
        <v>11</v>
      </c>
      <c r="H21" s="34" t="s">
        <v>52</v>
      </c>
      <c r="I21" s="33" t="s">
        <v>60</v>
      </c>
      <c r="J21" s="33" t="s">
        <v>61</v>
      </c>
      <c r="K21" s="31" t="str">
        <f t="shared" si="43"/>
        <v>U Space</v>
      </c>
      <c r="L21" s="33">
        <v>1</v>
      </c>
      <c r="M21" s="33">
        <v>1</v>
      </c>
      <c r="N21" s="35">
        <v>0</v>
      </c>
      <c r="O21" s="33">
        <v>1</v>
      </c>
      <c r="P21" s="33"/>
      <c r="Q21" s="42">
        <f>(103500/3)/12</f>
        <v>2875</v>
      </c>
      <c r="R21" s="43" t="str">
        <f t="shared" si="41"/>
        <v>Rated</v>
      </c>
      <c r="S21" s="44" t="s">
        <v>54</v>
      </c>
      <c r="T21" s="34">
        <v>0.25</v>
      </c>
      <c r="U21" s="45">
        <v>0.27</v>
      </c>
      <c r="V21" s="46">
        <f t="shared" si="44"/>
        <v>-2.0000000000000018E-2</v>
      </c>
      <c r="W21" s="34"/>
      <c r="X21" s="34">
        <f t="shared" si="45"/>
        <v>0</v>
      </c>
      <c r="Y21" s="34">
        <f t="shared" si="5"/>
        <v>0.125</v>
      </c>
      <c r="Z21" s="481"/>
      <c r="AA21" s="34">
        <f t="shared" si="46"/>
        <v>2.0000000000000018E-2</v>
      </c>
      <c r="AB21" s="47"/>
      <c r="AC21" s="48" t="str">
        <f t="shared" si="47"/>
        <v>Bundled</v>
      </c>
      <c r="AD21" s="34"/>
      <c r="AE21" s="34"/>
      <c r="AF21" s="49"/>
      <c r="AG21" s="34"/>
      <c r="AH21" s="50"/>
      <c r="AI21" s="51"/>
      <c r="AJ21" s="34"/>
      <c r="AK21" s="34"/>
      <c r="AL21" s="34"/>
      <c r="AM21" s="34"/>
      <c r="AN21" s="34"/>
      <c r="AO21" s="42"/>
      <c r="AP21" s="52"/>
      <c r="AQ21" s="52"/>
      <c r="AR21" s="53"/>
      <c r="AS21" s="52"/>
      <c r="AT21" s="54"/>
      <c r="AU21" s="55"/>
      <c r="AV21" s="55"/>
      <c r="AW21" s="62"/>
      <c r="AX21" s="63"/>
      <c r="AY21" s="64"/>
      <c r="AZ21" s="63"/>
      <c r="BA21" s="197"/>
      <c r="BC21" s="59"/>
      <c r="BD21" s="59"/>
      <c r="BE21" s="59"/>
      <c r="BF21" s="59"/>
      <c r="BG21" s="59"/>
      <c r="BH21" s="59"/>
      <c r="BI21" s="60"/>
      <c r="BJ21" s="60"/>
      <c r="BK21" s="60"/>
      <c r="BL21" s="61"/>
      <c r="BM21" s="61">
        <f t="shared" si="48"/>
        <v>0</v>
      </c>
      <c r="BN21" s="61">
        <f t="shared" si="24"/>
        <v>2280.8650312499999</v>
      </c>
      <c r="BO21" s="61"/>
      <c r="BP21" s="61" t="e">
        <f>+#REF!*Y21</f>
        <v>#REF!</v>
      </c>
      <c r="BQ21" s="61"/>
      <c r="BR21" s="61"/>
      <c r="BS21" s="61"/>
      <c r="BT21" s="61">
        <f t="shared" si="29"/>
        <v>0.125</v>
      </c>
      <c r="BU21" s="61"/>
      <c r="BV21" s="61"/>
      <c r="BW21" s="61"/>
      <c r="BX21" s="61"/>
      <c r="BY21" s="61"/>
      <c r="BZ21" s="61"/>
      <c r="CA21" s="61"/>
    </row>
    <row r="22" spans="1:80" x14ac:dyDescent="0.3">
      <c r="A22" s="195" t="s">
        <v>248</v>
      </c>
      <c r="B22" s="491"/>
      <c r="C22" s="279" t="s">
        <v>520</v>
      </c>
      <c r="D22" s="279" t="s">
        <v>404</v>
      </c>
      <c r="E22" s="279"/>
      <c r="F22" s="279"/>
      <c r="G22" s="33" t="s">
        <v>11</v>
      </c>
      <c r="H22" s="34" t="s">
        <v>52</v>
      </c>
      <c r="I22" s="33" t="s">
        <v>60</v>
      </c>
      <c r="J22" s="33" t="s">
        <v>61</v>
      </c>
      <c r="K22" s="31" t="str">
        <f t="shared" si="43"/>
        <v>U Space</v>
      </c>
      <c r="L22" s="33">
        <v>2</v>
      </c>
      <c r="M22" s="33">
        <v>2</v>
      </c>
      <c r="N22" s="35">
        <f>L22-M22</f>
        <v>0</v>
      </c>
      <c r="O22" s="33">
        <v>2</v>
      </c>
      <c r="P22" s="33"/>
      <c r="Q22" s="42">
        <f>33700/12</f>
        <v>2808.3333333333335</v>
      </c>
      <c r="R22" s="43" t="str">
        <f t="shared" si="41"/>
        <v>Rated</v>
      </c>
      <c r="S22" s="44" t="s">
        <v>54</v>
      </c>
      <c r="T22" s="34">
        <v>0.5</v>
      </c>
      <c r="U22" s="45">
        <v>0.27</v>
      </c>
      <c r="V22" s="46">
        <f t="shared" si="44"/>
        <v>0.22999999999999998</v>
      </c>
      <c r="W22" s="34"/>
      <c r="X22" s="34">
        <f t="shared" si="45"/>
        <v>0.11499999999999999</v>
      </c>
      <c r="Y22" s="34">
        <f t="shared" si="5"/>
        <v>0.25</v>
      </c>
      <c r="Z22" s="481"/>
      <c r="AA22" s="34">
        <f t="shared" si="46"/>
        <v>0</v>
      </c>
      <c r="AB22" s="47">
        <f>110000/12</f>
        <v>9166.6666666666661</v>
      </c>
      <c r="AC22" s="48" t="str">
        <f t="shared" si="47"/>
        <v>Bundled</v>
      </c>
      <c r="AD22" s="34"/>
      <c r="AE22" s="34"/>
      <c r="AF22" s="49"/>
      <c r="AG22" s="34"/>
      <c r="AH22" s="50"/>
      <c r="AI22" s="51" t="str">
        <f>IF(AH22="No of Seats","No of Seats",(IF(AH22="Space","Sq Ft","")))</f>
        <v/>
      </c>
      <c r="AJ22" s="34"/>
      <c r="AK22" s="34"/>
      <c r="AL22" s="34">
        <f>AJ22-AK22</f>
        <v>0</v>
      </c>
      <c r="AM22" s="34"/>
      <c r="AN22" s="34"/>
      <c r="AO22" s="42"/>
      <c r="AP22" s="52">
        <f>Q22*O22</f>
        <v>5616.666666666667</v>
      </c>
      <c r="AQ22" s="52">
        <f>AB22*AA22</f>
        <v>0</v>
      </c>
      <c r="AR22" s="53">
        <f>AG22*AF22*AD22</f>
        <v>0</v>
      </c>
      <c r="AS22" s="52">
        <f>AO22*AM22</f>
        <v>0</v>
      </c>
      <c r="AT22" s="54">
        <f>(60000)/12</f>
        <v>5000</v>
      </c>
      <c r="AU22" s="55">
        <f>SUBTOTAL(9,AP22:AT22)</f>
        <v>10616.666666666668</v>
      </c>
      <c r="AV22" s="55"/>
      <c r="AW22" s="62">
        <v>121000929</v>
      </c>
      <c r="AX22" s="63"/>
      <c r="AY22" s="64"/>
      <c r="AZ22" s="63"/>
      <c r="BA22" s="197"/>
      <c r="BC22" s="25">
        <f>IF(I22="Rack",AU22/L22,0)+IF(I22="U Space",AU22*40/L22,0)+IF(I22="Space",AU22*30/L22,0)</f>
        <v>212333.33333333337</v>
      </c>
      <c r="BD22" s="25">
        <f>+AU22/Y22</f>
        <v>42466.666666666672</v>
      </c>
      <c r="BE22" s="25">
        <f>+($AP22+$AQ22+$AR22-BL22)/$Y22</f>
        <v>22466.666666666668</v>
      </c>
      <c r="BF22" s="25">
        <f>+($AP22+$AQ22+$AR22-BM22)/$Y22</f>
        <v>14073.083351666668</v>
      </c>
      <c r="BG22" s="25">
        <f>+($AP22+$AQ22+IF(H22="Bundled",0,Y22*0.85*AD22*AF22*30.5*24)-BN22)/$Y22</f>
        <v>4219.7464166666687</v>
      </c>
      <c r="BH22" s="25"/>
      <c r="BI22" s="26">
        <f>+AP22+AQ22+AR22</f>
        <v>5616.666666666667</v>
      </c>
      <c r="BJ22" s="26" t="e">
        <f>+BI22-BK22</f>
        <v>#REF!</v>
      </c>
      <c r="BK22" s="26" t="e">
        <f>IF(H22="Bundled",MIN(Y22*$AG$1*(1+#REF!),BI22),AR22)</f>
        <v>#REF!</v>
      </c>
      <c r="BL22" s="27">
        <f>IF($AG22&gt;0,$AG22*$AD$1*$AF$1*(1+$AI$1*(20/$AF$1)/732),$AG$1*Z22)</f>
        <v>0</v>
      </c>
      <c r="BM22" s="27">
        <f t="shared" si="48"/>
        <v>2098.39582875</v>
      </c>
      <c r="BN22" s="27">
        <f t="shared" si="24"/>
        <v>4561.7300624999998</v>
      </c>
      <c r="BO22" s="27">
        <f>+BE22*Y22</f>
        <v>5616.666666666667</v>
      </c>
      <c r="BP22" s="27" t="e">
        <f>+#REF!*Y22</f>
        <v>#REF!</v>
      </c>
      <c r="BQ22" s="27" t="e">
        <f>+BJ22-BP22</f>
        <v>#REF!</v>
      </c>
      <c r="BR22" s="27" t="e">
        <f>+BK22-BL22</f>
        <v>#REF!</v>
      </c>
      <c r="BS22" s="27" t="e">
        <f>+BQ22+BR22</f>
        <v>#REF!</v>
      </c>
      <c r="BT22" s="27">
        <f t="shared" si="29"/>
        <v>0.25</v>
      </c>
      <c r="BU22" s="27">
        <f>+BE22</f>
        <v>22466.666666666668</v>
      </c>
      <c r="BV22" s="27">
        <f>IF(H22="Bundled",BN22-BL22,AR22-BL22)</f>
        <v>4561.7300624999998</v>
      </c>
      <c r="BW22" s="27" t="e">
        <f>IF(H22="Bundled",+(BG22-#REF!)*Y22,(AP22+AQ22)-Y22*#REF!)</f>
        <v>#REF!</v>
      </c>
      <c r="BX22" s="27" t="e">
        <f>+BV22+BW22</f>
        <v>#REF!</v>
      </c>
      <c r="BY22" s="27">
        <f t="shared" ref="BY22:CA23" si="50">+BV22/$BT22</f>
        <v>18246.920249999999</v>
      </c>
      <c r="BZ22" s="27" t="e">
        <f t="shared" si="50"/>
        <v>#REF!</v>
      </c>
      <c r="CA22" s="27" t="e">
        <f t="shared" si="50"/>
        <v>#REF!</v>
      </c>
    </row>
    <row r="23" spans="1:80" s="16" customFormat="1" x14ac:dyDescent="0.3">
      <c r="A23" s="195" t="s">
        <v>248</v>
      </c>
      <c r="B23" s="492" t="s">
        <v>139</v>
      </c>
      <c r="C23" s="132" t="s">
        <v>345</v>
      </c>
      <c r="D23" s="132" t="s">
        <v>405</v>
      </c>
      <c r="E23" s="132"/>
      <c r="F23" s="132"/>
      <c r="G23" s="33" t="s">
        <v>11</v>
      </c>
      <c r="H23" s="34" t="s">
        <v>52</v>
      </c>
      <c r="I23" s="33" t="s">
        <v>60</v>
      </c>
      <c r="J23" s="33" t="s">
        <v>61</v>
      </c>
      <c r="K23" s="31" t="str">
        <f t="shared" si="43"/>
        <v>U Space</v>
      </c>
      <c r="L23" s="33">
        <v>4</v>
      </c>
      <c r="M23" s="33">
        <v>4</v>
      </c>
      <c r="N23" s="35">
        <f>L23-M23</f>
        <v>0</v>
      </c>
      <c r="O23" s="33">
        <v>4</v>
      </c>
      <c r="P23" s="140"/>
      <c r="Q23" s="133">
        <f>(154000/4)/12</f>
        <v>3208.3333333333335</v>
      </c>
      <c r="R23" s="43" t="str">
        <f t="shared" si="41"/>
        <v>Rated</v>
      </c>
      <c r="S23" s="44" t="s">
        <v>54</v>
      </c>
      <c r="T23" s="34">
        <v>1</v>
      </c>
      <c r="U23" s="45">
        <v>0.69</v>
      </c>
      <c r="V23" s="46">
        <f t="shared" si="44"/>
        <v>0.31000000000000005</v>
      </c>
      <c r="W23" s="34"/>
      <c r="X23" s="34">
        <f t="shared" si="45"/>
        <v>0.15500000000000003</v>
      </c>
      <c r="Y23" s="34">
        <f t="shared" si="5"/>
        <v>0.5</v>
      </c>
      <c r="Z23" s="481">
        <v>0.89</v>
      </c>
      <c r="AA23" s="34">
        <f t="shared" si="46"/>
        <v>0</v>
      </c>
      <c r="AB23" s="47">
        <v>0</v>
      </c>
      <c r="AC23" s="48" t="str">
        <f t="shared" si="47"/>
        <v>Bundled</v>
      </c>
      <c r="AD23" s="34"/>
      <c r="AE23" s="34"/>
      <c r="AF23" s="49"/>
      <c r="AG23" s="34"/>
      <c r="AH23" s="50"/>
      <c r="AI23" s="51" t="str">
        <f>IF(AH23="No of Seats","No of Seats",(IF(AH23="Space","Sq Ft","")))</f>
        <v/>
      </c>
      <c r="AJ23" s="34"/>
      <c r="AK23" s="34"/>
      <c r="AL23" s="34">
        <f>AJ23-AK23</f>
        <v>0</v>
      </c>
      <c r="AM23" s="34"/>
      <c r="AN23" s="34"/>
      <c r="AO23" s="42"/>
      <c r="AP23" s="52">
        <f>Q23*O23</f>
        <v>12833.333333333334</v>
      </c>
      <c r="AQ23" s="52">
        <f>AB23*AA23</f>
        <v>0</v>
      </c>
      <c r="AR23" s="53">
        <f>AG23*AF23*AD23</f>
        <v>0</v>
      </c>
      <c r="AS23" s="52">
        <f>AO23*AM23</f>
        <v>0</v>
      </c>
      <c r="AT23" s="54">
        <f>100000/12</f>
        <v>8333.3333333333339</v>
      </c>
      <c r="AU23" s="55">
        <f>SUBTOTAL(9,AP23:AT23)</f>
        <v>21166.666666666668</v>
      </c>
      <c r="AV23" s="55"/>
      <c r="AW23" s="56"/>
      <c r="AX23" s="57"/>
      <c r="AY23" s="58"/>
      <c r="AZ23" s="57"/>
      <c r="BA23" s="198"/>
      <c r="BC23" s="25">
        <f>IF(I23="Rack",AU23/L23,0)+IF(I23="U Space",AU23*40/L23,0)+IF(I23="Space",AU23*30/L23,0)</f>
        <v>211666.66666666669</v>
      </c>
      <c r="BD23" s="25">
        <f>+AU23/Y23</f>
        <v>42333.333333333336</v>
      </c>
      <c r="BE23" s="25">
        <f>+($AP23+$AQ23+$AR23-BL23)/$Y23</f>
        <v>-6812.8513783333328</v>
      </c>
      <c r="BF23" s="25">
        <f>+($AP23+$AQ23+$AR23-BM23)/$Y23</f>
        <v>-12469.39665583333</v>
      </c>
      <c r="BG23" s="25">
        <f>+($AP23+$AQ23+IF(H23="Bundled",0,Y23*0.85*AD23*AF23*30.5*24)-BN23)/$Y23</f>
        <v>7419.7464166666687</v>
      </c>
      <c r="BH23" s="25"/>
      <c r="BI23" s="26">
        <f>+AP23+AQ23+AR23</f>
        <v>12833.333333333334</v>
      </c>
      <c r="BJ23" s="26" t="e">
        <f>+BI23-BK23</f>
        <v>#REF!</v>
      </c>
      <c r="BK23" s="26" t="e">
        <f>IF(H23="Bundled",MIN(Y23*$AG$1*(1+#REF!),BI23),AR23)</f>
        <v>#REF!</v>
      </c>
      <c r="BL23" s="27">
        <f>IF($AG23&gt;0,$AG23*$AD$1*$AF$1*(1+$AI$1*(20/$AF$1)/732),$AG$1*Z23)</f>
        <v>16239.7590225</v>
      </c>
      <c r="BM23" s="27">
        <f t="shared" si="48"/>
        <v>19068.031661249999</v>
      </c>
      <c r="BN23" s="27">
        <f t="shared" si="24"/>
        <v>9123.4601249999996</v>
      </c>
      <c r="BO23" s="27">
        <f>+BE23*Y23</f>
        <v>-3406.4256891666664</v>
      </c>
      <c r="BP23" s="27" t="e">
        <f>+#REF!*Y23</f>
        <v>#REF!</v>
      </c>
      <c r="BQ23" s="27" t="e">
        <f>+BJ23-BP23</f>
        <v>#REF!</v>
      </c>
      <c r="BR23" s="27" t="e">
        <f>+BK23-BL23</f>
        <v>#REF!</v>
      </c>
      <c r="BS23" s="27" t="e">
        <f>+BQ23+BR23</f>
        <v>#REF!</v>
      </c>
      <c r="BT23" s="27">
        <f t="shared" si="29"/>
        <v>0.5</v>
      </c>
      <c r="BU23" s="27">
        <f>+BE23</f>
        <v>-6812.8513783333328</v>
      </c>
      <c r="BV23" s="27">
        <f>IF(H23="Bundled",BN23-BL23,AR23-BL23)</f>
        <v>-7116.2988975000007</v>
      </c>
      <c r="BW23" s="27" t="e">
        <f>IF(H23="Bundled",+(BG23-#REF!)*Y23,(AP23+AQ23)-Y23*#REF!)</f>
        <v>#REF!</v>
      </c>
      <c r="BX23" s="27" t="e">
        <f>+BV23+BW23</f>
        <v>#REF!</v>
      </c>
      <c r="BY23" s="27">
        <f t="shared" si="50"/>
        <v>-14232.597795000001</v>
      </c>
      <c r="BZ23" s="27" t="e">
        <f t="shared" si="50"/>
        <v>#REF!</v>
      </c>
      <c r="CA23" s="27" t="e">
        <f t="shared" si="50"/>
        <v>#REF!</v>
      </c>
    </row>
    <row r="24" spans="1:80" s="16" customFormat="1" ht="26" x14ac:dyDescent="0.3">
      <c r="A24" s="195" t="s">
        <v>248</v>
      </c>
      <c r="B24" s="492"/>
      <c r="C24" s="175" t="s">
        <v>529</v>
      </c>
      <c r="D24" s="175" t="s">
        <v>404</v>
      </c>
      <c r="E24" s="175"/>
      <c r="F24" s="175"/>
      <c r="G24" s="33" t="s">
        <v>11</v>
      </c>
      <c r="H24" s="34" t="s">
        <v>52</v>
      </c>
      <c r="I24" s="33" t="s">
        <v>60</v>
      </c>
      <c r="J24" s="33" t="s">
        <v>61</v>
      </c>
      <c r="K24" s="31" t="str">
        <f t="shared" si="43"/>
        <v>U Space</v>
      </c>
      <c r="L24" s="33">
        <v>4</v>
      </c>
      <c r="M24" s="33">
        <v>4</v>
      </c>
      <c r="N24" s="35">
        <v>0</v>
      </c>
      <c r="O24" s="33">
        <v>4</v>
      </c>
      <c r="P24" s="140"/>
      <c r="Q24" s="133"/>
      <c r="R24" s="43" t="s">
        <v>11</v>
      </c>
      <c r="S24" s="44" t="s">
        <v>54</v>
      </c>
      <c r="T24" s="34">
        <v>1</v>
      </c>
      <c r="U24" s="45">
        <v>0.33</v>
      </c>
      <c r="V24" s="46">
        <f t="shared" si="44"/>
        <v>0.66999999999999993</v>
      </c>
      <c r="W24" s="34"/>
      <c r="X24" s="34">
        <f t="shared" si="45"/>
        <v>0.33499999999999996</v>
      </c>
      <c r="Y24" s="34">
        <f t="shared" si="5"/>
        <v>0.5</v>
      </c>
      <c r="Z24" s="481"/>
      <c r="AA24" s="34">
        <f t="shared" si="46"/>
        <v>0</v>
      </c>
      <c r="AB24" s="47"/>
      <c r="AC24" s="48" t="str">
        <f t="shared" si="47"/>
        <v>Bundled</v>
      </c>
      <c r="AD24" s="34"/>
      <c r="AE24" s="34"/>
      <c r="AF24" s="49"/>
      <c r="AG24" s="34"/>
      <c r="AH24" s="50"/>
      <c r="AI24" s="51"/>
      <c r="AJ24" s="34"/>
      <c r="AK24" s="34"/>
      <c r="AL24" s="34"/>
      <c r="AM24" s="34"/>
      <c r="AN24" s="34"/>
      <c r="AO24" s="42"/>
      <c r="AP24" s="52"/>
      <c r="AQ24" s="52"/>
      <c r="AR24" s="53"/>
      <c r="AS24" s="52"/>
      <c r="AT24" s="54"/>
      <c r="AU24" s="55"/>
      <c r="AV24" s="55"/>
      <c r="AW24" s="56"/>
      <c r="AX24" s="57"/>
      <c r="AY24" s="58"/>
      <c r="AZ24" s="57"/>
      <c r="BA24" s="198"/>
      <c r="BC24" s="59"/>
      <c r="BD24" s="59"/>
      <c r="BE24" s="59"/>
      <c r="BF24" s="59"/>
      <c r="BG24" s="59"/>
      <c r="BH24" s="59"/>
      <c r="BI24" s="60"/>
      <c r="BJ24" s="60"/>
      <c r="BK24" s="60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</row>
    <row r="25" spans="1:80" s="16" customFormat="1" x14ac:dyDescent="0.3">
      <c r="A25" s="195" t="s">
        <v>248</v>
      </c>
      <c r="B25" s="492"/>
      <c r="C25" s="370" t="s">
        <v>468</v>
      </c>
      <c r="D25" s="32" t="s">
        <v>405</v>
      </c>
      <c r="E25" s="32"/>
      <c r="F25" s="32"/>
      <c r="G25" s="33" t="s">
        <v>11</v>
      </c>
      <c r="H25" s="34" t="s">
        <v>52</v>
      </c>
      <c r="I25" s="33" t="s">
        <v>60</v>
      </c>
      <c r="J25" s="33" t="s">
        <v>61</v>
      </c>
      <c r="K25" s="31" t="str">
        <f t="shared" si="43"/>
        <v>U Space</v>
      </c>
      <c r="L25" s="33">
        <v>10</v>
      </c>
      <c r="M25" s="33">
        <v>10</v>
      </c>
      <c r="N25" s="35">
        <v>0</v>
      </c>
      <c r="O25" s="33">
        <v>10</v>
      </c>
      <c r="P25" s="33"/>
      <c r="Q25" s="42"/>
      <c r="R25" s="43" t="str">
        <f>G25</f>
        <v>Rated</v>
      </c>
      <c r="S25" s="44" t="s">
        <v>54</v>
      </c>
      <c r="T25" s="34">
        <v>1.3</v>
      </c>
      <c r="U25" s="45">
        <v>1.26</v>
      </c>
      <c r="V25" s="46">
        <f t="shared" si="44"/>
        <v>4.0000000000000036E-2</v>
      </c>
      <c r="W25" s="34"/>
      <c r="X25" s="34">
        <f t="shared" si="45"/>
        <v>2.0000000000000018E-2</v>
      </c>
      <c r="Y25" s="34">
        <f t="shared" si="5"/>
        <v>0.65</v>
      </c>
      <c r="Z25" s="481"/>
      <c r="AA25" s="34">
        <f t="shared" si="46"/>
        <v>0</v>
      </c>
      <c r="AB25" s="47"/>
      <c r="AC25" s="48" t="str">
        <f t="shared" si="47"/>
        <v>Bundled</v>
      </c>
      <c r="AD25" s="34"/>
      <c r="AE25" s="34"/>
      <c r="AF25" s="49"/>
      <c r="AG25" s="34"/>
      <c r="AH25" s="50"/>
      <c r="AI25" s="51" t="str">
        <f>IF(AH25="No of Seats","No of Seats",(IF(AH25="Space","Sq Ft","")))</f>
        <v/>
      </c>
      <c r="AJ25" s="34"/>
      <c r="AK25" s="34"/>
      <c r="AL25" s="34">
        <f>AJ25-AK25</f>
        <v>0</v>
      </c>
      <c r="AM25" s="34"/>
      <c r="AN25" s="34"/>
      <c r="AO25" s="42"/>
      <c r="AP25" s="52">
        <f>Q25*O25</f>
        <v>0</v>
      </c>
      <c r="AQ25" s="52">
        <f>AB25*AA25</f>
        <v>0</v>
      </c>
      <c r="AR25" s="53">
        <f>AG25*AF25*AD25</f>
        <v>0</v>
      </c>
      <c r="AS25" s="52">
        <f>AO25*AM25</f>
        <v>0</v>
      </c>
      <c r="AT25" s="54"/>
      <c r="AU25" s="55">
        <f>SUBTOTAL(9,AP25:AT25)</f>
        <v>0</v>
      </c>
      <c r="AV25" s="55"/>
      <c r="AW25" s="62"/>
      <c r="AX25" s="63"/>
      <c r="AY25" s="64"/>
      <c r="AZ25" s="63"/>
      <c r="BA25" s="197"/>
      <c r="BC25" s="25">
        <f>IF(I25="Rack",AU25/L25,0)+IF(I25="U Space",AU25*40/L25,0)+IF(I25="Space",AU25*30/L25,0)</f>
        <v>0</v>
      </c>
      <c r="BD25" s="25">
        <f>+AU25/Y25</f>
        <v>0</v>
      </c>
      <c r="BE25" s="25">
        <f>+($AP25+$AQ25+$AR25-BL25)/$Y25</f>
        <v>0</v>
      </c>
      <c r="BF25" s="25">
        <f>+($AP25+$AQ25+$AR25-BM25)/$Y25</f>
        <v>-561.44370000000049</v>
      </c>
      <c r="BG25" s="25">
        <f>+($AP25+$AQ25+IF(H25="Bundled",0,Y25*0.85*AD25*AF25*30.5*24)-BN25)/$Y25</f>
        <v>-18246.920249999999</v>
      </c>
      <c r="BH25" s="25"/>
      <c r="BI25" s="26">
        <f>+AP25+AQ25+AR25</f>
        <v>0</v>
      </c>
      <c r="BJ25" s="26" t="e">
        <f>+BI25-BK25</f>
        <v>#REF!</v>
      </c>
      <c r="BK25" s="26" t="e">
        <f>IF(H25="Bundled",MIN(Y25*$AG$1*(1+#REF!),BI25),AR25)</f>
        <v>#REF!</v>
      </c>
      <c r="BL25" s="27">
        <f>IF($AG25&gt;0,$AG25*$AD$1*$AF$1*(1+$AI$1*(20/$AF$1)/732),$AG$1*Z25)</f>
        <v>0</v>
      </c>
      <c r="BM25" s="27">
        <f>IF($AG25&gt;0,$AG25*$AD$1*$AF$1*(1+$AI$1*(20/$AF$1)/732),+$AG$1*(Z25+X25))</f>
        <v>364.93840500000033</v>
      </c>
      <c r="BN25" s="27">
        <f>IF(H25="Bundled",$AG$1*Y25,$AG$1*Y25*0.85)</f>
        <v>11860.4981625</v>
      </c>
      <c r="BO25" s="27">
        <f>+BE25*Y25</f>
        <v>0</v>
      </c>
      <c r="BP25" s="27" t="e">
        <f>+#REF!*Y25</f>
        <v>#REF!</v>
      </c>
      <c r="BQ25" s="27" t="e">
        <f>+BJ25-BP25</f>
        <v>#REF!</v>
      </c>
      <c r="BR25" s="27" t="e">
        <f>+BK25-BL25</f>
        <v>#REF!</v>
      </c>
      <c r="BS25" s="27" t="e">
        <f>+BQ25+BR25</f>
        <v>#REF!</v>
      </c>
      <c r="BT25" s="27">
        <f>+Y25</f>
        <v>0.65</v>
      </c>
      <c r="BU25" s="27">
        <f>+BE25</f>
        <v>0</v>
      </c>
      <c r="BV25" s="27">
        <f>IF(H25="Bundled",BN25-BL25,AR25-BL25)</f>
        <v>11860.4981625</v>
      </c>
      <c r="BW25" s="27" t="e">
        <f>IF(H25="Bundled",+(BG25-#REF!)*Y25,(AP25+AQ25)-Y25*#REF!)</f>
        <v>#REF!</v>
      </c>
      <c r="BX25" s="27" t="e">
        <f>+BV25+BW25</f>
        <v>#REF!</v>
      </c>
      <c r="BY25" s="27">
        <f>+BV25/$BT25</f>
        <v>18246.920249999999</v>
      </c>
      <c r="BZ25" s="27" t="e">
        <f>+BW25/$BT25</f>
        <v>#REF!</v>
      </c>
      <c r="CA25" s="27" t="e">
        <f>+BX25/$BT25</f>
        <v>#REF!</v>
      </c>
    </row>
    <row r="26" spans="1:80" s="16" customFormat="1" x14ac:dyDescent="0.3">
      <c r="A26" s="195" t="s">
        <v>248</v>
      </c>
      <c r="B26" s="492"/>
      <c r="C26" s="370" t="s">
        <v>561</v>
      </c>
      <c r="D26" s="32" t="s">
        <v>404</v>
      </c>
      <c r="E26" s="32"/>
      <c r="F26" s="32"/>
      <c r="G26" s="33" t="s">
        <v>11</v>
      </c>
      <c r="H26" s="34" t="s">
        <v>52</v>
      </c>
      <c r="I26" s="33" t="s">
        <v>60</v>
      </c>
      <c r="J26" s="33" t="s">
        <v>61</v>
      </c>
      <c r="K26" s="31" t="str">
        <f t="shared" si="43"/>
        <v>U Space</v>
      </c>
      <c r="L26" s="33">
        <v>1</v>
      </c>
      <c r="M26" s="33">
        <v>1</v>
      </c>
      <c r="N26" s="35">
        <v>0</v>
      </c>
      <c r="O26" s="33">
        <v>1</v>
      </c>
      <c r="P26" s="33"/>
      <c r="Q26" s="42"/>
      <c r="R26" s="43" t="s">
        <v>11</v>
      </c>
      <c r="S26" s="44" t="s">
        <v>54</v>
      </c>
      <c r="T26" s="34">
        <v>0.25</v>
      </c>
      <c r="U26" s="45">
        <v>0.27</v>
      </c>
      <c r="V26" s="46">
        <f t="shared" si="44"/>
        <v>-2.0000000000000018E-2</v>
      </c>
      <c r="W26" s="34"/>
      <c r="X26" s="34">
        <f t="shared" si="45"/>
        <v>0</v>
      </c>
      <c r="Y26" s="34">
        <f t="shared" si="5"/>
        <v>0.125</v>
      </c>
      <c r="Z26" s="481"/>
      <c r="AA26" s="34">
        <f t="shared" si="46"/>
        <v>2.0000000000000018E-2</v>
      </c>
      <c r="AB26" s="47"/>
      <c r="AC26" s="48" t="str">
        <f t="shared" si="47"/>
        <v>Bundled</v>
      </c>
      <c r="AD26" s="34"/>
      <c r="AE26" s="34"/>
      <c r="AF26" s="49"/>
      <c r="AG26" s="34"/>
      <c r="AH26" s="50"/>
      <c r="AI26" s="51"/>
      <c r="AJ26" s="34"/>
      <c r="AK26" s="34"/>
      <c r="AL26" s="34"/>
      <c r="AM26" s="34"/>
      <c r="AN26" s="34"/>
      <c r="AO26" s="42"/>
      <c r="AP26" s="52"/>
      <c r="AQ26" s="52"/>
      <c r="AR26" s="53"/>
      <c r="AS26" s="52"/>
      <c r="AT26" s="54"/>
      <c r="AU26" s="55"/>
      <c r="AV26" s="55"/>
      <c r="AW26" s="62"/>
      <c r="AX26" s="63"/>
      <c r="AY26" s="64"/>
      <c r="AZ26" s="63"/>
      <c r="BA26" s="197"/>
      <c r="BC26" s="59"/>
      <c r="BD26" s="59"/>
      <c r="BE26" s="59"/>
      <c r="BF26" s="59"/>
      <c r="BG26" s="59"/>
      <c r="BH26" s="59"/>
      <c r="BI26" s="60"/>
      <c r="BJ26" s="60"/>
      <c r="BK26" s="60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</row>
    <row r="27" spans="1:80" s="16" customFormat="1" x14ac:dyDescent="0.3">
      <c r="A27" s="199" t="s">
        <v>248</v>
      </c>
      <c r="B27" s="492"/>
      <c r="C27" s="279" t="s">
        <v>347</v>
      </c>
      <c r="D27" s="279" t="s">
        <v>404</v>
      </c>
      <c r="E27" s="279"/>
      <c r="F27" s="279"/>
      <c r="G27" s="33" t="s">
        <v>11</v>
      </c>
      <c r="H27" s="34" t="s">
        <v>52</v>
      </c>
      <c r="I27" s="33" t="s">
        <v>60</v>
      </c>
      <c r="J27" s="33" t="s">
        <v>61</v>
      </c>
      <c r="K27" s="31" t="str">
        <f t="shared" si="43"/>
        <v>U Space</v>
      </c>
      <c r="L27" s="33">
        <v>1</v>
      </c>
      <c r="M27" s="33">
        <v>1</v>
      </c>
      <c r="N27" s="35">
        <f t="shared" ref="N27:N33" si="51">L27-M27</f>
        <v>0</v>
      </c>
      <c r="O27" s="33">
        <v>1</v>
      </c>
      <c r="P27" s="33"/>
      <c r="Q27" s="42">
        <f>30000/12</f>
        <v>2500</v>
      </c>
      <c r="R27" s="43" t="str">
        <f>G27</f>
        <v>Rated</v>
      </c>
      <c r="S27" s="44" t="s">
        <v>54</v>
      </c>
      <c r="T27" s="34">
        <v>0.25</v>
      </c>
      <c r="U27" s="45">
        <v>7.0000000000000007E-2</v>
      </c>
      <c r="V27" s="46">
        <f t="shared" si="44"/>
        <v>0.18</v>
      </c>
      <c r="W27" s="34"/>
      <c r="X27" s="34">
        <f t="shared" si="45"/>
        <v>0.09</v>
      </c>
      <c r="Y27" s="34">
        <f t="shared" si="5"/>
        <v>0.125</v>
      </c>
      <c r="Z27" s="481"/>
      <c r="AA27" s="34">
        <f t="shared" si="46"/>
        <v>0</v>
      </c>
      <c r="AB27" s="47">
        <f>100000/12</f>
        <v>8333.3333333333339</v>
      </c>
      <c r="AC27" s="48" t="str">
        <f t="shared" si="47"/>
        <v>Bundled</v>
      </c>
      <c r="AD27" s="34"/>
      <c r="AE27" s="34"/>
      <c r="AF27" s="49"/>
      <c r="AG27" s="34"/>
      <c r="AH27" s="50"/>
      <c r="AI27" s="51" t="str">
        <f>IF(AH27="No of Seats","No of Seats",(IF(AH27="Space","Sq Ft","")))</f>
        <v/>
      </c>
      <c r="AJ27" s="34"/>
      <c r="AK27" s="34"/>
      <c r="AL27" s="34">
        <f>AJ27-AK27</f>
        <v>0</v>
      </c>
      <c r="AM27" s="34"/>
      <c r="AN27" s="34"/>
      <c r="AO27" s="42"/>
      <c r="AP27" s="52">
        <f>Q27*O27</f>
        <v>2500</v>
      </c>
      <c r="AQ27" s="52">
        <f>AB27*AA27</f>
        <v>0</v>
      </c>
      <c r="AR27" s="53">
        <f>AG27*AF27*AD27</f>
        <v>0</v>
      </c>
      <c r="AS27" s="52">
        <f>AO27*AM27</f>
        <v>0</v>
      </c>
      <c r="AT27" s="54">
        <f>10000/12</f>
        <v>833.33333333333337</v>
      </c>
      <c r="AU27" s="55">
        <f>SUBTOTAL(9,AP27:AT27)</f>
        <v>3333.3333333333335</v>
      </c>
      <c r="AV27" s="55"/>
      <c r="AW27" s="67">
        <v>721006234</v>
      </c>
      <c r="AX27" s="68"/>
      <c r="AY27" s="69"/>
      <c r="AZ27" s="68"/>
      <c r="BA27" s="89"/>
      <c r="BC27" s="25">
        <f>IF(I27="Rack",AU27/L27,0)+IF(I27="U Space",AU27*40/L27,0)+IF(I27="Space",AU27*30/L27,0)</f>
        <v>133333.33333333334</v>
      </c>
      <c r="BD27" s="25">
        <f>+AU27/Y27</f>
        <v>26666.666666666668</v>
      </c>
      <c r="BE27" s="25">
        <f t="shared" ref="BE27:BF31" si="52">+($AP27+$AQ27+$AR27-BL27)/$Y27</f>
        <v>20000</v>
      </c>
      <c r="BF27" s="25">
        <f t="shared" si="52"/>
        <v>6862.2174200000009</v>
      </c>
      <c r="BG27" s="25">
        <f>+($AP27+$AQ27+IF(H27="Bundled",0,Y27*0.85*AD27*AF27*30.5*24)-BN27)/$Y27</f>
        <v>1753.0797500000008</v>
      </c>
      <c r="BH27" s="25"/>
      <c r="BI27" s="26">
        <f>+AP27+AQ27+AR27</f>
        <v>2500</v>
      </c>
      <c r="BJ27" s="26" t="e">
        <f>+BI27-BK27</f>
        <v>#REF!</v>
      </c>
      <c r="BK27" s="26" t="e">
        <f>IF(H27="Bundled",MIN(Y27*$AG$1*(1+#REF!),BI27),AR27)</f>
        <v>#REF!</v>
      </c>
      <c r="BL27" s="27">
        <f>IF($AG27&gt;0,$AG27*$AD$1*$AF$1*(1+$AI$1*(20/$AF$1)/732),$AG$1*Z27)</f>
        <v>0</v>
      </c>
      <c r="BM27" s="27">
        <f>IF($AG27&gt;0,$AG27*$AD$1*$AF$1*(1+$AI$1*(20/$AF$1)/732),+$AG$1*(Z27+X27))</f>
        <v>1642.2228224999999</v>
      </c>
      <c r="BN27" s="27">
        <f>IF(H27="Bundled",$AG$1*Y27,$AG$1*Y27*0.85)</f>
        <v>2280.8650312499999</v>
      </c>
      <c r="BO27" s="27">
        <f>+BE27*Y27</f>
        <v>2500</v>
      </c>
      <c r="BP27" s="27" t="e">
        <f>+#REF!*Y27</f>
        <v>#REF!</v>
      </c>
      <c r="BQ27" s="27" t="e">
        <f>+BJ27-BP27</f>
        <v>#REF!</v>
      </c>
      <c r="BR27" s="27" t="e">
        <f>+BK27-BL27</f>
        <v>#REF!</v>
      </c>
      <c r="BS27" s="27" t="e">
        <f>+BQ27+BR27</f>
        <v>#REF!</v>
      </c>
      <c r="BT27" s="27">
        <f>+Y27</f>
        <v>0.125</v>
      </c>
      <c r="BU27" s="27">
        <f>+BE27</f>
        <v>20000</v>
      </c>
      <c r="BV27" s="27">
        <f>IF(H27="Bundled",BN27-BL27,AR27-BL27)</f>
        <v>2280.8650312499999</v>
      </c>
      <c r="BW27" s="27" t="e">
        <f>IF(H27="Bundled",+(BG27-#REF!)*Y27,(AP27+AQ27)-Y27*#REF!)</f>
        <v>#REF!</v>
      </c>
      <c r="BX27" s="27" t="e">
        <f>+BV27+BW27</f>
        <v>#REF!</v>
      </c>
      <c r="BY27" s="27">
        <f t="shared" ref="BY27:CA31" si="53">+BV27/$BT27</f>
        <v>18246.920249999999</v>
      </c>
      <c r="BZ27" s="27" t="e">
        <f t="shared" si="53"/>
        <v>#REF!</v>
      </c>
      <c r="CA27" s="27" t="e">
        <f t="shared" si="53"/>
        <v>#REF!</v>
      </c>
    </row>
    <row r="28" spans="1:80" s="16" customFormat="1" x14ac:dyDescent="0.3">
      <c r="A28" s="199" t="s">
        <v>248</v>
      </c>
      <c r="B28" s="492"/>
      <c r="C28" s="32" t="s">
        <v>542</v>
      </c>
      <c r="D28" s="32" t="s">
        <v>405</v>
      </c>
      <c r="E28" s="32"/>
      <c r="F28" s="32"/>
      <c r="G28" s="33" t="s">
        <v>11</v>
      </c>
      <c r="H28" s="34" t="s">
        <v>52</v>
      </c>
      <c r="I28" s="33" t="s">
        <v>60</v>
      </c>
      <c r="J28" s="33" t="s">
        <v>61</v>
      </c>
      <c r="K28" s="31" t="str">
        <f t="shared" si="43"/>
        <v>U Space</v>
      </c>
      <c r="L28" s="33">
        <v>3</v>
      </c>
      <c r="M28" s="33">
        <v>3</v>
      </c>
      <c r="N28" s="35">
        <f t="shared" si="51"/>
        <v>0</v>
      </c>
      <c r="O28" s="33">
        <v>3</v>
      </c>
      <c r="P28" s="33"/>
      <c r="Q28" s="42">
        <f>30000/12</f>
        <v>2500</v>
      </c>
      <c r="R28" s="43" t="str">
        <f>G28</f>
        <v>Rated</v>
      </c>
      <c r="S28" s="44" t="s">
        <v>54</v>
      </c>
      <c r="T28" s="34">
        <v>0.75</v>
      </c>
      <c r="U28" s="45">
        <v>0.28000000000000003</v>
      </c>
      <c r="V28" s="46">
        <f t="shared" si="44"/>
        <v>0.47</v>
      </c>
      <c r="W28" s="34"/>
      <c r="X28" s="34">
        <f t="shared" si="45"/>
        <v>0.23499999999999999</v>
      </c>
      <c r="Y28" s="34">
        <f t="shared" si="5"/>
        <v>0.375</v>
      </c>
      <c r="Z28" s="481"/>
      <c r="AA28" s="34">
        <f t="shared" si="46"/>
        <v>0</v>
      </c>
      <c r="AB28" s="47">
        <f>90000/12</f>
        <v>7500</v>
      </c>
      <c r="AC28" s="48" t="str">
        <f t="shared" si="47"/>
        <v>Bundled</v>
      </c>
      <c r="AD28" s="34"/>
      <c r="AE28" s="34"/>
      <c r="AF28" s="49"/>
      <c r="AG28" s="34"/>
      <c r="AH28" s="50"/>
      <c r="AI28" s="51" t="str">
        <f>IF(AH28="No of Seats","No of Seats",(IF(AH28="Space","Sq Ft","")))</f>
        <v/>
      </c>
      <c r="AJ28" s="34"/>
      <c r="AK28" s="34"/>
      <c r="AL28" s="34">
        <f>AJ28-AK28</f>
        <v>0</v>
      </c>
      <c r="AM28" s="34"/>
      <c r="AN28" s="34"/>
      <c r="AO28" s="42"/>
      <c r="AP28" s="52">
        <f>Q28*O28</f>
        <v>7500</v>
      </c>
      <c r="AQ28" s="52">
        <f>AB28*AA28</f>
        <v>0</v>
      </c>
      <c r="AR28" s="53">
        <f>AG28*AF28*AD28</f>
        <v>0</v>
      </c>
      <c r="AS28" s="52">
        <f>AO28*AM28</f>
        <v>0</v>
      </c>
      <c r="AT28" s="54">
        <f>0/12</f>
        <v>0</v>
      </c>
      <c r="AU28" s="55">
        <f>SUBTOTAL(9,AP28:AT28)</f>
        <v>7500</v>
      </c>
      <c r="AV28" s="55"/>
      <c r="AW28" s="56"/>
      <c r="AX28" s="57"/>
      <c r="AY28" s="58"/>
      <c r="AZ28" s="57"/>
      <c r="BA28" s="198"/>
      <c r="BC28" s="25">
        <f>IF(I28="Rack",AU28/L28,0)+IF(I28="U Space",AU28*40/L28,0)+IF(I28="Space",AU28*30/L28,0)</f>
        <v>100000</v>
      </c>
      <c r="BD28" s="25">
        <f>+AU28/Y28</f>
        <v>20000</v>
      </c>
      <c r="BE28" s="25">
        <f t="shared" si="52"/>
        <v>20000</v>
      </c>
      <c r="BF28" s="25">
        <f t="shared" si="52"/>
        <v>8565.2633100000021</v>
      </c>
      <c r="BG28" s="25">
        <f>+($AP28+$AQ28+IF(H28="Bundled",0,Y28*0.85*AD28*AF28*30.5*24)-BN28)/$Y28</f>
        <v>1753.0797499999996</v>
      </c>
      <c r="BH28" s="25"/>
      <c r="BI28" s="26">
        <f>+AP28+AQ28+AR28</f>
        <v>7500</v>
      </c>
      <c r="BJ28" s="26" t="e">
        <f>+BI28-BK28</f>
        <v>#REF!</v>
      </c>
      <c r="BK28" s="26" t="e">
        <f>IF(H28="Bundled",MIN(Y28*$AG$1*(1+#REF!),BI28),AR28)</f>
        <v>#REF!</v>
      </c>
      <c r="BL28" s="27">
        <f>IF($AG28&gt;0,$AG28*$AD$1*$AF$1*(1+$AI$1*(20/$AF$1)/732),$AG$1*Z28)</f>
        <v>0</v>
      </c>
      <c r="BM28" s="27">
        <f>IF($AG28&gt;0,$AG28*$AD$1*$AF$1*(1+$AI$1*(20/$AF$1)/732),+$AG$1*(Z28+X28))</f>
        <v>4288.0262587499992</v>
      </c>
      <c r="BN28" s="27">
        <f>IF(H28="Bundled",$AG$1*Y28,$AG$1*Y28*0.85)</f>
        <v>6842.5950937500002</v>
      </c>
      <c r="BO28" s="27">
        <f>+BE28*Y28</f>
        <v>7500</v>
      </c>
      <c r="BP28" s="27" t="e">
        <f>+#REF!*Y28</f>
        <v>#REF!</v>
      </c>
      <c r="BQ28" s="27" t="e">
        <f>+BJ28-BP28</f>
        <v>#REF!</v>
      </c>
      <c r="BR28" s="27" t="e">
        <f>+BK28-BL28</f>
        <v>#REF!</v>
      </c>
      <c r="BS28" s="27" t="e">
        <f>+BQ28+BR28</f>
        <v>#REF!</v>
      </c>
      <c r="BT28" s="27">
        <f>+Y28</f>
        <v>0.375</v>
      </c>
      <c r="BU28" s="27">
        <f>+BE28</f>
        <v>20000</v>
      </c>
      <c r="BV28" s="27">
        <f>IF(H28="Bundled",BN28-BL28,AR28-BL28)</f>
        <v>6842.5950937500002</v>
      </c>
      <c r="BW28" s="27" t="e">
        <f>IF(H28="Bundled",+(BG28-#REF!)*Y28,(AP28+AQ28)-Y28*#REF!)</f>
        <v>#REF!</v>
      </c>
      <c r="BX28" s="27" t="e">
        <f>+BV28+BW28</f>
        <v>#REF!</v>
      </c>
      <c r="BY28" s="27">
        <f t="shared" si="53"/>
        <v>18246.920249999999</v>
      </c>
      <c r="BZ28" s="27" t="e">
        <f t="shared" si="53"/>
        <v>#REF!</v>
      </c>
      <c r="CA28" s="27" t="e">
        <f t="shared" si="53"/>
        <v>#REF!</v>
      </c>
    </row>
    <row r="29" spans="1:80" s="16" customFormat="1" x14ac:dyDescent="0.3">
      <c r="A29" s="199" t="s">
        <v>248</v>
      </c>
      <c r="B29" s="492"/>
      <c r="C29" s="182" t="s">
        <v>393</v>
      </c>
      <c r="D29" s="279" t="s">
        <v>405</v>
      </c>
      <c r="E29" s="279"/>
      <c r="F29" s="279"/>
      <c r="G29" s="33" t="s">
        <v>11</v>
      </c>
      <c r="H29" s="34" t="s">
        <v>52</v>
      </c>
      <c r="I29" s="33" t="s">
        <v>60</v>
      </c>
      <c r="J29" s="33" t="s">
        <v>61</v>
      </c>
      <c r="K29" s="31" t="str">
        <f t="shared" si="43"/>
        <v>U Space</v>
      </c>
      <c r="L29" s="33">
        <v>1</v>
      </c>
      <c r="M29" s="33">
        <v>1</v>
      </c>
      <c r="N29" s="35">
        <f t="shared" si="51"/>
        <v>0</v>
      </c>
      <c r="O29" s="33">
        <v>1</v>
      </c>
      <c r="P29" s="33"/>
      <c r="Q29" s="42">
        <f>34500/12</f>
        <v>2875</v>
      </c>
      <c r="R29" s="43" t="str">
        <f>G29</f>
        <v>Rated</v>
      </c>
      <c r="S29" s="44" t="s">
        <v>54</v>
      </c>
      <c r="T29" s="34">
        <v>0.25</v>
      </c>
      <c r="U29" s="45">
        <v>0.33</v>
      </c>
      <c r="V29" s="46">
        <f t="shared" si="44"/>
        <v>-8.0000000000000016E-2</v>
      </c>
      <c r="W29" s="34"/>
      <c r="X29" s="34">
        <f t="shared" si="45"/>
        <v>0</v>
      </c>
      <c r="Y29" s="34">
        <f t="shared" si="5"/>
        <v>0.125</v>
      </c>
      <c r="Z29" s="481"/>
      <c r="AA29" s="34">
        <f t="shared" si="46"/>
        <v>8.0000000000000016E-2</v>
      </c>
      <c r="AB29" s="47">
        <f>90000/12</f>
        <v>7500</v>
      </c>
      <c r="AC29" s="48" t="str">
        <f t="shared" si="47"/>
        <v>Bundled</v>
      </c>
      <c r="AD29" s="34"/>
      <c r="AE29" s="34"/>
      <c r="AF29" s="49"/>
      <c r="AG29" s="34"/>
      <c r="AH29" s="50"/>
      <c r="AI29" s="51" t="str">
        <f>IF(AH29="No of Seats","No of Seats",(IF(AH29="Space","Sq Ft","")))</f>
        <v/>
      </c>
      <c r="AJ29" s="34"/>
      <c r="AK29" s="34"/>
      <c r="AL29" s="34">
        <f>AJ29-AK29</f>
        <v>0</v>
      </c>
      <c r="AM29" s="34"/>
      <c r="AN29" s="34"/>
      <c r="AO29" s="42"/>
      <c r="AP29" s="52">
        <f>Q29*O29</f>
        <v>2875</v>
      </c>
      <c r="AQ29" s="52">
        <f>AB29*AA29</f>
        <v>600.00000000000011</v>
      </c>
      <c r="AR29" s="53">
        <f>AG29*AF29*AD29</f>
        <v>0</v>
      </c>
      <c r="AS29" s="52">
        <f>AO29*AM29</f>
        <v>0</v>
      </c>
      <c r="AT29" s="54">
        <f>0/12</f>
        <v>0</v>
      </c>
      <c r="AU29" s="55">
        <f>SUBTOTAL(9,AP29:AT29)</f>
        <v>3475</v>
      </c>
      <c r="AV29" s="55"/>
      <c r="AW29" s="56"/>
      <c r="AX29" s="57"/>
      <c r="AY29" s="58"/>
      <c r="AZ29" s="57"/>
      <c r="BA29" s="198"/>
      <c r="BC29" s="25">
        <f>IF(I29="Rack",AU29/L29,0)+IF(I29="U Space",AU29*40/L29,0)+IF(I29="Space",AU29*30/L29,0)</f>
        <v>139000</v>
      </c>
      <c r="BD29" s="25">
        <f>+AU29/Y29</f>
        <v>27800</v>
      </c>
      <c r="BE29" s="25">
        <f t="shared" si="52"/>
        <v>27800</v>
      </c>
      <c r="BF29" s="25">
        <f t="shared" si="52"/>
        <v>27800</v>
      </c>
      <c r="BG29" s="25">
        <f>+($AP29+$AQ29+IF(H29="Bundled",0,Y29*0.85*AD29*AF29*30.5*24)-BN29)/$Y29</f>
        <v>9553.0797500000008</v>
      </c>
      <c r="BH29" s="25"/>
      <c r="BI29" s="26">
        <f>+AP29+AQ29+AR29</f>
        <v>3475</v>
      </c>
      <c r="BJ29" s="26" t="e">
        <f>+BI29-BK29</f>
        <v>#REF!</v>
      </c>
      <c r="BK29" s="26" t="e">
        <f>IF(H29="Bundled",MIN(Y29*$AG$1*(1+#REF!),BI29),AR29)</f>
        <v>#REF!</v>
      </c>
      <c r="BL29" s="27">
        <f>IF($AG29&gt;0,$AG29*$AD$1*$AF$1*(1+$AI$1*(20/$AF$1)/732),$AG$1*Z29)</f>
        <v>0</v>
      </c>
      <c r="BM29" s="27">
        <f>IF($AG29&gt;0,$AG29*$AD$1*$AF$1*(1+$AI$1*(20/$AF$1)/732),+$AG$1*(Z29+X29))</f>
        <v>0</v>
      </c>
      <c r="BN29" s="27">
        <f>IF(H29="Bundled",$AG$1*Y29,$AG$1*Y29*0.85)</f>
        <v>2280.8650312499999</v>
      </c>
      <c r="BO29" s="27">
        <f>+BE29*Y29</f>
        <v>3475</v>
      </c>
      <c r="BP29" s="27" t="e">
        <f>+#REF!*Y29</f>
        <v>#REF!</v>
      </c>
      <c r="BQ29" s="27" t="e">
        <f>+BJ29-BP29</f>
        <v>#REF!</v>
      </c>
      <c r="BR29" s="27" t="e">
        <f>+BK29-BL29</f>
        <v>#REF!</v>
      </c>
      <c r="BS29" s="27" t="e">
        <f>+BQ29+BR29</f>
        <v>#REF!</v>
      </c>
      <c r="BT29" s="27">
        <f>+Y29</f>
        <v>0.125</v>
      </c>
      <c r="BU29" s="27">
        <f>+BE29</f>
        <v>27800</v>
      </c>
      <c r="BV29" s="27">
        <f>IF(H29="Bundled",BN29-BL29,AR29-BL29)</f>
        <v>2280.8650312499999</v>
      </c>
      <c r="BW29" s="27" t="e">
        <f>IF(H29="Bundled",+(BG29-#REF!)*Y29,(AP29+AQ29)-Y29*#REF!)</f>
        <v>#REF!</v>
      </c>
      <c r="BX29" s="27" t="e">
        <f>+BV29+BW29</f>
        <v>#REF!</v>
      </c>
      <c r="BY29" s="27">
        <f t="shared" si="53"/>
        <v>18246.920249999999</v>
      </c>
      <c r="BZ29" s="27" t="e">
        <f t="shared" si="53"/>
        <v>#REF!</v>
      </c>
      <c r="CA29" s="27" t="e">
        <f t="shared" si="53"/>
        <v>#REF!</v>
      </c>
    </row>
    <row r="30" spans="1:80" s="16" customFormat="1" x14ac:dyDescent="0.3">
      <c r="A30" s="199" t="s">
        <v>248</v>
      </c>
      <c r="B30" s="492" t="s">
        <v>141</v>
      </c>
      <c r="C30" s="279" t="s">
        <v>344</v>
      </c>
      <c r="D30" s="279" t="s">
        <v>404</v>
      </c>
      <c r="E30" s="279"/>
      <c r="F30" s="279"/>
      <c r="G30" s="33" t="s">
        <v>11</v>
      </c>
      <c r="H30" s="34" t="s">
        <v>52</v>
      </c>
      <c r="I30" s="33" t="s">
        <v>60</v>
      </c>
      <c r="J30" s="33" t="s">
        <v>61</v>
      </c>
      <c r="K30" s="31" t="str">
        <f t="shared" si="43"/>
        <v>U Space</v>
      </c>
      <c r="L30" s="33">
        <v>4</v>
      </c>
      <c r="M30" s="33">
        <v>4</v>
      </c>
      <c r="N30" s="35">
        <f t="shared" si="51"/>
        <v>0</v>
      </c>
      <c r="O30" s="33">
        <v>4</v>
      </c>
      <c r="P30" s="33"/>
      <c r="Q30" s="42">
        <f>(140000/4)/12</f>
        <v>2916.6666666666665</v>
      </c>
      <c r="R30" s="43" t="str">
        <f>G30</f>
        <v>Rated</v>
      </c>
      <c r="S30" s="44" t="s">
        <v>54</v>
      </c>
      <c r="T30" s="34">
        <v>1</v>
      </c>
      <c r="U30" s="45">
        <v>0.26</v>
      </c>
      <c r="V30" s="46">
        <f t="shared" si="44"/>
        <v>0.74</v>
      </c>
      <c r="W30" s="34"/>
      <c r="X30" s="34">
        <f t="shared" si="45"/>
        <v>0.37</v>
      </c>
      <c r="Y30" s="34">
        <f t="shared" si="5"/>
        <v>0.5</v>
      </c>
      <c r="Z30" s="481">
        <v>0.68</v>
      </c>
      <c r="AA30" s="34">
        <f t="shared" si="46"/>
        <v>0</v>
      </c>
      <c r="AB30" s="47">
        <f>90000/12</f>
        <v>7500</v>
      </c>
      <c r="AC30" s="48" t="str">
        <f t="shared" si="47"/>
        <v>Bundled</v>
      </c>
      <c r="AD30" s="34"/>
      <c r="AE30" s="34"/>
      <c r="AF30" s="49"/>
      <c r="AG30" s="34"/>
      <c r="AH30" s="50"/>
      <c r="AI30" s="51" t="str">
        <f>IF(AH30="No of Seats","No of Seats",(IF(AH30="Space","Sq Ft","")))</f>
        <v/>
      </c>
      <c r="AJ30" s="34"/>
      <c r="AK30" s="34"/>
      <c r="AL30" s="34">
        <f>AJ30-AK30</f>
        <v>0</v>
      </c>
      <c r="AM30" s="34"/>
      <c r="AN30" s="34"/>
      <c r="AO30" s="42"/>
      <c r="AP30" s="52">
        <f>Q30*O30</f>
        <v>11666.666666666666</v>
      </c>
      <c r="AQ30" s="52">
        <f>AB30*AA30</f>
        <v>0</v>
      </c>
      <c r="AR30" s="53">
        <f>AG30*AF30*AD30</f>
        <v>0</v>
      </c>
      <c r="AS30" s="52">
        <f>AO30*AM30</f>
        <v>0</v>
      </c>
      <c r="AT30" s="54">
        <f>150000/12</f>
        <v>12500</v>
      </c>
      <c r="AU30" s="55">
        <f>SUBTOTAL(9,AP30:AT30)</f>
        <v>24166.666666666664</v>
      </c>
      <c r="AV30" s="55"/>
      <c r="AW30" s="56"/>
      <c r="AX30" s="57"/>
      <c r="AY30" s="58"/>
      <c r="AZ30" s="57"/>
      <c r="BA30" s="198"/>
      <c r="BB30" s="5"/>
      <c r="BC30" s="25">
        <f>IF(I30="Rack",AU30/L30,0)+IF(I30="U Space",AU30*40/L30,0)+IF(I30="Space",AU30*30/L30,0)</f>
        <v>241666.66666666663</v>
      </c>
      <c r="BD30" s="25">
        <f>+AU30/Y30</f>
        <v>48333.333333333328</v>
      </c>
      <c r="BE30" s="25">
        <f t="shared" si="52"/>
        <v>-1482.4782066666703</v>
      </c>
      <c r="BF30" s="25">
        <f t="shared" si="52"/>
        <v>-14985.19919166667</v>
      </c>
      <c r="BG30" s="25">
        <f>+($AP30+$AQ30+IF(H30="Bundled",0,Y30*0.85*AD30*AF30*30.5*24)-BN30)/$Y30</f>
        <v>5086.4130833333329</v>
      </c>
      <c r="BH30" s="25"/>
      <c r="BI30" s="26">
        <f>+AP30+AQ30+AR30</f>
        <v>11666.666666666666</v>
      </c>
      <c r="BJ30" s="26" t="e">
        <f>+BI30-BK30</f>
        <v>#REF!</v>
      </c>
      <c r="BK30" s="26" t="e">
        <f>IF(H30="Bundled",MIN(Y30*$AG$1*(1+#REF!),BI30),AR30)</f>
        <v>#REF!</v>
      </c>
      <c r="BL30" s="27">
        <f>IF($AG30&gt;0,$AG30*$AD$1*$AF$1*(1+$AI$1*(20/$AF$1)/732),$AG$1*Z30)</f>
        <v>12407.905770000001</v>
      </c>
      <c r="BM30" s="27">
        <f>IF($AG30&gt;0,$AG30*$AD$1*$AF$1*(1+$AI$1*(20/$AF$1)/732),+$AG$1*(Z30+X30))</f>
        <v>19159.266262500001</v>
      </c>
      <c r="BN30" s="27">
        <f>IF(H30="Bundled",$AG$1*Y30,$AG$1*Y30*0.85)</f>
        <v>9123.4601249999996</v>
      </c>
      <c r="BO30" s="27">
        <f>+BE30*Y30</f>
        <v>-741.23910333333515</v>
      </c>
      <c r="BP30" s="27" t="e">
        <f>+#REF!*Y30</f>
        <v>#REF!</v>
      </c>
      <c r="BQ30" s="27" t="e">
        <f>+BJ30-BP30</f>
        <v>#REF!</v>
      </c>
      <c r="BR30" s="27" t="e">
        <f>+BK30-BL30</f>
        <v>#REF!</v>
      </c>
      <c r="BS30" s="27" t="e">
        <f>+BQ30+BR30</f>
        <v>#REF!</v>
      </c>
      <c r="BT30" s="27">
        <f>+Y30</f>
        <v>0.5</v>
      </c>
      <c r="BU30" s="27">
        <f>+BE30</f>
        <v>-1482.4782066666703</v>
      </c>
      <c r="BV30" s="27">
        <f>IF(H30="Bundled",BN30-BL30,AR30-BL30)</f>
        <v>-3284.4456450000016</v>
      </c>
      <c r="BW30" s="27" t="e">
        <f>IF(H30="Bundled",+(BG30-#REF!)*Y30,(AP30+AQ30)-Y30*#REF!)</f>
        <v>#REF!</v>
      </c>
      <c r="BX30" s="27" t="e">
        <f>+BV30+BW30</f>
        <v>#REF!</v>
      </c>
      <c r="BY30" s="27">
        <f t="shared" si="53"/>
        <v>-6568.8912900000032</v>
      </c>
      <c r="BZ30" s="27" t="e">
        <f t="shared" si="53"/>
        <v>#REF!</v>
      </c>
      <c r="CA30" s="27" t="e">
        <f t="shared" si="53"/>
        <v>#REF!</v>
      </c>
    </row>
    <row r="31" spans="1:80" s="16" customFormat="1" x14ac:dyDescent="0.3">
      <c r="A31" s="199" t="s">
        <v>248</v>
      </c>
      <c r="B31" s="492"/>
      <c r="C31" s="33" t="s">
        <v>136</v>
      </c>
      <c r="D31" s="33" t="s">
        <v>405</v>
      </c>
      <c r="E31" s="33"/>
      <c r="F31" s="33"/>
      <c r="G31" s="33" t="s">
        <v>11</v>
      </c>
      <c r="H31" s="34" t="s">
        <v>52</v>
      </c>
      <c r="I31" s="33" t="s">
        <v>60</v>
      </c>
      <c r="J31" s="33" t="s">
        <v>61</v>
      </c>
      <c r="K31" s="31" t="str">
        <f t="shared" si="43"/>
        <v>U Space</v>
      </c>
      <c r="L31" s="33">
        <v>6</v>
      </c>
      <c r="M31" s="33">
        <v>6</v>
      </c>
      <c r="N31" s="35">
        <f t="shared" si="51"/>
        <v>0</v>
      </c>
      <c r="O31" s="33">
        <v>6</v>
      </c>
      <c r="P31" s="33"/>
      <c r="Q31" s="42">
        <f>(35000)/12</f>
        <v>2916.6666666666665</v>
      </c>
      <c r="R31" s="43" t="str">
        <f>G31</f>
        <v>Rated</v>
      </c>
      <c r="S31" s="44" t="s">
        <v>54</v>
      </c>
      <c r="T31" s="34">
        <v>1.5</v>
      </c>
      <c r="U31" s="45">
        <v>0.17</v>
      </c>
      <c r="V31" s="46">
        <f t="shared" si="44"/>
        <v>1.33</v>
      </c>
      <c r="W31" s="34"/>
      <c r="X31" s="34">
        <f t="shared" si="45"/>
        <v>0.66500000000000004</v>
      </c>
      <c r="Y31" s="34">
        <f t="shared" si="5"/>
        <v>0.75</v>
      </c>
      <c r="Z31" s="481"/>
      <c r="AA31" s="34">
        <f t="shared" si="46"/>
        <v>0</v>
      </c>
      <c r="AB31" s="47">
        <f>80000/12</f>
        <v>6666.666666666667</v>
      </c>
      <c r="AC31" s="48" t="str">
        <f t="shared" si="47"/>
        <v>Bundled</v>
      </c>
      <c r="AD31" s="34"/>
      <c r="AE31" s="34"/>
      <c r="AF31" s="49"/>
      <c r="AG31" s="34"/>
      <c r="AH31" s="50"/>
      <c r="AI31" s="51" t="str">
        <f>IF(AH31="No of Seats","No of Seats",(IF(AH31="Space","Sq Ft","")))</f>
        <v/>
      </c>
      <c r="AJ31" s="34"/>
      <c r="AK31" s="34"/>
      <c r="AL31" s="34">
        <f>AJ31-AK31</f>
        <v>0</v>
      </c>
      <c r="AM31" s="34"/>
      <c r="AN31" s="34"/>
      <c r="AO31" s="42"/>
      <c r="AP31" s="52">
        <f>Q31*O31</f>
        <v>17500</v>
      </c>
      <c r="AQ31" s="52">
        <f>AB31*AA31</f>
        <v>0</v>
      </c>
      <c r="AR31" s="53">
        <f>AG31*AF31*AD31</f>
        <v>0</v>
      </c>
      <c r="AS31" s="52">
        <f>AO31*AM31</f>
        <v>0</v>
      </c>
      <c r="AT31" s="54">
        <f>800000/12</f>
        <v>66666.666666666672</v>
      </c>
      <c r="AU31" s="55">
        <f>SUBTOTAL(9,AP31:AT31)</f>
        <v>84166.666666666672</v>
      </c>
      <c r="AV31" s="55"/>
      <c r="AW31" s="62" t="s">
        <v>129</v>
      </c>
      <c r="AX31" s="57"/>
      <c r="AY31" s="58"/>
      <c r="AZ31" s="57"/>
      <c r="BA31" s="198"/>
      <c r="BB31" s="5"/>
      <c r="BC31" s="25">
        <f>IF(I31="Rack",AU31/L31,0)+IF(I31="U Space",AU31*40/L31,0)+IF(I31="Space",AU31*30/L31,0)</f>
        <v>561111.11111111112</v>
      </c>
      <c r="BD31" s="25">
        <f>+AU31/Y31</f>
        <v>112222.22222222223</v>
      </c>
      <c r="BE31" s="25">
        <f t="shared" si="52"/>
        <v>23333.333333333332</v>
      </c>
      <c r="BF31" s="25">
        <f t="shared" si="52"/>
        <v>7154.3973783333322</v>
      </c>
      <c r="BG31" s="25">
        <f>+($AP31+$AQ31+IF(H31="Bundled",0,Y31*0.85*AD31*AF31*30.5*24)-BN31)/$Y31</f>
        <v>5086.4130833333329</v>
      </c>
      <c r="BH31" s="25"/>
      <c r="BI31" s="26">
        <f>+AP31+AQ31+AR31</f>
        <v>17500</v>
      </c>
      <c r="BJ31" s="26" t="e">
        <f>+BI31-BK31</f>
        <v>#REF!</v>
      </c>
      <c r="BK31" s="26" t="e">
        <f>IF(H31="Bundled",MIN(Y31*$AG$1*(1+#REF!),BI31),AR31)</f>
        <v>#REF!</v>
      </c>
      <c r="BL31" s="27">
        <f>IF($AG31&gt;0,$AG31*$AD$1*$AF$1*(1+$AI$1*(20/$AF$1)/732),$AG$1*Z31)</f>
        <v>0</v>
      </c>
      <c r="BM31" s="27">
        <f>IF($AG31&gt;0,$AG31*$AD$1*$AF$1*(1+$AI$1*(20/$AF$1)/732),+$AG$1*(Z31+X31))</f>
        <v>12134.201966250001</v>
      </c>
      <c r="BN31" s="27">
        <f>IF(H31="Bundled",$AG$1*Y31,$AG$1*Y31*0.85)</f>
        <v>13685.1901875</v>
      </c>
      <c r="BO31" s="27">
        <f>+BE31*Y31</f>
        <v>17500</v>
      </c>
      <c r="BP31" s="27" t="e">
        <f>+#REF!*Y31</f>
        <v>#REF!</v>
      </c>
      <c r="BQ31" s="27" t="e">
        <f>+BJ31-BP31</f>
        <v>#REF!</v>
      </c>
      <c r="BR31" s="27" t="e">
        <f>+BK31-BL31</f>
        <v>#REF!</v>
      </c>
      <c r="BS31" s="27" t="e">
        <f>+BQ31+BR31</f>
        <v>#REF!</v>
      </c>
      <c r="BT31" s="27">
        <f>+Y31</f>
        <v>0.75</v>
      </c>
      <c r="BU31" s="27">
        <f>+BE31</f>
        <v>23333.333333333332</v>
      </c>
      <c r="BV31" s="27">
        <f>IF(H31="Bundled",BN31-BL31,AR31-BL31)</f>
        <v>13685.1901875</v>
      </c>
      <c r="BW31" s="27" t="e">
        <f>IF(H31="Bundled",+(BG31-#REF!)*Y31,(AP31+AQ31)-Y31*#REF!)</f>
        <v>#REF!</v>
      </c>
      <c r="BX31" s="27" t="e">
        <f>+BV31+BW31</f>
        <v>#REF!</v>
      </c>
      <c r="BY31" s="27">
        <f t="shared" si="53"/>
        <v>18246.920249999999</v>
      </c>
      <c r="BZ31" s="27" t="e">
        <f t="shared" si="53"/>
        <v>#REF!</v>
      </c>
      <c r="CA31" s="27" t="e">
        <f t="shared" si="53"/>
        <v>#REF!</v>
      </c>
    </row>
    <row r="32" spans="1:80" s="16" customFormat="1" x14ac:dyDescent="0.3">
      <c r="A32" s="199" t="s">
        <v>248</v>
      </c>
      <c r="B32" s="492"/>
      <c r="C32" s="175" t="s">
        <v>562</v>
      </c>
      <c r="D32" s="33" t="s">
        <v>404</v>
      </c>
      <c r="E32" s="33"/>
      <c r="F32" s="33"/>
      <c r="G32" s="33" t="s">
        <v>11</v>
      </c>
      <c r="H32" s="34" t="s">
        <v>52</v>
      </c>
      <c r="I32" s="33" t="s">
        <v>60</v>
      </c>
      <c r="J32" s="33" t="s">
        <v>61</v>
      </c>
      <c r="K32" s="31" t="str">
        <f t="shared" si="43"/>
        <v>U Space</v>
      </c>
      <c r="L32" s="33">
        <v>2</v>
      </c>
      <c r="M32" s="33">
        <v>2</v>
      </c>
      <c r="N32" s="35">
        <f t="shared" si="51"/>
        <v>0</v>
      </c>
      <c r="O32" s="33">
        <v>2</v>
      </c>
      <c r="P32" s="33"/>
      <c r="Q32" s="42"/>
      <c r="R32" s="43" t="s">
        <v>11</v>
      </c>
      <c r="S32" s="44" t="s">
        <v>54</v>
      </c>
      <c r="T32" s="34">
        <v>0.5</v>
      </c>
      <c r="U32" s="45">
        <v>1.1000000000000001</v>
      </c>
      <c r="V32" s="46">
        <f t="shared" si="44"/>
        <v>-0.60000000000000009</v>
      </c>
      <c r="W32" s="34"/>
      <c r="X32" s="34">
        <f t="shared" si="45"/>
        <v>0</v>
      </c>
      <c r="Y32" s="34">
        <f t="shared" si="5"/>
        <v>0.25</v>
      </c>
      <c r="Z32" s="481"/>
      <c r="AA32" s="34">
        <f t="shared" si="46"/>
        <v>0.60000000000000009</v>
      </c>
      <c r="AB32" s="47"/>
      <c r="AC32" s="48" t="str">
        <f t="shared" si="47"/>
        <v>Bundled</v>
      </c>
      <c r="AD32" s="34"/>
      <c r="AE32" s="34"/>
      <c r="AF32" s="49"/>
      <c r="AG32" s="34"/>
      <c r="AH32" s="50"/>
      <c r="AI32" s="51"/>
      <c r="AJ32" s="34"/>
      <c r="AK32" s="34"/>
      <c r="AL32" s="34"/>
      <c r="AM32" s="34"/>
      <c r="AN32" s="34"/>
      <c r="AO32" s="42"/>
      <c r="AP32" s="52"/>
      <c r="AQ32" s="52"/>
      <c r="AR32" s="53"/>
      <c r="AS32" s="52"/>
      <c r="AT32" s="54"/>
      <c r="AU32" s="55"/>
      <c r="AV32" s="55"/>
      <c r="AW32" s="62"/>
      <c r="AX32" s="57"/>
      <c r="AY32" s="58"/>
      <c r="AZ32" s="57"/>
      <c r="BA32" s="198"/>
      <c r="BB32" s="5"/>
      <c r="BC32" s="59"/>
      <c r="BD32" s="59"/>
      <c r="BE32" s="59"/>
      <c r="BF32" s="59"/>
      <c r="BG32" s="59"/>
      <c r="BH32" s="59"/>
      <c r="BI32" s="60"/>
      <c r="BJ32" s="60"/>
      <c r="BK32" s="60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</row>
    <row r="33" spans="1:81" x14ac:dyDescent="0.3">
      <c r="A33" s="199" t="s">
        <v>248</v>
      </c>
      <c r="B33" s="492"/>
      <c r="C33" s="279" t="s">
        <v>348</v>
      </c>
      <c r="D33" s="279" t="s">
        <v>405</v>
      </c>
      <c r="E33" s="279"/>
      <c r="F33" s="279"/>
      <c r="G33" s="33" t="s">
        <v>11</v>
      </c>
      <c r="H33" s="34" t="s">
        <v>52</v>
      </c>
      <c r="I33" s="33" t="s">
        <v>60</v>
      </c>
      <c r="J33" s="33" t="s">
        <v>61</v>
      </c>
      <c r="K33" s="31" t="str">
        <f t="shared" si="43"/>
        <v>U Space</v>
      </c>
      <c r="L33" s="33">
        <v>6</v>
      </c>
      <c r="M33" s="33">
        <v>6</v>
      </c>
      <c r="N33" s="35">
        <f t="shared" si="51"/>
        <v>0</v>
      </c>
      <c r="O33" s="33">
        <v>6</v>
      </c>
      <c r="P33" s="33"/>
      <c r="Q33" s="42">
        <f>(25200)/12</f>
        <v>2100</v>
      </c>
      <c r="R33" s="43" t="str">
        <f>G33</f>
        <v>Rated</v>
      </c>
      <c r="S33" s="44" t="s">
        <v>54</v>
      </c>
      <c r="T33" s="34">
        <v>1.5</v>
      </c>
      <c r="U33" s="45">
        <v>1.84</v>
      </c>
      <c r="V33" s="46">
        <f t="shared" si="44"/>
        <v>-0.34000000000000008</v>
      </c>
      <c r="W33" s="34"/>
      <c r="X33" s="34">
        <f t="shared" si="45"/>
        <v>0</v>
      </c>
      <c r="Y33" s="34">
        <f t="shared" si="5"/>
        <v>0.75</v>
      </c>
      <c r="Z33" s="481"/>
      <c r="AA33" s="34">
        <f t="shared" si="46"/>
        <v>0.34000000000000008</v>
      </c>
      <c r="AB33" s="47">
        <f>100000/12</f>
        <v>8333.3333333333339</v>
      </c>
      <c r="AC33" s="48" t="str">
        <f t="shared" si="47"/>
        <v>Bundled</v>
      </c>
      <c r="AD33" s="34"/>
      <c r="AE33" s="34"/>
      <c r="AF33" s="49"/>
      <c r="AG33" s="34"/>
      <c r="AH33" s="50"/>
      <c r="AI33" s="51" t="str">
        <f>IF(AH33="No of Seats","No of Seats",(IF(AH33="Space","Sq Ft","")))</f>
        <v/>
      </c>
      <c r="AJ33" s="34"/>
      <c r="AK33" s="34"/>
      <c r="AL33" s="34">
        <f>AJ33-AK33</f>
        <v>0</v>
      </c>
      <c r="AM33" s="34"/>
      <c r="AN33" s="34"/>
      <c r="AO33" s="42"/>
      <c r="AP33" s="52">
        <f>Q33*O33</f>
        <v>12600</v>
      </c>
      <c r="AQ33" s="52">
        <f>AB33*AA33</f>
        <v>2833.3333333333344</v>
      </c>
      <c r="AR33" s="53">
        <f>AG33*AF33*AD33</f>
        <v>0</v>
      </c>
      <c r="AS33" s="52">
        <f>AO33*AM33</f>
        <v>0</v>
      </c>
      <c r="AT33" s="54">
        <f>(276480+10000)/12</f>
        <v>23873.333333333332</v>
      </c>
      <c r="AU33" s="55">
        <f>SUBTOTAL(9,AP33:AT33)</f>
        <v>39306.666666666664</v>
      </c>
      <c r="AV33" s="55"/>
      <c r="AW33" s="62" t="s">
        <v>111</v>
      </c>
      <c r="AX33" s="63"/>
      <c r="AY33" s="64"/>
      <c r="AZ33" s="63"/>
      <c r="BA33" s="197"/>
      <c r="BC33" s="25">
        <f>IF(I33="Rack",AU33/L33,0)+IF(I33="U Space",AU33*40/L33,0)+IF(I33="Space",AU33*30/L33,0)</f>
        <v>262044.44444444441</v>
      </c>
      <c r="BD33" s="25">
        <f>+AU33/Y33</f>
        <v>52408.888888888883</v>
      </c>
      <c r="BE33" s="25">
        <f>+($AP33+$AQ33+$AR33-BL33)/$Y33</f>
        <v>20577.777777777777</v>
      </c>
      <c r="BF33" s="25">
        <f>+($AP33+$AQ33+$AR33-BM33)/$Y33</f>
        <v>20577.777777777777</v>
      </c>
      <c r="BG33" s="25">
        <f>+($AP33+$AQ33+IF(H33="Bundled",0,Y33*0.85*AD33*AF33*30.5*24)-BN33)/$Y33</f>
        <v>2330.8575277777782</v>
      </c>
      <c r="BH33" s="25"/>
      <c r="BI33" s="26">
        <f>+AP33+AQ33+AR33</f>
        <v>15433.333333333334</v>
      </c>
      <c r="BJ33" s="26" t="e">
        <f>+BI33-BK33</f>
        <v>#REF!</v>
      </c>
      <c r="BK33" s="26" t="e">
        <f>IF(H33="Bundled",MIN(Y33*$AG$1*(1+#REF!),BI33),AR33)</f>
        <v>#REF!</v>
      </c>
      <c r="BL33" s="27">
        <f>IF($AG33&gt;0,$AG33*$AD$1*$AF$1*(1+$AI$1*(20/$AF$1)/732),$AG$1*Z33)</f>
        <v>0</v>
      </c>
      <c r="BM33" s="27">
        <f>IF($AG33&gt;0,$AG33*$AD$1*$AF$1*(1+$AI$1*(20/$AF$1)/732),+$AG$1*(Z33+X33))</f>
        <v>0</v>
      </c>
      <c r="BN33" s="27">
        <f>IF(H33="Bundled",$AG$1*Y33,$AG$1*Y33*0.85)</f>
        <v>13685.1901875</v>
      </c>
      <c r="BO33" s="27">
        <f>+BE33*Y33</f>
        <v>15433.333333333332</v>
      </c>
      <c r="BP33" s="27" t="e">
        <f>+#REF!*Y33</f>
        <v>#REF!</v>
      </c>
      <c r="BQ33" s="27" t="e">
        <f>+BJ33-BP33</f>
        <v>#REF!</v>
      </c>
      <c r="BR33" s="27" t="e">
        <f>+BK33-BL33</f>
        <v>#REF!</v>
      </c>
      <c r="BS33" s="27" t="e">
        <f>+BQ33+BR33</f>
        <v>#REF!</v>
      </c>
      <c r="BT33" s="27">
        <f>+Y33</f>
        <v>0.75</v>
      </c>
      <c r="BU33" s="27">
        <f>+BE33</f>
        <v>20577.777777777777</v>
      </c>
      <c r="BV33" s="27">
        <f>IF(H33="Bundled",BN33-BL33,AR33-BL33)</f>
        <v>13685.1901875</v>
      </c>
      <c r="BW33" s="27" t="e">
        <f>IF(H33="Bundled",+(BG33-#REF!)*Y33,(AP33+AQ33)-Y33*#REF!)</f>
        <v>#REF!</v>
      </c>
      <c r="BX33" s="27" t="e">
        <f>+BV33+BW33</f>
        <v>#REF!</v>
      </c>
      <c r="BY33" s="27">
        <f>+BV33/$BT33</f>
        <v>18246.920249999999</v>
      </c>
      <c r="BZ33" s="27" t="e">
        <f>+BW33/$BT33</f>
        <v>#REF!</v>
      </c>
      <c r="CA33" s="27" t="e">
        <f>+BX33/$BT33</f>
        <v>#REF!</v>
      </c>
    </row>
    <row r="34" spans="1:81" x14ac:dyDescent="0.3">
      <c r="A34" s="199"/>
      <c r="B34" s="492"/>
      <c r="C34" s="279" t="s">
        <v>552</v>
      </c>
      <c r="D34" s="279" t="s">
        <v>404</v>
      </c>
      <c r="E34" s="279"/>
      <c r="F34" s="374">
        <v>45898</v>
      </c>
      <c r="G34" s="33" t="s">
        <v>11</v>
      </c>
      <c r="H34" s="34" t="s">
        <v>52</v>
      </c>
      <c r="I34" s="33" t="s">
        <v>60</v>
      </c>
      <c r="J34" s="33" t="s">
        <v>61</v>
      </c>
      <c r="K34" s="31" t="str">
        <f t="shared" si="43"/>
        <v>U Space</v>
      </c>
      <c r="L34" s="33">
        <v>2</v>
      </c>
      <c r="M34" s="33">
        <v>2</v>
      </c>
      <c r="N34" s="35">
        <v>0</v>
      </c>
      <c r="O34" s="33">
        <v>2</v>
      </c>
      <c r="P34" s="33"/>
      <c r="Q34" s="42"/>
      <c r="R34" s="43" t="s">
        <v>11</v>
      </c>
      <c r="S34" s="44" t="s">
        <v>54</v>
      </c>
      <c r="T34" s="34">
        <v>0.5</v>
      </c>
      <c r="U34" s="45">
        <v>0.11</v>
      </c>
      <c r="V34" s="46">
        <f t="shared" si="44"/>
        <v>0.39</v>
      </c>
      <c r="W34" s="34"/>
      <c r="X34" s="34">
        <f t="shared" si="45"/>
        <v>0.19500000000000001</v>
      </c>
      <c r="Y34" s="34">
        <f t="shared" si="5"/>
        <v>0.25</v>
      </c>
      <c r="Z34" s="481"/>
      <c r="AA34" s="34">
        <f t="shared" si="46"/>
        <v>0</v>
      </c>
      <c r="AB34" s="47"/>
      <c r="AC34" s="48" t="str">
        <f t="shared" si="47"/>
        <v>Bundled</v>
      </c>
      <c r="AD34" s="34"/>
      <c r="AE34" s="34"/>
      <c r="AF34" s="49"/>
      <c r="AG34" s="34"/>
      <c r="AH34" s="50"/>
      <c r="AI34" s="51"/>
      <c r="AJ34" s="34"/>
      <c r="AK34" s="34"/>
      <c r="AL34" s="34">
        <f>AJ34-AK34</f>
        <v>0</v>
      </c>
      <c r="AM34" s="34"/>
      <c r="AN34" s="34"/>
      <c r="AO34" s="42"/>
      <c r="AP34" s="52"/>
      <c r="AQ34" s="52"/>
      <c r="AR34" s="53"/>
      <c r="AS34" s="52"/>
      <c r="AT34" s="54"/>
      <c r="AU34" s="55"/>
      <c r="AV34" s="55"/>
      <c r="AW34" s="62"/>
      <c r="AX34" s="63"/>
      <c r="AY34" s="64"/>
      <c r="AZ34" s="63"/>
      <c r="BA34" s="197"/>
      <c r="BC34" s="59"/>
      <c r="BD34" s="59"/>
      <c r="BE34" s="59"/>
      <c r="BF34" s="59"/>
      <c r="BG34" s="59"/>
      <c r="BH34" s="59"/>
      <c r="BI34" s="60"/>
      <c r="BJ34" s="60"/>
      <c r="BK34" s="60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</row>
    <row r="35" spans="1:81" s="16" customFormat="1" x14ac:dyDescent="0.3">
      <c r="A35" s="199" t="s">
        <v>248</v>
      </c>
      <c r="B35" s="492"/>
      <c r="C35" s="32" t="s">
        <v>114</v>
      </c>
      <c r="D35" s="32" t="s">
        <v>405</v>
      </c>
      <c r="E35" s="32"/>
      <c r="F35" s="32"/>
      <c r="G35" s="33" t="s">
        <v>11</v>
      </c>
      <c r="H35" s="34" t="s">
        <v>52</v>
      </c>
      <c r="I35" s="33" t="s">
        <v>60</v>
      </c>
      <c r="J35" s="33" t="s">
        <v>61</v>
      </c>
      <c r="K35" s="31" t="str">
        <f t="shared" si="43"/>
        <v>U Space</v>
      </c>
      <c r="L35" s="33">
        <v>1</v>
      </c>
      <c r="M35" s="33">
        <v>1</v>
      </c>
      <c r="N35" s="35">
        <f t="shared" ref="N35:N40" si="54">L35-M35</f>
        <v>0</v>
      </c>
      <c r="O35" s="33">
        <v>1</v>
      </c>
      <c r="P35" s="33"/>
      <c r="Q35" s="42">
        <f>(35000)/12</f>
        <v>2916.6666666666665</v>
      </c>
      <c r="R35" s="43" t="str">
        <f>G35</f>
        <v>Rated</v>
      </c>
      <c r="S35" s="44" t="s">
        <v>54</v>
      </c>
      <c r="T35" s="34">
        <v>0.25</v>
      </c>
      <c r="U35" s="45">
        <v>0.17</v>
      </c>
      <c r="V35" s="46">
        <f t="shared" si="44"/>
        <v>7.9999999999999988E-2</v>
      </c>
      <c r="W35" s="34"/>
      <c r="X35" s="34">
        <f t="shared" si="45"/>
        <v>3.9999999999999994E-2</v>
      </c>
      <c r="Y35" s="34">
        <f t="shared" si="5"/>
        <v>0.125</v>
      </c>
      <c r="Z35" s="481"/>
      <c r="AA35" s="34">
        <f t="shared" si="46"/>
        <v>0</v>
      </c>
      <c r="AB35" s="47">
        <f>90000/12</f>
        <v>7500</v>
      </c>
      <c r="AC35" s="48" t="str">
        <f t="shared" si="47"/>
        <v>Bundled</v>
      </c>
      <c r="AD35" s="34"/>
      <c r="AE35" s="34"/>
      <c r="AF35" s="49"/>
      <c r="AG35" s="34"/>
      <c r="AH35" s="50"/>
      <c r="AI35" s="51" t="str">
        <f>IF(AH35="No of Seats","No of Seats",(IF(AH35="Space","Sq Ft","")))</f>
        <v/>
      </c>
      <c r="AJ35" s="34"/>
      <c r="AK35" s="34"/>
      <c r="AL35" s="34">
        <f>AJ35-AK35</f>
        <v>0</v>
      </c>
      <c r="AM35" s="34"/>
      <c r="AN35" s="34"/>
      <c r="AO35" s="42"/>
      <c r="AP35" s="52">
        <f>Q35*O35</f>
        <v>2916.6666666666665</v>
      </c>
      <c r="AQ35" s="52">
        <f>AB35*AA35</f>
        <v>0</v>
      </c>
      <c r="AR35" s="53">
        <f>AG35*AF35*AD35</f>
        <v>0</v>
      </c>
      <c r="AS35" s="52">
        <f>AO35*AM35</f>
        <v>0</v>
      </c>
      <c r="AT35" s="54">
        <f>(20000)/12</f>
        <v>1666.6666666666667</v>
      </c>
      <c r="AU35" s="55">
        <f>SUBTOTAL(9,AP35:AT35)</f>
        <v>4583.333333333333</v>
      </c>
      <c r="AV35" s="55"/>
      <c r="AW35" s="56"/>
      <c r="AX35" s="57"/>
      <c r="AY35" s="58"/>
      <c r="AZ35" s="57"/>
      <c r="BA35" s="198"/>
      <c r="BB35" s="5"/>
      <c r="BC35" s="25">
        <f>IF(I35="Rack",AU35/L35,0)+IF(I35="U Space",AU35*40/L35,0)+IF(I35="Space",AU35*30/L35,0)</f>
        <v>183333.33333333331</v>
      </c>
      <c r="BD35" s="25">
        <f>+AU35/Y35</f>
        <v>36666.666666666664</v>
      </c>
      <c r="BE35" s="25">
        <f>+($AP35+$AQ35+$AR35-BL35)/$Y35</f>
        <v>23333.333333333332</v>
      </c>
      <c r="BF35" s="25">
        <f>+($AP35+$AQ35+$AR35-BM35)/$Y35</f>
        <v>17494.318853333334</v>
      </c>
      <c r="BG35" s="25">
        <f>+($AP35+$AQ35+IF(H35="Bundled",0,Y35*0.85*AD35*AF35*30.5*24)-BN35)/$Y35</f>
        <v>5086.4130833333329</v>
      </c>
      <c r="BH35" s="25"/>
      <c r="BI35" s="26">
        <f>+AP35+AQ35+AR35</f>
        <v>2916.6666666666665</v>
      </c>
      <c r="BJ35" s="26" t="e">
        <f>+BI35-BK35</f>
        <v>#REF!</v>
      </c>
      <c r="BK35" s="26" t="e">
        <f>IF(H35="Bundled",MIN(Y35*$AG$1*(1+#REF!),BI35),AR35)</f>
        <v>#REF!</v>
      </c>
      <c r="BL35" s="27">
        <f>IF($AG35&gt;0,$AG35*$AD$1*$AF$1*(1+$AI$1*(20/$AF$1)/732),$AG$1*Z35)</f>
        <v>0</v>
      </c>
      <c r="BM35" s="27">
        <f>IF($AG35&gt;0,$AG35*$AD$1*$AF$1*(1+$AI$1*(20/$AF$1)/732),+$AG$1*(Z35+X35))</f>
        <v>729.87680999999986</v>
      </c>
      <c r="BN35" s="27">
        <f>IF(H35="Bundled",$AG$1*Y35,$AG$1*Y35*0.85)</f>
        <v>2280.8650312499999</v>
      </c>
      <c r="BO35" s="27">
        <f>+BE35*Y35</f>
        <v>2916.6666666666665</v>
      </c>
      <c r="BP35" s="27" t="e">
        <f>+#REF!*Y35</f>
        <v>#REF!</v>
      </c>
      <c r="BQ35" s="27" t="e">
        <f>+BJ35-BP35</f>
        <v>#REF!</v>
      </c>
      <c r="BR35" s="27" t="e">
        <f>+BK35-BL35</f>
        <v>#REF!</v>
      </c>
      <c r="BS35" s="27" t="e">
        <f>+BQ35+BR35</f>
        <v>#REF!</v>
      </c>
      <c r="BT35" s="27">
        <f>+Y35</f>
        <v>0.125</v>
      </c>
      <c r="BU35" s="27">
        <f>+BE35</f>
        <v>23333.333333333332</v>
      </c>
      <c r="BV35" s="27">
        <f>IF(H35="Bundled",BN35-BL35,AR35-BL35)</f>
        <v>2280.8650312499999</v>
      </c>
      <c r="BW35" s="27" t="e">
        <f>IF(H35="Bundled",+(BG35-#REF!)*Y35,(AP35+AQ35)-Y35*#REF!)</f>
        <v>#REF!</v>
      </c>
      <c r="BX35" s="27" t="e">
        <f>+BV35+BW35</f>
        <v>#REF!</v>
      </c>
      <c r="BY35" s="27">
        <f t="shared" ref="BY35:CA36" si="55">+BV35/$BT35</f>
        <v>18246.920249999999</v>
      </c>
      <c r="BZ35" s="27" t="e">
        <f t="shared" si="55"/>
        <v>#REF!</v>
      </c>
      <c r="CA35" s="27" t="e">
        <f t="shared" si="55"/>
        <v>#REF!</v>
      </c>
      <c r="CB35" s="5"/>
      <c r="CC35" s="5"/>
    </row>
    <row r="36" spans="1:81" s="16" customFormat="1" ht="26" customHeight="1" x14ac:dyDescent="0.3">
      <c r="A36" s="199" t="s">
        <v>248</v>
      </c>
      <c r="B36" s="489" t="s">
        <v>145</v>
      </c>
      <c r="C36" s="279" t="s">
        <v>370</v>
      </c>
      <c r="D36" s="279" t="s">
        <v>404</v>
      </c>
      <c r="E36" s="279"/>
      <c r="F36" s="279"/>
      <c r="G36" s="33" t="s">
        <v>11</v>
      </c>
      <c r="H36" s="34" t="s">
        <v>52</v>
      </c>
      <c r="I36" s="33" t="s">
        <v>60</v>
      </c>
      <c r="J36" s="33" t="s">
        <v>61</v>
      </c>
      <c r="K36" s="31" t="str">
        <f t="shared" si="43"/>
        <v>U Space</v>
      </c>
      <c r="L36" s="33">
        <v>21</v>
      </c>
      <c r="M36" s="33">
        <v>21</v>
      </c>
      <c r="N36" s="35">
        <f t="shared" si="54"/>
        <v>0</v>
      </c>
      <c r="O36" s="33">
        <v>21</v>
      </c>
      <c r="P36" s="33"/>
      <c r="Q36" s="42">
        <f>(315000)/21/12</f>
        <v>1250</v>
      </c>
      <c r="R36" s="43" t="str">
        <f>G36</f>
        <v>Rated</v>
      </c>
      <c r="S36" s="44" t="s">
        <v>54</v>
      </c>
      <c r="T36" s="34">
        <v>3</v>
      </c>
      <c r="U36" s="45">
        <v>6.52</v>
      </c>
      <c r="V36" s="46">
        <f t="shared" si="44"/>
        <v>-3.5199999999999996</v>
      </c>
      <c r="W36" s="34"/>
      <c r="X36" s="34">
        <f t="shared" si="45"/>
        <v>0</v>
      </c>
      <c r="Y36" s="34">
        <f t="shared" si="5"/>
        <v>1.5</v>
      </c>
      <c r="Z36" s="493">
        <v>2.0299999999999998</v>
      </c>
      <c r="AA36" s="34">
        <f t="shared" si="46"/>
        <v>3.5199999999999996</v>
      </c>
      <c r="AB36" s="47">
        <f>110000/12</f>
        <v>9166.6666666666661</v>
      </c>
      <c r="AC36" s="48" t="str">
        <f t="shared" si="47"/>
        <v>Bundled</v>
      </c>
      <c r="AD36" s="34"/>
      <c r="AE36" s="34"/>
      <c r="AF36" s="49"/>
      <c r="AG36" s="34"/>
      <c r="AH36" s="50"/>
      <c r="AI36" s="51" t="str">
        <f>IF(AH36="No of Seats","No of Seats",(IF(AH36="Space","Sq Ft","")))</f>
        <v/>
      </c>
      <c r="AJ36" s="34"/>
      <c r="AK36" s="34"/>
      <c r="AL36" s="34">
        <f>AJ36-AK36</f>
        <v>0</v>
      </c>
      <c r="AM36" s="34"/>
      <c r="AN36" s="34"/>
      <c r="AO36" s="42"/>
      <c r="AP36" s="52">
        <f>Q36*O36</f>
        <v>26250</v>
      </c>
      <c r="AQ36" s="52">
        <f>AB36*AA36</f>
        <v>32266.666666666661</v>
      </c>
      <c r="AR36" s="53">
        <f>AG36*AF36*AD36</f>
        <v>0</v>
      </c>
      <c r="AS36" s="52">
        <f>AO36*AM36</f>
        <v>0</v>
      </c>
      <c r="AT36" s="54">
        <v>0</v>
      </c>
      <c r="AU36" s="55">
        <f>SUBTOTAL(9,AP36:AT36)</f>
        <v>58516.666666666657</v>
      </c>
      <c r="AV36" s="55"/>
      <c r="AW36" s="56"/>
      <c r="AX36" s="57"/>
      <c r="AY36" s="58"/>
      <c r="AZ36" s="57"/>
      <c r="BA36" s="198"/>
      <c r="BB36" s="5"/>
      <c r="BC36" s="25">
        <f>IF(I36="Rack",AU36/L36,0)+IF(I36="U Space",AU36*40/L36,0)+IF(I36="Space",AU36*30/L36,0)</f>
        <v>111460.31746031743</v>
      </c>
      <c r="BD36" s="25">
        <f>+AU36/Y36</f>
        <v>39011.111111111102</v>
      </c>
      <c r="BE36" s="25">
        <f>+($AP36+$AQ36+$AR36-BL36)/$Y36</f>
        <v>14316.945706111108</v>
      </c>
      <c r="BF36" s="25">
        <f>+($AP36+$AQ36+$AR36-BM36)/$Y36</f>
        <v>14316.945706111108</v>
      </c>
      <c r="BG36" s="25">
        <f>+($AP36+$AQ36+IF(H36="Bundled",0,Y36*0.85*AD36*AF36*30.5*24)-BN36)/$Y36</f>
        <v>20764.190861111103</v>
      </c>
      <c r="BH36" s="25"/>
      <c r="BI36" s="26">
        <f>+AP36+AQ36+AR36</f>
        <v>58516.666666666657</v>
      </c>
      <c r="BJ36" s="26" t="e">
        <f>+BI36-BK36</f>
        <v>#REF!</v>
      </c>
      <c r="BK36" s="26" t="e">
        <f>IF(H36="Bundled",MIN(Y36*$AG$1*(1+#REF!),BI36),AR36)</f>
        <v>#REF!</v>
      </c>
      <c r="BL36" s="27">
        <f>IF($AG36&gt;0,$AG36*$AD$1*$AF$1*(1+$AI$1*(20/$AF$1)/732),$AG$1*Z36)</f>
        <v>37041.248107499996</v>
      </c>
      <c r="BM36" s="27">
        <f>IF($AG36&gt;0,$AG36*$AD$1*$AF$1*(1+$AI$1*(20/$AF$1)/732),+$AG$1*(Z36+X36))</f>
        <v>37041.248107499996</v>
      </c>
      <c r="BN36" s="27">
        <f>IF(H36="Bundled",$AG$1*Y36,$AG$1*Y36*0.85)</f>
        <v>27370.380375000001</v>
      </c>
      <c r="BO36" s="27">
        <f>+BE36*Y36</f>
        <v>21475.418559166661</v>
      </c>
      <c r="BP36" s="27" t="e">
        <f>+#REF!*Y36</f>
        <v>#REF!</v>
      </c>
      <c r="BQ36" s="27" t="e">
        <f>+BJ36-BP36</f>
        <v>#REF!</v>
      </c>
      <c r="BR36" s="27" t="e">
        <f>+BK36-BL36</f>
        <v>#REF!</v>
      </c>
      <c r="BS36" s="27" t="e">
        <f>+BQ36+BR36</f>
        <v>#REF!</v>
      </c>
      <c r="BT36" s="27">
        <f>+Y36</f>
        <v>1.5</v>
      </c>
      <c r="BU36" s="27">
        <f>+BE36</f>
        <v>14316.945706111108</v>
      </c>
      <c r="BV36" s="27">
        <f>IF(H36="Bundled",BN36-BL36,AR36-BL36)</f>
        <v>-9670.8677324999953</v>
      </c>
      <c r="BW36" s="27" t="e">
        <f>IF(H36="Bundled",+(BG36-#REF!)*Y36,(AP36+AQ36)-Y36*#REF!)</f>
        <v>#REF!</v>
      </c>
      <c r="BX36" s="27" t="e">
        <f>+BV36+BW36</f>
        <v>#REF!</v>
      </c>
      <c r="BY36" s="27">
        <f t="shared" si="55"/>
        <v>-6447.2451549999969</v>
      </c>
      <c r="BZ36" s="27" t="e">
        <f t="shared" si="55"/>
        <v>#REF!</v>
      </c>
      <c r="CA36" s="27" t="e">
        <f t="shared" si="55"/>
        <v>#REF!</v>
      </c>
      <c r="CB36" s="5"/>
      <c r="CC36" s="5"/>
    </row>
    <row r="37" spans="1:81" s="16" customFormat="1" ht="26" customHeight="1" x14ac:dyDescent="0.3">
      <c r="A37" s="199" t="s">
        <v>248</v>
      </c>
      <c r="B37" s="490"/>
      <c r="C37" s="423" t="s">
        <v>362</v>
      </c>
      <c r="D37" s="279" t="s">
        <v>404</v>
      </c>
      <c r="E37" s="279"/>
      <c r="F37" s="279"/>
      <c r="G37" s="33" t="s">
        <v>11</v>
      </c>
      <c r="H37" s="34" t="s">
        <v>52</v>
      </c>
      <c r="I37" s="33" t="s">
        <v>60</v>
      </c>
      <c r="J37" s="33" t="s">
        <v>61</v>
      </c>
      <c r="K37" s="31" t="str">
        <f t="shared" si="43"/>
        <v>U Space</v>
      </c>
      <c r="L37" s="33">
        <v>4</v>
      </c>
      <c r="M37" s="33">
        <v>4</v>
      </c>
      <c r="N37" s="35">
        <f t="shared" si="54"/>
        <v>0</v>
      </c>
      <c r="O37" s="33">
        <v>4</v>
      </c>
      <c r="P37" s="33"/>
      <c r="Q37" s="42"/>
      <c r="R37" s="43" t="s">
        <v>11</v>
      </c>
      <c r="S37" s="44" t="s">
        <v>54</v>
      </c>
      <c r="T37" s="34">
        <v>1</v>
      </c>
      <c r="U37" s="45">
        <v>1.1000000000000001</v>
      </c>
      <c r="V37" s="46">
        <f t="shared" si="44"/>
        <v>-0.10000000000000009</v>
      </c>
      <c r="W37" s="34"/>
      <c r="X37" s="34"/>
      <c r="Y37" s="34"/>
      <c r="Z37" s="494"/>
      <c r="AA37" s="34">
        <f t="shared" si="46"/>
        <v>0.10000000000000009</v>
      </c>
      <c r="AB37" s="47"/>
      <c r="AC37" s="48" t="str">
        <f t="shared" si="47"/>
        <v>Bundled</v>
      </c>
      <c r="AD37" s="34"/>
      <c r="AE37" s="34"/>
      <c r="AF37" s="49"/>
      <c r="AG37" s="34"/>
      <c r="AH37" s="50"/>
      <c r="AI37" s="51"/>
      <c r="AJ37" s="34"/>
      <c r="AK37" s="34"/>
      <c r="AL37" s="34"/>
      <c r="AM37" s="34"/>
      <c r="AN37" s="34"/>
      <c r="AO37" s="42"/>
      <c r="AP37" s="52"/>
      <c r="AQ37" s="52"/>
      <c r="AR37" s="53"/>
      <c r="AS37" s="52"/>
      <c r="AT37" s="54"/>
      <c r="AU37" s="55"/>
      <c r="AV37" s="55"/>
      <c r="AW37" s="56"/>
      <c r="AX37" s="57"/>
      <c r="AY37" s="58"/>
      <c r="AZ37" s="57"/>
      <c r="BA37" s="198"/>
      <c r="BB37" s="5"/>
      <c r="BC37" s="59"/>
      <c r="BD37" s="59"/>
      <c r="BE37" s="59"/>
      <c r="BF37" s="59"/>
      <c r="BG37" s="59"/>
      <c r="BH37" s="59"/>
      <c r="BI37" s="60"/>
      <c r="BJ37" s="60"/>
      <c r="BK37" s="60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5"/>
      <c r="CC37" s="5"/>
    </row>
    <row r="38" spans="1:81" s="16" customFormat="1" ht="26" customHeight="1" x14ac:dyDescent="0.3">
      <c r="A38" s="199" t="s">
        <v>248</v>
      </c>
      <c r="B38" s="491"/>
      <c r="C38" s="279" t="s">
        <v>471</v>
      </c>
      <c r="D38" s="279" t="s">
        <v>405</v>
      </c>
      <c r="E38" s="279"/>
      <c r="F38" s="279"/>
      <c r="G38" s="33" t="s">
        <v>11</v>
      </c>
      <c r="H38" s="34" t="s">
        <v>52</v>
      </c>
      <c r="I38" s="33" t="s">
        <v>60</v>
      </c>
      <c r="J38" s="33" t="s">
        <v>61</v>
      </c>
      <c r="K38" s="31" t="str">
        <f t="shared" si="43"/>
        <v>U Space</v>
      </c>
      <c r="L38" s="33">
        <v>11</v>
      </c>
      <c r="M38" s="33">
        <v>11</v>
      </c>
      <c r="N38" s="35">
        <f t="shared" si="54"/>
        <v>0</v>
      </c>
      <c r="O38" s="33">
        <v>11</v>
      </c>
      <c r="P38" s="33"/>
      <c r="Q38" s="42"/>
      <c r="R38" s="43" t="str">
        <f t="shared" ref="R38:R62" si="56">G38</f>
        <v>Rated</v>
      </c>
      <c r="S38" s="44" t="s">
        <v>54</v>
      </c>
      <c r="T38" s="34">
        <v>2</v>
      </c>
      <c r="U38" s="45">
        <v>0.67</v>
      </c>
      <c r="V38" s="46">
        <f t="shared" si="44"/>
        <v>1.33</v>
      </c>
      <c r="W38" s="34"/>
      <c r="X38" s="34">
        <f t="shared" ref="X38:X62" si="57">IF(V38&lt;=0,0,(IF(R38="Rated",(V38+W38)*$X$1,(V38+W38))))</f>
        <v>0.66500000000000004</v>
      </c>
      <c r="Y38" s="34">
        <f t="shared" ref="Y38:Y62" si="58">IF(R38="Rated",T38*$X$1,T38)</f>
        <v>1</v>
      </c>
      <c r="Z38" s="495"/>
      <c r="AA38" s="34">
        <f t="shared" si="46"/>
        <v>0</v>
      </c>
      <c r="AB38" s="47"/>
      <c r="AC38" s="48" t="str">
        <f t="shared" si="47"/>
        <v>Bundled</v>
      </c>
      <c r="AD38" s="34"/>
      <c r="AE38" s="34"/>
      <c r="AF38" s="49"/>
      <c r="AG38" s="34"/>
      <c r="AH38" s="50"/>
      <c r="AI38" s="51"/>
      <c r="AJ38" s="34"/>
      <c r="AK38" s="34"/>
      <c r="AL38" s="34"/>
      <c r="AM38" s="34"/>
      <c r="AN38" s="34"/>
      <c r="AO38" s="42"/>
      <c r="AP38" s="52"/>
      <c r="AQ38" s="52"/>
      <c r="AR38" s="53"/>
      <c r="AS38" s="52"/>
      <c r="AT38" s="54"/>
      <c r="AU38" s="55"/>
      <c r="AV38" s="55"/>
      <c r="AW38" s="56"/>
      <c r="AX38" s="57"/>
      <c r="AY38" s="58"/>
      <c r="AZ38" s="57"/>
      <c r="BA38" s="198"/>
      <c r="BB38" s="5"/>
      <c r="BC38" s="59"/>
      <c r="BD38" s="59"/>
      <c r="BE38" s="59"/>
      <c r="BF38" s="59"/>
      <c r="BG38" s="59"/>
      <c r="BH38" s="59"/>
      <c r="BI38" s="60"/>
      <c r="BJ38" s="60"/>
      <c r="BK38" s="60"/>
      <c r="BL38" s="61"/>
      <c r="BM38" s="61"/>
      <c r="BN38" s="61">
        <f t="shared" ref="BN38:BN62" si="59">IF(H38="Bundled",$AG$1*Y38,$AG$1*Y38*0.85)</f>
        <v>18246.920249999999</v>
      </c>
      <c r="BO38" s="61"/>
      <c r="BP38" s="61"/>
      <c r="BQ38" s="61"/>
      <c r="BR38" s="61"/>
      <c r="BS38" s="61"/>
      <c r="BT38" s="61">
        <f t="shared" ref="BT38:BT62" si="60">+Y38</f>
        <v>1</v>
      </c>
      <c r="BU38" s="61"/>
      <c r="BV38" s="61"/>
      <c r="BW38" s="61"/>
      <c r="BX38" s="61"/>
      <c r="BY38" s="61"/>
      <c r="BZ38" s="61"/>
      <c r="CA38" s="61"/>
      <c r="CB38" s="5"/>
      <c r="CC38" s="5"/>
    </row>
    <row r="39" spans="1:81" s="16" customFormat="1" x14ac:dyDescent="0.3">
      <c r="A39" s="199" t="s">
        <v>248</v>
      </c>
      <c r="B39" s="32" t="s">
        <v>200</v>
      </c>
      <c r="C39" s="132" t="s">
        <v>323</v>
      </c>
      <c r="D39" s="132" t="s">
        <v>404</v>
      </c>
      <c r="E39" s="132"/>
      <c r="F39" s="132"/>
      <c r="G39" s="33" t="s">
        <v>11</v>
      </c>
      <c r="H39" s="34" t="s">
        <v>57</v>
      </c>
      <c r="I39" s="33" t="s">
        <v>8</v>
      </c>
      <c r="J39" s="33" t="s">
        <v>61</v>
      </c>
      <c r="K39" s="31" t="str">
        <f t="shared" si="43"/>
        <v>No of Racks</v>
      </c>
      <c r="L39" s="33">
        <v>1</v>
      </c>
      <c r="M39" s="33">
        <v>1</v>
      </c>
      <c r="N39" s="35">
        <f t="shared" si="54"/>
        <v>0</v>
      </c>
      <c r="O39" s="33">
        <v>1</v>
      </c>
      <c r="P39" s="33"/>
      <c r="Q39" s="133">
        <f>276228/12</f>
        <v>23019</v>
      </c>
      <c r="R39" s="43" t="str">
        <f t="shared" si="56"/>
        <v>Rated</v>
      </c>
      <c r="S39" s="33" t="s">
        <v>54</v>
      </c>
      <c r="T39" s="34">
        <v>5</v>
      </c>
      <c r="U39" s="45">
        <v>5.23</v>
      </c>
      <c r="V39" s="46">
        <f t="shared" si="44"/>
        <v>-0.23000000000000043</v>
      </c>
      <c r="W39" s="34"/>
      <c r="X39" s="34">
        <f t="shared" si="57"/>
        <v>0</v>
      </c>
      <c r="Y39" s="34">
        <f t="shared" si="58"/>
        <v>2.5</v>
      </c>
      <c r="Z39" s="65">
        <f>AG39/28/24</f>
        <v>2.016607142857143</v>
      </c>
      <c r="AA39" s="34">
        <f t="shared" si="46"/>
        <v>0.23000000000000043</v>
      </c>
      <c r="AB39" s="47">
        <v>0</v>
      </c>
      <c r="AC39" s="48" t="str">
        <f t="shared" si="47"/>
        <v>Metered</v>
      </c>
      <c r="AD39" s="34">
        <v>1</v>
      </c>
      <c r="AE39" s="34" t="s">
        <v>62</v>
      </c>
      <c r="AF39" s="49">
        <v>15.5</v>
      </c>
      <c r="AG39" s="34">
        <v>1355.16</v>
      </c>
      <c r="AH39" s="50"/>
      <c r="AI39" s="51" t="str">
        <f>IF(AH39="No of Seats","No of Seats",(IF(AH39="Space","Sq Ft","")))</f>
        <v/>
      </c>
      <c r="AJ39" s="34"/>
      <c r="AK39" s="34"/>
      <c r="AL39" s="34">
        <f t="shared" ref="AL39:AL45" si="61">AJ39-AK39</f>
        <v>0</v>
      </c>
      <c r="AM39" s="34"/>
      <c r="AN39" s="34"/>
      <c r="AO39" s="42"/>
      <c r="AP39" s="52">
        <f t="shared" ref="AP39:AP45" si="62">Q39*O39</f>
        <v>23019</v>
      </c>
      <c r="AQ39" s="52">
        <f t="shared" ref="AQ39:AQ45" si="63">AB39*AA39</f>
        <v>0</v>
      </c>
      <c r="AR39" s="53">
        <f t="shared" ref="AR39:AR45" si="64">AG39*AF39*AD39</f>
        <v>21004.98</v>
      </c>
      <c r="AS39" s="52">
        <f t="shared" ref="AS39:AS45" si="65">AO39*AM39</f>
        <v>0</v>
      </c>
      <c r="AT39" s="54">
        <f>(30000)/12</f>
        <v>2500</v>
      </c>
      <c r="AU39" s="55">
        <f t="shared" ref="AU39:AU45" si="66">SUBTOTAL(9,AP39:AT39)</f>
        <v>46523.979999999996</v>
      </c>
      <c r="AV39" s="55"/>
      <c r="AW39" s="67">
        <v>721006343</v>
      </c>
      <c r="AX39" s="68"/>
      <c r="AY39" s="69"/>
      <c r="AZ39" s="68"/>
      <c r="BA39" s="198"/>
      <c r="BB39" s="5"/>
      <c r="BC39" s="29">
        <f t="shared" ref="BC39:BC45" si="67">IF(I39="Rack",AU39/L39,0)+IF(I39="U Space",AU39*40/L39,0)+IF(I39="Space",AU39*30/L39,0)</f>
        <v>46523.979999999996</v>
      </c>
      <c r="BD39" s="29">
        <f t="shared" ref="BD39:BD45" si="68">+AU39/Y39</f>
        <v>18609.591999999997</v>
      </c>
      <c r="BE39" s="25">
        <f t="shared" ref="BE39:BF45" si="69">+($AP39+$AQ39+$AR39-BL39)/$Y39</f>
        <v>2903.1424205901594</v>
      </c>
      <c r="BF39" s="25">
        <f t="shared" si="69"/>
        <v>2903.1424205901594</v>
      </c>
      <c r="BG39" s="25">
        <f t="shared" ref="BG39:BG45" si="70">+($AP39+$AQ39+IF(H39="Bundled",0,Y39*0.85*AD39*AF39*30.5*24)-BN39)/$Y39</f>
        <v>3341.8177875000024</v>
      </c>
      <c r="BH39" s="29"/>
      <c r="BI39" s="26">
        <f t="shared" ref="BI39:BI45" si="71">+AP39+AQ39+AR39</f>
        <v>44023.979999999996</v>
      </c>
      <c r="BJ39" s="26">
        <f t="shared" ref="BJ39:BJ45" si="72">+BI39-BK39</f>
        <v>23018.999999999996</v>
      </c>
      <c r="BK39" s="26">
        <f>IF(H39="Bundled",MIN(Y39*$AG$1*(1+#REF!),BI39),AR39)</f>
        <v>21004.98</v>
      </c>
      <c r="BL39" s="27">
        <f t="shared" ref="BL39:BL45" si="73">IF($AG39&gt;0,$AG39*$AD$1*$AF$1*(1+$AI$1*(20/$AF$1)/732),$AG$1*Z39)</f>
        <v>36766.123948524597</v>
      </c>
      <c r="BM39" s="27">
        <f t="shared" ref="BM39:BM45" si="74">IF($AG39&gt;0,$AG39*$AD$1*$AF$1*(1+$AI$1*(20/$AF$1)/732),+$AG$1*(Z39+X39))</f>
        <v>36766.123948524597</v>
      </c>
      <c r="BN39" s="27">
        <f t="shared" si="59"/>
        <v>38774.705531249994</v>
      </c>
      <c r="BO39" s="27">
        <f t="shared" ref="BO39:BO45" si="75">+BE39*Y39</f>
        <v>7257.856051475399</v>
      </c>
      <c r="BP39" s="27" t="e">
        <f>+#REF!*Y39</f>
        <v>#REF!</v>
      </c>
      <c r="BQ39" s="27" t="e">
        <f t="shared" ref="BQ39:BQ45" si="76">+BJ39-BP39</f>
        <v>#REF!</v>
      </c>
      <c r="BR39" s="27">
        <f t="shared" ref="BR39:BR45" si="77">+BK39-BL39</f>
        <v>-15761.143948524597</v>
      </c>
      <c r="BS39" s="27" t="e">
        <f t="shared" ref="BS39:BS45" si="78">+BQ39+BR39</f>
        <v>#REF!</v>
      </c>
      <c r="BT39" s="27">
        <f t="shared" si="60"/>
        <v>2.5</v>
      </c>
      <c r="BU39" s="27">
        <f t="shared" ref="BU39:BU45" si="79">+BE39</f>
        <v>2903.1424205901594</v>
      </c>
      <c r="BV39" s="27">
        <f t="shared" ref="BV39:BV45" si="80">IF(H39="Bundled",BN39-BL39,AR39-BL39)</f>
        <v>-15761.143948524597</v>
      </c>
      <c r="BW39" s="27" t="e">
        <f>IF(H39="Bundled",+(BG39-#REF!)*Y39,(AP39+AQ39)-Y39*#REF!)</f>
        <v>#REF!</v>
      </c>
      <c r="BX39" s="27" t="e">
        <f t="shared" ref="BX39:BX45" si="81">+BV39+BW39</f>
        <v>#REF!</v>
      </c>
      <c r="BY39" s="27">
        <f t="shared" ref="BY39:CA45" si="82">+BV39/$BT39</f>
        <v>-6304.4575794098391</v>
      </c>
      <c r="BZ39" s="27" t="e">
        <f t="shared" si="82"/>
        <v>#REF!</v>
      </c>
      <c r="CA39" s="27" t="e">
        <f t="shared" si="82"/>
        <v>#REF!</v>
      </c>
    </row>
    <row r="40" spans="1:81" s="16" customFormat="1" x14ac:dyDescent="0.3">
      <c r="A40" s="199" t="s">
        <v>248</v>
      </c>
      <c r="B40" s="32" t="s">
        <v>202</v>
      </c>
      <c r="C40" s="279" t="s">
        <v>354</v>
      </c>
      <c r="D40" s="279" t="s">
        <v>404</v>
      </c>
      <c r="E40" s="279"/>
      <c r="F40" s="279"/>
      <c r="G40" s="33" t="s">
        <v>11</v>
      </c>
      <c r="H40" s="34" t="s">
        <v>52</v>
      </c>
      <c r="I40" s="33" t="s">
        <v>8</v>
      </c>
      <c r="J40" s="33" t="s">
        <v>61</v>
      </c>
      <c r="K40" s="31" t="str">
        <f t="shared" si="43"/>
        <v>No of Racks</v>
      </c>
      <c r="L40" s="33">
        <v>1</v>
      </c>
      <c r="M40" s="33">
        <v>1</v>
      </c>
      <c r="N40" s="35">
        <f t="shared" si="54"/>
        <v>0</v>
      </c>
      <c r="O40" s="33">
        <v>1</v>
      </c>
      <c r="P40" s="33"/>
      <c r="Q40" s="133">
        <f>480000/12</f>
        <v>40000</v>
      </c>
      <c r="R40" s="43" t="str">
        <f t="shared" si="56"/>
        <v>Rated</v>
      </c>
      <c r="S40" s="33" t="s">
        <v>54</v>
      </c>
      <c r="T40" s="34">
        <v>6</v>
      </c>
      <c r="U40" s="45">
        <v>19.350000000000001</v>
      </c>
      <c r="V40" s="46">
        <f t="shared" si="44"/>
        <v>-13.350000000000001</v>
      </c>
      <c r="W40" s="34"/>
      <c r="X40" s="34">
        <f t="shared" si="57"/>
        <v>0</v>
      </c>
      <c r="Y40" s="34">
        <f t="shared" si="58"/>
        <v>3</v>
      </c>
      <c r="Z40" s="65">
        <v>2.87</v>
      </c>
      <c r="AA40" s="34">
        <f t="shared" si="46"/>
        <v>13.350000000000001</v>
      </c>
      <c r="AB40" s="47">
        <f>90000/12</f>
        <v>7500</v>
      </c>
      <c r="AC40" s="48" t="str">
        <f t="shared" si="47"/>
        <v>Bundled</v>
      </c>
      <c r="AD40" s="34"/>
      <c r="AE40" s="34"/>
      <c r="AF40" s="49"/>
      <c r="AG40" s="34"/>
      <c r="AH40" s="50"/>
      <c r="AI40" s="51" t="str">
        <f>IF(AH40="No of Seats","No of Seats",(IF(AH40="Space","Sq Ft","")))</f>
        <v/>
      </c>
      <c r="AJ40" s="34"/>
      <c r="AK40" s="34"/>
      <c r="AL40" s="34">
        <f t="shared" si="61"/>
        <v>0</v>
      </c>
      <c r="AM40" s="34"/>
      <c r="AN40" s="34"/>
      <c r="AO40" s="42"/>
      <c r="AP40" s="52">
        <f t="shared" si="62"/>
        <v>40000</v>
      </c>
      <c r="AQ40" s="52">
        <f t="shared" si="63"/>
        <v>100125.00000000001</v>
      </c>
      <c r="AR40" s="53">
        <f t="shared" si="64"/>
        <v>0</v>
      </c>
      <c r="AS40" s="52">
        <f t="shared" si="65"/>
        <v>0</v>
      </c>
      <c r="AT40" s="54">
        <v>0</v>
      </c>
      <c r="AU40" s="55">
        <f t="shared" si="66"/>
        <v>140125</v>
      </c>
      <c r="AV40" s="55"/>
      <c r="AW40" s="56"/>
      <c r="AX40" s="57"/>
      <c r="AY40" s="58"/>
      <c r="AZ40" s="57"/>
      <c r="BA40" s="198"/>
      <c r="BB40" s="5"/>
      <c r="BC40" s="29">
        <f t="shared" si="67"/>
        <v>140125</v>
      </c>
      <c r="BD40" s="29">
        <f t="shared" si="68"/>
        <v>46708.333333333336</v>
      </c>
      <c r="BE40" s="25">
        <f t="shared" si="69"/>
        <v>29252.112960833332</v>
      </c>
      <c r="BF40" s="25">
        <f t="shared" si="69"/>
        <v>29252.112960833332</v>
      </c>
      <c r="BG40" s="25">
        <f t="shared" si="70"/>
        <v>28461.413083333333</v>
      </c>
      <c r="BH40" s="29"/>
      <c r="BI40" s="26">
        <f t="shared" si="71"/>
        <v>140125</v>
      </c>
      <c r="BJ40" s="26" t="e">
        <f t="shared" si="72"/>
        <v>#REF!</v>
      </c>
      <c r="BK40" s="26" t="e">
        <f>IF(H40="Bundled",MIN(Y40*$AG$1*(1+#REF!),BI40),AR40)</f>
        <v>#REF!</v>
      </c>
      <c r="BL40" s="27">
        <f t="shared" si="73"/>
        <v>52368.6611175</v>
      </c>
      <c r="BM40" s="27">
        <f t="shared" si="74"/>
        <v>52368.6611175</v>
      </c>
      <c r="BN40" s="27">
        <f t="shared" si="59"/>
        <v>54740.760750000001</v>
      </c>
      <c r="BO40" s="27">
        <f t="shared" si="75"/>
        <v>87756.3388825</v>
      </c>
      <c r="BP40" s="27" t="e">
        <f>+#REF!*Y40</f>
        <v>#REF!</v>
      </c>
      <c r="BQ40" s="27" t="e">
        <f t="shared" si="76"/>
        <v>#REF!</v>
      </c>
      <c r="BR40" s="27" t="e">
        <f t="shared" si="77"/>
        <v>#REF!</v>
      </c>
      <c r="BS40" s="27" t="e">
        <f t="shared" si="78"/>
        <v>#REF!</v>
      </c>
      <c r="BT40" s="27">
        <f t="shared" si="60"/>
        <v>3</v>
      </c>
      <c r="BU40" s="27">
        <f t="shared" si="79"/>
        <v>29252.112960833332</v>
      </c>
      <c r="BV40" s="27">
        <f t="shared" si="80"/>
        <v>2372.0996325000015</v>
      </c>
      <c r="BW40" s="27" t="e">
        <f>IF(H40="Bundled",+(BG40-#REF!)*Y40,(AP40+AQ40)-Y40*#REF!)</f>
        <v>#REF!</v>
      </c>
      <c r="BX40" s="27" t="e">
        <f t="shared" si="81"/>
        <v>#REF!</v>
      </c>
      <c r="BY40" s="27">
        <f t="shared" si="82"/>
        <v>790.69987750000053</v>
      </c>
      <c r="BZ40" s="27" t="e">
        <f t="shared" si="82"/>
        <v>#REF!</v>
      </c>
      <c r="CA40" s="27" t="e">
        <f t="shared" si="82"/>
        <v>#REF!</v>
      </c>
    </row>
    <row r="41" spans="1:81" s="16" customFormat="1" x14ac:dyDescent="0.3">
      <c r="A41" s="199" t="s">
        <v>248</v>
      </c>
      <c r="B41" s="32" t="s">
        <v>290</v>
      </c>
      <c r="C41" s="32" t="s">
        <v>291</v>
      </c>
      <c r="D41" s="32" t="s">
        <v>404</v>
      </c>
      <c r="E41" s="32"/>
      <c r="F41" s="32"/>
      <c r="G41" s="33" t="s">
        <v>11</v>
      </c>
      <c r="H41" s="34" t="s">
        <v>52</v>
      </c>
      <c r="I41" s="33" t="s">
        <v>8</v>
      </c>
      <c r="J41" s="33" t="s">
        <v>61</v>
      </c>
      <c r="K41" s="31" t="str">
        <f t="shared" si="43"/>
        <v>No of Racks</v>
      </c>
      <c r="L41" s="33">
        <v>2</v>
      </c>
      <c r="M41" s="33">
        <v>2</v>
      </c>
      <c r="N41" s="35">
        <v>0</v>
      </c>
      <c r="O41" s="33">
        <v>2</v>
      </c>
      <c r="P41" s="33"/>
      <c r="Q41" s="133"/>
      <c r="R41" s="43" t="str">
        <f t="shared" si="56"/>
        <v>Rated</v>
      </c>
      <c r="S41" s="33" t="s">
        <v>54</v>
      </c>
      <c r="T41" s="34">
        <v>6</v>
      </c>
      <c r="U41" s="45">
        <v>3.19</v>
      </c>
      <c r="V41" s="46">
        <f t="shared" si="44"/>
        <v>2.81</v>
      </c>
      <c r="W41" s="34"/>
      <c r="X41" s="34">
        <f t="shared" si="57"/>
        <v>1.405</v>
      </c>
      <c r="Y41" s="34">
        <f t="shared" si="58"/>
        <v>3</v>
      </c>
      <c r="Z41" s="65">
        <v>77</v>
      </c>
      <c r="AA41" s="34">
        <f t="shared" si="46"/>
        <v>0</v>
      </c>
      <c r="AB41" s="47">
        <f>90000/12</f>
        <v>7500</v>
      </c>
      <c r="AC41" s="48" t="str">
        <f t="shared" si="47"/>
        <v>Bundled</v>
      </c>
      <c r="AD41" s="34"/>
      <c r="AE41" s="34"/>
      <c r="AF41" s="49"/>
      <c r="AG41" s="34"/>
      <c r="AH41" s="50"/>
      <c r="AI41" s="51" t="str">
        <f>IF(AH41="No of Seats","No of Seats",(IF(AH41="Space","Sq Ft","")))</f>
        <v/>
      </c>
      <c r="AJ41" s="34"/>
      <c r="AK41" s="34"/>
      <c r="AL41" s="34">
        <f t="shared" si="61"/>
        <v>0</v>
      </c>
      <c r="AM41" s="34"/>
      <c r="AN41" s="34"/>
      <c r="AO41" s="42"/>
      <c r="AP41" s="52">
        <f t="shared" si="62"/>
        <v>0</v>
      </c>
      <c r="AQ41" s="52">
        <f t="shared" si="63"/>
        <v>0</v>
      </c>
      <c r="AR41" s="53">
        <f t="shared" si="64"/>
        <v>0</v>
      </c>
      <c r="AS41" s="52">
        <f t="shared" si="65"/>
        <v>0</v>
      </c>
      <c r="AT41" s="54">
        <v>0</v>
      </c>
      <c r="AU41" s="55">
        <f t="shared" si="66"/>
        <v>0</v>
      </c>
      <c r="AV41" s="55"/>
      <c r="AW41" s="56"/>
      <c r="AX41" s="57"/>
      <c r="AY41" s="58"/>
      <c r="AZ41" s="57"/>
      <c r="BA41" s="198"/>
      <c r="BB41" s="5"/>
      <c r="BC41" s="29">
        <f t="shared" si="67"/>
        <v>0</v>
      </c>
      <c r="BD41" s="29">
        <f t="shared" si="68"/>
        <v>0</v>
      </c>
      <c r="BE41" s="25">
        <f t="shared" si="69"/>
        <v>-468337.61975000001</v>
      </c>
      <c r="BF41" s="25">
        <f t="shared" si="69"/>
        <v>-476883.26073374995</v>
      </c>
      <c r="BG41" s="25">
        <f t="shared" si="70"/>
        <v>-18246.920249999999</v>
      </c>
      <c r="BH41" s="29"/>
      <c r="BI41" s="26">
        <f t="shared" si="71"/>
        <v>0</v>
      </c>
      <c r="BJ41" s="26" t="e">
        <f t="shared" si="72"/>
        <v>#REF!</v>
      </c>
      <c r="BK41" s="26" t="e">
        <f>IF(H41="Bundled",MIN(Y41*$AG$1*(1+#REF!),BI41),AR41)</f>
        <v>#REF!</v>
      </c>
      <c r="BL41" s="27">
        <f t="shared" si="73"/>
        <v>1405012.85925</v>
      </c>
      <c r="BM41" s="27">
        <f t="shared" si="74"/>
        <v>1430649.7822012499</v>
      </c>
      <c r="BN41" s="27">
        <f t="shared" si="59"/>
        <v>54740.760750000001</v>
      </c>
      <c r="BO41" s="27">
        <f t="shared" si="75"/>
        <v>-1405012.85925</v>
      </c>
      <c r="BP41" s="27" t="e">
        <f>+#REF!*Y41</f>
        <v>#REF!</v>
      </c>
      <c r="BQ41" s="27" t="e">
        <f t="shared" si="76"/>
        <v>#REF!</v>
      </c>
      <c r="BR41" s="27" t="e">
        <f t="shared" si="77"/>
        <v>#REF!</v>
      </c>
      <c r="BS41" s="27" t="e">
        <f t="shared" si="78"/>
        <v>#REF!</v>
      </c>
      <c r="BT41" s="27">
        <f t="shared" si="60"/>
        <v>3</v>
      </c>
      <c r="BU41" s="27">
        <f t="shared" si="79"/>
        <v>-468337.61975000001</v>
      </c>
      <c r="BV41" s="27">
        <f t="shared" si="80"/>
        <v>-1350272.0985000001</v>
      </c>
      <c r="BW41" s="27" t="e">
        <f>IF(H41="Bundled",+(BG41-#REF!)*Y41,(AP41+AQ41)-Y41*#REF!)</f>
        <v>#REF!</v>
      </c>
      <c r="BX41" s="27" t="e">
        <f t="shared" si="81"/>
        <v>#REF!</v>
      </c>
      <c r="BY41" s="27">
        <f t="shared" si="82"/>
        <v>-450090.69950000005</v>
      </c>
      <c r="BZ41" s="27" t="e">
        <f t="shared" si="82"/>
        <v>#REF!</v>
      </c>
      <c r="CA41" s="27" t="e">
        <f t="shared" si="82"/>
        <v>#REF!</v>
      </c>
    </row>
    <row r="42" spans="1:81" s="16" customFormat="1" x14ac:dyDescent="0.3">
      <c r="A42" s="199" t="s">
        <v>248</v>
      </c>
      <c r="B42" s="32" t="s">
        <v>196</v>
      </c>
      <c r="C42" s="32" t="s">
        <v>314</v>
      </c>
      <c r="D42" s="32" t="s">
        <v>405</v>
      </c>
      <c r="E42" s="32"/>
      <c r="F42" s="32"/>
      <c r="G42" s="33" t="s">
        <v>56</v>
      </c>
      <c r="H42" s="34" t="s">
        <v>52</v>
      </c>
      <c r="I42" s="33" t="s">
        <v>8</v>
      </c>
      <c r="J42" s="33" t="s">
        <v>61</v>
      </c>
      <c r="K42" s="31" t="str">
        <f t="shared" si="43"/>
        <v>No of Racks</v>
      </c>
      <c r="L42" s="33">
        <v>2</v>
      </c>
      <c r="M42" s="33">
        <v>2</v>
      </c>
      <c r="N42" s="35">
        <f t="shared" ref="N42:N58" si="83">L42-M42</f>
        <v>0</v>
      </c>
      <c r="O42" s="33">
        <v>2</v>
      </c>
      <c r="P42" s="33"/>
      <c r="Q42" s="42">
        <f>123982</f>
        <v>123982</v>
      </c>
      <c r="R42" s="43" t="str">
        <f t="shared" si="56"/>
        <v>Subscribed</v>
      </c>
      <c r="S42" s="33" t="s">
        <v>54</v>
      </c>
      <c r="T42" s="34">
        <v>14</v>
      </c>
      <c r="U42" s="66">
        <f>Z42/0.9</f>
        <v>14.471841931216931</v>
      </c>
      <c r="V42" s="46">
        <f t="shared" si="44"/>
        <v>-0.47184193121693063</v>
      </c>
      <c r="W42" s="34"/>
      <c r="X42" s="34">
        <f t="shared" si="57"/>
        <v>0</v>
      </c>
      <c r="Y42" s="34">
        <f t="shared" si="58"/>
        <v>14</v>
      </c>
      <c r="Z42" s="65">
        <f>AG42/28/24</f>
        <v>13.024657738095238</v>
      </c>
      <c r="AA42" s="34">
        <f t="shared" si="46"/>
        <v>0.47184193121693063</v>
      </c>
      <c r="AB42" s="47">
        <f>17711</f>
        <v>17711</v>
      </c>
      <c r="AC42" s="48" t="str">
        <f t="shared" si="47"/>
        <v>Bundled</v>
      </c>
      <c r="AD42" s="34">
        <v>1</v>
      </c>
      <c r="AE42" s="34" t="s">
        <v>62</v>
      </c>
      <c r="AF42" s="49">
        <v>0</v>
      </c>
      <c r="AG42" s="34">
        <v>8752.57</v>
      </c>
      <c r="AH42" s="50"/>
      <c r="AI42" s="51"/>
      <c r="AJ42" s="34"/>
      <c r="AK42" s="34"/>
      <c r="AL42" s="34">
        <f t="shared" si="61"/>
        <v>0</v>
      </c>
      <c r="AM42" s="34"/>
      <c r="AN42" s="34"/>
      <c r="AO42" s="42"/>
      <c r="AP42" s="52">
        <f t="shared" si="62"/>
        <v>247964</v>
      </c>
      <c r="AQ42" s="52">
        <f t="shared" si="63"/>
        <v>8356.7924437830588</v>
      </c>
      <c r="AR42" s="53">
        <f t="shared" si="64"/>
        <v>0</v>
      </c>
      <c r="AS42" s="52">
        <f t="shared" si="65"/>
        <v>0</v>
      </c>
      <c r="AT42" s="54">
        <v>0</v>
      </c>
      <c r="AU42" s="55">
        <f t="shared" si="66"/>
        <v>256320.79244378305</v>
      </c>
      <c r="AV42" s="55"/>
      <c r="AW42" s="67">
        <v>721007392</v>
      </c>
      <c r="AX42" s="68"/>
      <c r="AY42" s="69"/>
      <c r="AZ42" s="68"/>
      <c r="BA42" s="198"/>
      <c r="BB42" s="5"/>
      <c r="BC42" s="29">
        <f t="shared" si="67"/>
        <v>128160.39622189153</v>
      </c>
      <c r="BD42" s="29">
        <f t="shared" si="68"/>
        <v>18308.62803169879</v>
      </c>
      <c r="BE42" s="25">
        <f t="shared" si="69"/>
        <v>1347.1056448779459</v>
      </c>
      <c r="BF42" s="25">
        <f t="shared" si="69"/>
        <v>1347.1056448779459</v>
      </c>
      <c r="BG42" s="25">
        <f t="shared" si="70"/>
        <v>61.707781698789667</v>
      </c>
      <c r="BH42" s="29"/>
      <c r="BI42" s="26">
        <f t="shared" si="71"/>
        <v>256320.79244378305</v>
      </c>
      <c r="BJ42" s="26" t="e">
        <f t="shared" si="72"/>
        <v>#REF!</v>
      </c>
      <c r="BK42" s="26" t="e">
        <f>IF(H42="Bundled",MIN(Y42*$AG$1*(1+#REF!),BI42),AR42)</f>
        <v>#REF!</v>
      </c>
      <c r="BL42" s="27">
        <f t="shared" si="73"/>
        <v>237461.31341549181</v>
      </c>
      <c r="BM42" s="27">
        <f t="shared" si="74"/>
        <v>237461.31341549181</v>
      </c>
      <c r="BN42" s="27">
        <f t="shared" si="59"/>
        <v>255456.8835</v>
      </c>
      <c r="BO42" s="27">
        <f t="shared" si="75"/>
        <v>18859.479028291244</v>
      </c>
      <c r="BP42" s="27" t="e">
        <f>+#REF!*Y42</f>
        <v>#REF!</v>
      </c>
      <c r="BQ42" s="27" t="e">
        <f t="shared" si="76"/>
        <v>#REF!</v>
      </c>
      <c r="BR42" s="27" t="e">
        <f t="shared" si="77"/>
        <v>#REF!</v>
      </c>
      <c r="BS42" s="27" t="e">
        <f t="shared" si="78"/>
        <v>#REF!</v>
      </c>
      <c r="BT42" s="27">
        <f t="shared" si="60"/>
        <v>14</v>
      </c>
      <c r="BU42" s="27">
        <f t="shared" si="79"/>
        <v>1347.1056448779459</v>
      </c>
      <c r="BV42" s="27">
        <f t="shared" si="80"/>
        <v>17995.570084508188</v>
      </c>
      <c r="BW42" s="27" t="e">
        <f>IF(H42="Bundled",+(BG42-#REF!)*Y42,(AP42+AQ42)-Y42*#REF!)</f>
        <v>#REF!</v>
      </c>
      <c r="BX42" s="27" t="e">
        <f t="shared" si="81"/>
        <v>#REF!</v>
      </c>
      <c r="BY42" s="27">
        <f t="shared" si="82"/>
        <v>1285.3978631791563</v>
      </c>
      <c r="BZ42" s="27" t="e">
        <f t="shared" si="82"/>
        <v>#REF!</v>
      </c>
      <c r="CA42" s="27" t="e">
        <f t="shared" si="82"/>
        <v>#REF!</v>
      </c>
    </row>
    <row r="43" spans="1:81" s="16" customFormat="1" x14ac:dyDescent="0.3">
      <c r="A43" s="199" t="s">
        <v>248</v>
      </c>
      <c r="B43" s="32" t="s">
        <v>201</v>
      </c>
      <c r="C43" s="32" t="s">
        <v>356</v>
      </c>
      <c r="D43" s="32" t="s">
        <v>404</v>
      </c>
      <c r="E43" s="32"/>
      <c r="F43" s="32"/>
      <c r="G43" s="33" t="s">
        <v>11</v>
      </c>
      <c r="H43" s="34" t="s">
        <v>52</v>
      </c>
      <c r="I43" s="33" t="s">
        <v>8</v>
      </c>
      <c r="J43" s="33" t="s">
        <v>61</v>
      </c>
      <c r="K43" s="31" t="str">
        <f t="shared" si="43"/>
        <v>No of Racks</v>
      </c>
      <c r="L43" s="33">
        <v>1</v>
      </c>
      <c r="M43" s="33">
        <v>1</v>
      </c>
      <c r="N43" s="35">
        <f t="shared" si="83"/>
        <v>0</v>
      </c>
      <c r="O43" s="33">
        <v>1</v>
      </c>
      <c r="P43" s="33"/>
      <c r="Q43" s="42">
        <f>(160000)/12</f>
        <v>13333.333333333334</v>
      </c>
      <c r="R43" s="43" t="str">
        <f t="shared" si="56"/>
        <v>Rated</v>
      </c>
      <c r="S43" s="33" t="s">
        <v>54</v>
      </c>
      <c r="T43" s="34">
        <v>2</v>
      </c>
      <c r="U43" s="45">
        <v>2.5</v>
      </c>
      <c r="V43" s="46">
        <f t="shared" si="44"/>
        <v>-0.5</v>
      </c>
      <c r="W43" s="34"/>
      <c r="X43" s="34">
        <f t="shared" si="57"/>
        <v>0</v>
      </c>
      <c r="Y43" s="34">
        <f t="shared" si="58"/>
        <v>1</v>
      </c>
      <c r="Z43" s="65">
        <v>2.17</v>
      </c>
      <c r="AA43" s="34">
        <f t="shared" si="46"/>
        <v>0.5</v>
      </c>
      <c r="AB43" s="47">
        <f>125000/12</f>
        <v>10416.666666666666</v>
      </c>
      <c r="AC43" s="48" t="str">
        <f t="shared" si="47"/>
        <v>Bundled</v>
      </c>
      <c r="AD43" s="34"/>
      <c r="AE43" s="34"/>
      <c r="AF43" s="49"/>
      <c r="AG43" s="34"/>
      <c r="AH43" s="50"/>
      <c r="AI43" s="51"/>
      <c r="AJ43" s="34"/>
      <c r="AK43" s="34"/>
      <c r="AL43" s="34">
        <f t="shared" si="61"/>
        <v>0</v>
      </c>
      <c r="AM43" s="34"/>
      <c r="AN43" s="34"/>
      <c r="AO43" s="42"/>
      <c r="AP43" s="52">
        <f t="shared" si="62"/>
        <v>13333.333333333334</v>
      </c>
      <c r="AQ43" s="52">
        <f t="shared" si="63"/>
        <v>5208.333333333333</v>
      </c>
      <c r="AR43" s="53">
        <f t="shared" si="64"/>
        <v>0</v>
      </c>
      <c r="AS43" s="52">
        <f t="shared" si="65"/>
        <v>0</v>
      </c>
      <c r="AT43" s="54">
        <f>(30000)/12</f>
        <v>2500</v>
      </c>
      <c r="AU43" s="55">
        <f t="shared" si="66"/>
        <v>21041.666666666668</v>
      </c>
      <c r="AV43" s="55"/>
      <c r="AW43" s="67">
        <v>121000056</v>
      </c>
      <c r="AX43" s="68"/>
      <c r="AY43" s="69"/>
      <c r="AZ43" s="68"/>
      <c r="BA43" s="89"/>
      <c r="BB43" s="5"/>
      <c r="BC43" s="29">
        <f t="shared" si="67"/>
        <v>21041.666666666668</v>
      </c>
      <c r="BD43" s="29">
        <f t="shared" si="68"/>
        <v>21041.666666666668</v>
      </c>
      <c r="BE43" s="25">
        <f t="shared" si="69"/>
        <v>-21054.150275833326</v>
      </c>
      <c r="BF43" s="25">
        <f t="shared" si="69"/>
        <v>-21054.150275833326</v>
      </c>
      <c r="BG43" s="25">
        <f t="shared" si="70"/>
        <v>294.74641666666867</v>
      </c>
      <c r="BH43" s="29"/>
      <c r="BI43" s="26">
        <f t="shared" si="71"/>
        <v>18541.666666666668</v>
      </c>
      <c r="BJ43" s="26" t="e">
        <f t="shared" si="72"/>
        <v>#REF!</v>
      </c>
      <c r="BK43" s="26" t="e">
        <f>IF(H43="Bundled",MIN(Y43*$AG$1*(1+#REF!),BI43),AR43)</f>
        <v>#REF!</v>
      </c>
      <c r="BL43" s="27">
        <f t="shared" si="73"/>
        <v>39595.816942499994</v>
      </c>
      <c r="BM43" s="27">
        <f t="shared" si="74"/>
        <v>39595.816942499994</v>
      </c>
      <c r="BN43" s="27">
        <f t="shared" si="59"/>
        <v>18246.920249999999</v>
      </c>
      <c r="BO43" s="27">
        <f t="shared" si="75"/>
        <v>-21054.150275833326</v>
      </c>
      <c r="BP43" s="27" t="e">
        <f>+#REF!*Y43</f>
        <v>#REF!</v>
      </c>
      <c r="BQ43" s="27" t="e">
        <f t="shared" si="76"/>
        <v>#REF!</v>
      </c>
      <c r="BR43" s="27" t="e">
        <f t="shared" si="77"/>
        <v>#REF!</v>
      </c>
      <c r="BS43" s="27" t="e">
        <f t="shared" si="78"/>
        <v>#REF!</v>
      </c>
      <c r="BT43" s="27">
        <f t="shared" si="60"/>
        <v>1</v>
      </c>
      <c r="BU43" s="27">
        <f t="shared" si="79"/>
        <v>-21054.150275833326</v>
      </c>
      <c r="BV43" s="27">
        <f t="shared" si="80"/>
        <v>-21348.896692499995</v>
      </c>
      <c r="BW43" s="27" t="e">
        <f>IF(H43="Bundled",+(BG43-#REF!)*Y43,(AP43+AQ43)-Y43*#REF!)</f>
        <v>#REF!</v>
      </c>
      <c r="BX43" s="27" t="e">
        <f t="shared" si="81"/>
        <v>#REF!</v>
      </c>
      <c r="BY43" s="27">
        <f t="shared" si="82"/>
        <v>-21348.896692499995</v>
      </c>
      <c r="BZ43" s="27" t="e">
        <f t="shared" si="82"/>
        <v>#REF!</v>
      </c>
      <c r="CA43" s="27" t="e">
        <f t="shared" si="82"/>
        <v>#REF!</v>
      </c>
    </row>
    <row r="44" spans="1:81" s="16" customFormat="1" ht="26" x14ac:dyDescent="0.3">
      <c r="A44" s="199" t="s">
        <v>248</v>
      </c>
      <c r="B44" s="32" t="s">
        <v>199</v>
      </c>
      <c r="C44" s="32" t="s">
        <v>389</v>
      </c>
      <c r="D44" s="32" t="s">
        <v>404</v>
      </c>
      <c r="E44" s="32"/>
      <c r="F44" s="32"/>
      <c r="G44" s="33" t="s">
        <v>56</v>
      </c>
      <c r="H44" s="34" t="s">
        <v>57</v>
      </c>
      <c r="I44" s="33" t="s">
        <v>8</v>
      </c>
      <c r="J44" s="33" t="s">
        <v>61</v>
      </c>
      <c r="K44" s="31" t="str">
        <f t="shared" si="43"/>
        <v>No of Racks</v>
      </c>
      <c r="L44" s="33">
        <v>1</v>
      </c>
      <c r="M44" s="33">
        <v>1</v>
      </c>
      <c r="N44" s="35">
        <f t="shared" si="83"/>
        <v>0</v>
      </c>
      <c r="O44" s="33">
        <v>1</v>
      </c>
      <c r="P44" s="33"/>
      <c r="Q44" s="42">
        <f>(340000)/12</f>
        <v>28333.333333333332</v>
      </c>
      <c r="R44" s="43" t="str">
        <f t="shared" si="56"/>
        <v>Subscribed</v>
      </c>
      <c r="S44" s="33" t="s">
        <v>58</v>
      </c>
      <c r="T44" s="34">
        <v>3</v>
      </c>
      <c r="U44" s="66">
        <f>Z44</f>
        <v>1.0084226190476191</v>
      </c>
      <c r="V44" s="46">
        <f t="shared" si="44"/>
        <v>1.9915773809523809</v>
      </c>
      <c r="W44" s="34"/>
      <c r="X44" s="34">
        <f t="shared" si="57"/>
        <v>1.9915773809523809</v>
      </c>
      <c r="Y44" s="34">
        <f t="shared" si="58"/>
        <v>3</v>
      </c>
      <c r="Z44" s="65">
        <f>AG44/28/24</f>
        <v>1.0084226190476191</v>
      </c>
      <c r="AA44" s="34">
        <f t="shared" si="46"/>
        <v>0</v>
      </c>
      <c r="AB44" s="47">
        <f>80000/12</f>
        <v>6666.666666666667</v>
      </c>
      <c r="AC44" s="48" t="str">
        <f t="shared" si="47"/>
        <v>Metered</v>
      </c>
      <c r="AD44" s="34">
        <v>1</v>
      </c>
      <c r="AE44" s="34" t="s">
        <v>62</v>
      </c>
      <c r="AF44" s="49">
        <v>18</v>
      </c>
      <c r="AG44" s="34">
        <v>677.66</v>
      </c>
      <c r="AH44" s="50"/>
      <c r="AI44" s="51"/>
      <c r="AJ44" s="34"/>
      <c r="AK44" s="34"/>
      <c r="AL44" s="34">
        <f t="shared" si="61"/>
        <v>0</v>
      </c>
      <c r="AM44" s="34"/>
      <c r="AN44" s="34"/>
      <c r="AO44" s="42"/>
      <c r="AP44" s="52">
        <f t="shared" si="62"/>
        <v>28333.333333333332</v>
      </c>
      <c r="AQ44" s="52">
        <f t="shared" si="63"/>
        <v>0</v>
      </c>
      <c r="AR44" s="53">
        <f t="shared" si="64"/>
        <v>12197.88</v>
      </c>
      <c r="AS44" s="52">
        <f t="shared" si="65"/>
        <v>0</v>
      </c>
      <c r="AT44" s="54">
        <f>360000/12</f>
        <v>30000</v>
      </c>
      <c r="AU44" s="55">
        <f t="shared" si="66"/>
        <v>70531.213333333333</v>
      </c>
      <c r="AV44" s="55"/>
      <c r="AW44" s="67">
        <v>121000302</v>
      </c>
      <c r="AX44" s="68"/>
      <c r="AY44" s="69"/>
      <c r="AZ44" s="68"/>
      <c r="BA44" s="89"/>
      <c r="BB44" s="5"/>
      <c r="BC44" s="29">
        <f t="shared" si="67"/>
        <v>70531.213333333333</v>
      </c>
      <c r="BD44" s="29">
        <f t="shared" si="68"/>
        <v>23510.404444444444</v>
      </c>
      <c r="BE44" s="25">
        <f t="shared" si="69"/>
        <v>7381.9936405646622</v>
      </c>
      <c r="BF44" s="25">
        <f t="shared" si="69"/>
        <v>7381.9936405646622</v>
      </c>
      <c r="BG44" s="25">
        <f t="shared" si="70"/>
        <v>5134.1622319444432</v>
      </c>
      <c r="BH44" s="29"/>
      <c r="BI44" s="26">
        <f t="shared" si="71"/>
        <v>40531.213333333333</v>
      </c>
      <c r="BJ44" s="26">
        <f t="shared" si="72"/>
        <v>28333.333333333336</v>
      </c>
      <c r="BK44" s="26">
        <f>IF(H44="Bundled",MIN(Y44*$AG$1*(1+#REF!),BI44),AR44)</f>
        <v>12197.88</v>
      </c>
      <c r="BL44" s="27">
        <f t="shared" si="73"/>
        <v>18385.232411639347</v>
      </c>
      <c r="BM44" s="27">
        <f t="shared" si="74"/>
        <v>18385.232411639347</v>
      </c>
      <c r="BN44" s="27">
        <f t="shared" si="59"/>
        <v>46529.646637500002</v>
      </c>
      <c r="BO44" s="27">
        <f t="shared" si="75"/>
        <v>22145.980921693987</v>
      </c>
      <c r="BP44" s="27" t="e">
        <f>+#REF!*Y44</f>
        <v>#REF!</v>
      </c>
      <c r="BQ44" s="27" t="e">
        <f t="shared" si="76"/>
        <v>#REF!</v>
      </c>
      <c r="BR44" s="27">
        <f t="shared" si="77"/>
        <v>-6187.3524116393473</v>
      </c>
      <c r="BS44" s="27" t="e">
        <f t="shared" si="78"/>
        <v>#REF!</v>
      </c>
      <c r="BT44" s="27">
        <f t="shared" si="60"/>
        <v>3</v>
      </c>
      <c r="BU44" s="27">
        <f t="shared" si="79"/>
        <v>7381.9936405646622</v>
      </c>
      <c r="BV44" s="27">
        <f t="shared" si="80"/>
        <v>-6187.3524116393473</v>
      </c>
      <c r="BW44" s="27" t="e">
        <f>IF(H44="Bundled",+(BG44-#REF!)*Y44,(AP44+AQ44)-Y44*#REF!)</f>
        <v>#REF!</v>
      </c>
      <c r="BX44" s="27" t="e">
        <f t="shared" si="81"/>
        <v>#REF!</v>
      </c>
      <c r="BY44" s="27">
        <f t="shared" si="82"/>
        <v>-2062.4508038797826</v>
      </c>
      <c r="BZ44" s="27" t="e">
        <f t="shared" si="82"/>
        <v>#REF!</v>
      </c>
      <c r="CA44" s="27" t="e">
        <f t="shared" si="82"/>
        <v>#REF!</v>
      </c>
    </row>
    <row r="45" spans="1:81" s="16" customFormat="1" x14ac:dyDescent="0.3">
      <c r="A45" s="504" t="s">
        <v>248</v>
      </c>
      <c r="B45" s="489" t="s">
        <v>193</v>
      </c>
      <c r="C45" s="32" t="s">
        <v>346</v>
      </c>
      <c r="D45" s="32" t="s">
        <v>405</v>
      </c>
      <c r="E45" s="32"/>
      <c r="F45" s="32"/>
      <c r="G45" s="33" t="s">
        <v>11</v>
      </c>
      <c r="H45" s="34" t="s">
        <v>52</v>
      </c>
      <c r="I45" s="33" t="s">
        <v>60</v>
      </c>
      <c r="J45" s="33" t="s">
        <v>61</v>
      </c>
      <c r="K45" s="31" t="str">
        <f t="shared" si="43"/>
        <v>U Space</v>
      </c>
      <c r="L45" s="33">
        <v>21</v>
      </c>
      <c r="M45" s="33">
        <v>21</v>
      </c>
      <c r="N45" s="35">
        <f t="shared" si="83"/>
        <v>0</v>
      </c>
      <c r="O45" s="33">
        <v>21</v>
      </c>
      <c r="P45" s="33"/>
      <c r="Q45" s="42">
        <f>(400000)/12</f>
        <v>33333.333333333336</v>
      </c>
      <c r="R45" s="43" t="str">
        <f t="shared" si="56"/>
        <v>Rated</v>
      </c>
      <c r="S45" s="33" t="s">
        <v>54</v>
      </c>
      <c r="T45" s="34">
        <v>1.5</v>
      </c>
      <c r="U45" s="45">
        <v>5.33</v>
      </c>
      <c r="V45" s="46">
        <f t="shared" si="44"/>
        <v>-3.83</v>
      </c>
      <c r="W45" s="34"/>
      <c r="X45" s="34">
        <f t="shared" si="57"/>
        <v>0</v>
      </c>
      <c r="Y45" s="34">
        <f t="shared" si="58"/>
        <v>0.75</v>
      </c>
      <c r="Z45" s="493">
        <v>3.38</v>
      </c>
      <c r="AA45" s="34">
        <f t="shared" si="46"/>
        <v>3.83</v>
      </c>
      <c r="AB45" s="47">
        <f>80000/12</f>
        <v>6666.666666666667</v>
      </c>
      <c r="AC45" s="48" t="str">
        <f t="shared" si="47"/>
        <v>Bundled</v>
      </c>
      <c r="AD45" s="34"/>
      <c r="AE45" s="34"/>
      <c r="AF45" s="49"/>
      <c r="AG45" s="34"/>
      <c r="AH45" s="50"/>
      <c r="AI45" s="51"/>
      <c r="AJ45" s="34"/>
      <c r="AK45" s="34"/>
      <c r="AL45" s="34">
        <f t="shared" si="61"/>
        <v>0</v>
      </c>
      <c r="AM45" s="34"/>
      <c r="AN45" s="34"/>
      <c r="AO45" s="42"/>
      <c r="AP45" s="52">
        <f t="shared" si="62"/>
        <v>700000</v>
      </c>
      <c r="AQ45" s="52">
        <f t="shared" si="63"/>
        <v>25533.333333333336</v>
      </c>
      <c r="AR45" s="53">
        <f t="shared" si="64"/>
        <v>0</v>
      </c>
      <c r="AS45" s="52">
        <f t="shared" si="65"/>
        <v>0</v>
      </c>
      <c r="AT45" s="54">
        <f>(40000+5000)/12</f>
        <v>3750</v>
      </c>
      <c r="AU45" s="55">
        <f t="shared" si="66"/>
        <v>729283.33333333337</v>
      </c>
      <c r="AV45" s="55"/>
      <c r="AW45" s="67">
        <v>121000827</v>
      </c>
      <c r="AX45" s="68"/>
      <c r="AY45" s="69"/>
      <c r="AZ45" s="68"/>
      <c r="BA45" s="89"/>
      <c r="BB45" s="5"/>
      <c r="BC45" s="29">
        <f t="shared" si="67"/>
        <v>1389111.1111111112</v>
      </c>
      <c r="BD45" s="29">
        <f t="shared" si="68"/>
        <v>972377.77777777787</v>
      </c>
      <c r="BE45" s="25">
        <f t="shared" si="69"/>
        <v>885144.99051777786</v>
      </c>
      <c r="BF45" s="25">
        <f t="shared" si="69"/>
        <v>885144.99051777786</v>
      </c>
      <c r="BG45" s="25">
        <f t="shared" si="70"/>
        <v>949130.8575277779</v>
      </c>
      <c r="BH45" s="29"/>
      <c r="BI45" s="26">
        <f t="shared" si="71"/>
        <v>725533.33333333337</v>
      </c>
      <c r="BJ45" s="26" t="e">
        <f t="shared" si="72"/>
        <v>#REF!</v>
      </c>
      <c r="BK45" s="26" t="e">
        <f>IF(H45="Bundled",MIN(Y45*$AG$1*(1+#REF!),BI45),AR45)</f>
        <v>#REF!</v>
      </c>
      <c r="BL45" s="27">
        <f t="shared" si="73"/>
        <v>61674.590444999994</v>
      </c>
      <c r="BM45" s="27">
        <f t="shared" si="74"/>
        <v>61674.590444999994</v>
      </c>
      <c r="BN45" s="27">
        <f t="shared" si="59"/>
        <v>13685.1901875</v>
      </c>
      <c r="BO45" s="27">
        <f t="shared" si="75"/>
        <v>663858.74288833339</v>
      </c>
      <c r="BP45" s="27" t="e">
        <f>+#REF!*Y45</f>
        <v>#REF!</v>
      </c>
      <c r="BQ45" s="27" t="e">
        <f t="shared" si="76"/>
        <v>#REF!</v>
      </c>
      <c r="BR45" s="27" t="e">
        <f t="shared" si="77"/>
        <v>#REF!</v>
      </c>
      <c r="BS45" s="27" t="e">
        <f t="shared" si="78"/>
        <v>#REF!</v>
      </c>
      <c r="BT45" s="27">
        <f t="shared" si="60"/>
        <v>0.75</v>
      </c>
      <c r="BU45" s="27">
        <f t="shared" si="79"/>
        <v>885144.99051777786</v>
      </c>
      <c r="BV45" s="27">
        <f t="shared" si="80"/>
        <v>-47989.40025749999</v>
      </c>
      <c r="BW45" s="27" t="e">
        <f>IF(H45="Bundled",+(BG45-#REF!)*Y45,(AP45+AQ45)-Y45*#REF!)</f>
        <v>#REF!</v>
      </c>
      <c r="BX45" s="27" t="e">
        <f t="shared" si="81"/>
        <v>#REF!</v>
      </c>
      <c r="BY45" s="27">
        <f t="shared" si="82"/>
        <v>-63985.867009999987</v>
      </c>
      <c r="BZ45" s="27" t="e">
        <f t="shared" si="82"/>
        <v>#REF!</v>
      </c>
      <c r="CA45" s="27" t="e">
        <f t="shared" si="82"/>
        <v>#REF!</v>
      </c>
    </row>
    <row r="46" spans="1:81" s="16" customFormat="1" x14ac:dyDescent="0.3">
      <c r="A46" s="505"/>
      <c r="B46" s="490"/>
      <c r="C46" s="32" t="s">
        <v>422</v>
      </c>
      <c r="D46" s="32" t="s">
        <v>404</v>
      </c>
      <c r="E46" s="32"/>
      <c r="F46" s="32"/>
      <c r="G46" s="33" t="s">
        <v>11</v>
      </c>
      <c r="H46" s="34" t="s">
        <v>52</v>
      </c>
      <c r="I46" s="33" t="s">
        <v>60</v>
      </c>
      <c r="J46" s="33" t="s">
        <v>61</v>
      </c>
      <c r="K46" s="31" t="str">
        <f t="shared" si="43"/>
        <v>U Space</v>
      </c>
      <c r="L46" s="33">
        <v>1</v>
      </c>
      <c r="M46" s="33">
        <v>1</v>
      </c>
      <c r="N46" s="35">
        <f t="shared" si="83"/>
        <v>0</v>
      </c>
      <c r="O46" s="33">
        <v>1</v>
      </c>
      <c r="P46" s="33"/>
      <c r="Q46" s="42"/>
      <c r="R46" s="43" t="str">
        <f t="shared" si="56"/>
        <v>Rated</v>
      </c>
      <c r="S46" s="33" t="s">
        <v>54</v>
      </c>
      <c r="T46" s="34">
        <v>0.25</v>
      </c>
      <c r="U46" s="45">
        <v>0.27</v>
      </c>
      <c r="V46" s="46">
        <f t="shared" si="44"/>
        <v>-2.0000000000000018E-2</v>
      </c>
      <c r="W46" s="34"/>
      <c r="X46" s="34">
        <f t="shared" si="57"/>
        <v>0</v>
      </c>
      <c r="Y46" s="34">
        <f t="shared" si="58"/>
        <v>0.125</v>
      </c>
      <c r="Z46" s="494"/>
      <c r="AA46" s="34">
        <f t="shared" si="46"/>
        <v>2.0000000000000018E-2</v>
      </c>
      <c r="AB46" s="47"/>
      <c r="AC46" s="48" t="str">
        <f t="shared" si="47"/>
        <v>Bundled</v>
      </c>
      <c r="AD46" s="34"/>
      <c r="AE46" s="34"/>
      <c r="AF46" s="49"/>
      <c r="AG46" s="34"/>
      <c r="AH46" s="50"/>
      <c r="AI46" s="51"/>
      <c r="AJ46" s="34"/>
      <c r="AK46" s="34"/>
      <c r="AL46" s="34"/>
      <c r="AM46" s="34"/>
      <c r="AN46" s="34"/>
      <c r="AO46" s="42"/>
      <c r="AP46" s="52"/>
      <c r="AQ46" s="52"/>
      <c r="AR46" s="53"/>
      <c r="AS46" s="52"/>
      <c r="AT46" s="54"/>
      <c r="AU46" s="55"/>
      <c r="AV46" s="55"/>
      <c r="AW46" s="67"/>
      <c r="AX46" s="68"/>
      <c r="AY46" s="69"/>
      <c r="AZ46" s="68"/>
      <c r="BA46" s="89"/>
      <c r="BB46" s="5"/>
      <c r="BC46" s="59"/>
      <c r="BD46" s="59"/>
      <c r="BE46" s="59"/>
      <c r="BF46" s="59"/>
      <c r="BG46" s="59"/>
      <c r="BH46" s="59"/>
      <c r="BI46" s="60"/>
      <c r="BJ46" s="60"/>
      <c r="BK46" s="60"/>
      <c r="BL46" s="61"/>
      <c r="BM46" s="61"/>
      <c r="BN46" s="61">
        <f t="shared" si="59"/>
        <v>2280.8650312499999</v>
      </c>
      <c r="BO46" s="61"/>
      <c r="BP46" s="61"/>
      <c r="BQ46" s="61"/>
      <c r="BR46" s="61"/>
      <c r="BS46" s="61"/>
      <c r="BT46" s="61">
        <f t="shared" si="60"/>
        <v>0.125</v>
      </c>
      <c r="BU46" s="61"/>
      <c r="BV46" s="61"/>
      <c r="BW46" s="61"/>
      <c r="BX46" s="61"/>
      <c r="BY46" s="61"/>
      <c r="BZ46" s="61"/>
      <c r="CA46" s="61"/>
    </row>
    <row r="47" spans="1:81" s="16" customFormat="1" x14ac:dyDescent="0.3">
      <c r="A47" s="505"/>
      <c r="B47" s="490"/>
      <c r="C47" s="32" t="s">
        <v>421</v>
      </c>
      <c r="D47" s="32" t="s">
        <v>404</v>
      </c>
      <c r="E47" s="32"/>
      <c r="F47" s="32"/>
      <c r="G47" s="33" t="s">
        <v>11</v>
      </c>
      <c r="H47" s="34" t="s">
        <v>52</v>
      </c>
      <c r="I47" s="33" t="s">
        <v>60</v>
      </c>
      <c r="J47" s="33" t="s">
        <v>61</v>
      </c>
      <c r="K47" s="31" t="str">
        <f t="shared" si="43"/>
        <v>U Space</v>
      </c>
      <c r="L47" s="33">
        <v>2</v>
      </c>
      <c r="M47" s="33">
        <v>2</v>
      </c>
      <c r="N47" s="35">
        <f t="shared" si="83"/>
        <v>0</v>
      </c>
      <c r="O47" s="33">
        <v>2</v>
      </c>
      <c r="P47" s="33"/>
      <c r="Q47" s="42"/>
      <c r="R47" s="43" t="str">
        <f t="shared" si="56"/>
        <v>Rated</v>
      </c>
      <c r="S47" s="33" t="s">
        <v>54</v>
      </c>
      <c r="T47" s="34">
        <v>0.5</v>
      </c>
      <c r="U47" s="45">
        <v>0.44</v>
      </c>
      <c r="V47" s="46">
        <f t="shared" si="44"/>
        <v>0.06</v>
      </c>
      <c r="W47" s="34"/>
      <c r="X47" s="34">
        <f t="shared" si="57"/>
        <v>0.03</v>
      </c>
      <c r="Y47" s="34">
        <f t="shared" si="58"/>
        <v>0.25</v>
      </c>
      <c r="Z47" s="494"/>
      <c r="AA47" s="34">
        <f t="shared" si="46"/>
        <v>0</v>
      </c>
      <c r="AB47" s="47"/>
      <c r="AC47" s="48" t="str">
        <f t="shared" si="47"/>
        <v>Bundled</v>
      </c>
      <c r="AD47" s="34"/>
      <c r="AE47" s="34"/>
      <c r="AF47" s="49"/>
      <c r="AG47" s="34"/>
      <c r="AH47" s="50"/>
      <c r="AI47" s="51"/>
      <c r="AJ47" s="34"/>
      <c r="AK47" s="34"/>
      <c r="AL47" s="34"/>
      <c r="AM47" s="34"/>
      <c r="AN47" s="34"/>
      <c r="AO47" s="42"/>
      <c r="AP47" s="52"/>
      <c r="AQ47" s="52"/>
      <c r="AR47" s="53"/>
      <c r="AS47" s="52"/>
      <c r="AT47" s="54"/>
      <c r="AU47" s="55"/>
      <c r="AV47" s="55"/>
      <c r="AW47" s="67"/>
      <c r="AX47" s="68"/>
      <c r="AY47" s="69"/>
      <c r="AZ47" s="68"/>
      <c r="BA47" s="89"/>
      <c r="BB47" s="5"/>
      <c r="BC47" s="59"/>
      <c r="BD47" s="59"/>
      <c r="BE47" s="59"/>
      <c r="BF47" s="59"/>
      <c r="BG47" s="59"/>
      <c r="BH47" s="59"/>
      <c r="BI47" s="60"/>
      <c r="BJ47" s="60"/>
      <c r="BK47" s="60"/>
      <c r="BL47" s="61"/>
      <c r="BM47" s="61"/>
      <c r="BN47" s="61">
        <f t="shared" si="59"/>
        <v>4561.7300624999998</v>
      </c>
      <c r="BO47" s="61"/>
      <c r="BP47" s="61"/>
      <c r="BQ47" s="61"/>
      <c r="BR47" s="61"/>
      <c r="BS47" s="61"/>
      <c r="BT47" s="61">
        <f t="shared" si="60"/>
        <v>0.25</v>
      </c>
      <c r="BU47" s="61"/>
      <c r="BV47" s="61"/>
      <c r="BW47" s="61"/>
      <c r="BX47" s="61"/>
      <c r="BY47" s="61"/>
      <c r="BZ47" s="61"/>
      <c r="CA47" s="61"/>
    </row>
    <row r="48" spans="1:81" s="16" customFormat="1" x14ac:dyDescent="0.3">
      <c r="A48" s="505"/>
      <c r="B48" s="490"/>
      <c r="C48" s="32" t="s">
        <v>423</v>
      </c>
      <c r="D48" s="32" t="s">
        <v>404</v>
      </c>
      <c r="E48" s="32"/>
      <c r="F48" s="32"/>
      <c r="G48" s="33" t="s">
        <v>11</v>
      </c>
      <c r="H48" s="34" t="s">
        <v>52</v>
      </c>
      <c r="I48" s="33" t="s">
        <v>60</v>
      </c>
      <c r="J48" s="33" t="s">
        <v>61</v>
      </c>
      <c r="K48" s="31" t="str">
        <f t="shared" si="43"/>
        <v>U Space</v>
      </c>
      <c r="L48" s="33">
        <v>1</v>
      </c>
      <c r="M48" s="33">
        <v>1</v>
      </c>
      <c r="N48" s="35">
        <f t="shared" si="83"/>
        <v>0</v>
      </c>
      <c r="O48" s="33">
        <v>1</v>
      </c>
      <c r="P48" s="33"/>
      <c r="Q48" s="42"/>
      <c r="R48" s="43" t="str">
        <f t="shared" si="56"/>
        <v>Rated</v>
      </c>
      <c r="S48" s="33" t="s">
        <v>54</v>
      </c>
      <c r="T48" s="34">
        <v>0.5</v>
      </c>
      <c r="U48" s="45">
        <v>0.19</v>
      </c>
      <c r="V48" s="46">
        <f t="shared" si="44"/>
        <v>0.31</v>
      </c>
      <c r="W48" s="34"/>
      <c r="X48" s="34">
        <f t="shared" si="57"/>
        <v>0.155</v>
      </c>
      <c r="Y48" s="34">
        <f t="shared" si="58"/>
        <v>0.25</v>
      </c>
      <c r="Z48" s="494"/>
      <c r="AA48" s="34">
        <f t="shared" si="46"/>
        <v>0</v>
      </c>
      <c r="AB48" s="47"/>
      <c r="AC48" s="48" t="str">
        <f t="shared" si="47"/>
        <v>Bundled</v>
      </c>
      <c r="AD48" s="34"/>
      <c r="AE48" s="34"/>
      <c r="AF48" s="49"/>
      <c r="AG48" s="34"/>
      <c r="AH48" s="50"/>
      <c r="AI48" s="51"/>
      <c r="AJ48" s="34"/>
      <c r="AK48" s="34"/>
      <c r="AL48" s="34"/>
      <c r="AM48" s="34"/>
      <c r="AN48" s="34"/>
      <c r="AO48" s="42"/>
      <c r="AP48" s="52"/>
      <c r="AQ48" s="52"/>
      <c r="AR48" s="53"/>
      <c r="AS48" s="52"/>
      <c r="AT48" s="54"/>
      <c r="AU48" s="55"/>
      <c r="AV48" s="55"/>
      <c r="AW48" s="67"/>
      <c r="AX48" s="68"/>
      <c r="AY48" s="69"/>
      <c r="AZ48" s="68"/>
      <c r="BA48" s="89"/>
      <c r="BB48" s="5"/>
      <c r="BC48" s="59"/>
      <c r="BD48" s="59"/>
      <c r="BE48" s="59"/>
      <c r="BF48" s="59"/>
      <c r="BG48" s="59"/>
      <c r="BH48" s="59"/>
      <c r="BI48" s="60"/>
      <c r="BJ48" s="60"/>
      <c r="BK48" s="60"/>
      <c r="BL48" s="61"/>
      <c r="BM48" s="61"/>
      <c r="BN48" s="61">
        <f t="shared" si="59"/>
        <v>4561.7300624999998</v>
      </c>
      <c r="BO48" s="61"/>
      <c r="BP48" s="61"/>
      <c r="BQ48" s="61"/>
      <c r="BR48" s="61"/>
      <c r="BS48" s="61"/>
      <c r="BT48" s="61">
        <f t="shared" si="60"/>
        <v>0.25</v>
      </c>
      <c r="BU48" s="61"/>
      <c r="BV48" s="61"/>
      <c r="BW48" s="61"/>
      <c r="BX48" s="61"/>
      <c r="BY48" s="61"/>
      <c r="BZ48" s="61"/>
      <c r="CA48" s="61"/>
    </row>
    <row r="49" spans="1:80" s="16" customFormat="1" x14ac:dyDescent="0.3">
      <c r="A49" s="506"/>
      <c r="B49" s="491"/>
      <c r="C49" s="32" t="s">
        <v>420</v>
      </c>
      <c r="D49" s="32" t="s">
        <v>404</v>
      </c>
      <c r="E49" s="32"/>
      <c r="F49" s="32"/>
      <c r="G49" s="33" t="s">
        <v>11</v>
      </c>
      <c r="H49" s="34" t="s">
        <v>52</v>
      </c>
      <c r="I49" s="33" t="s">
        <v>60</v>
      </c>
      <c r="J49" s="33" t="s">
        <v>61</v>
      </c>
      <c r="K49" s="31" t="str">
        <f t="shared" si="43"/>
        <v>U Space</v>
      </c>
      <c r="L49" s="33">
        <v>2</v>
      </c>
      <c r="M49" s="33">
        <v>2</v>
      </c>
      <c r="N49" s="35">
        <f t="shared" si="83"/>
        <v>0</v>
      </c>
      <c r="O49" s="33">
        <v>2</v>
      </c>
      <c r="P49" s="33"/>
      <c r="Q49" s="42"/>
      <c r="R49" s="43" t="str">
        <f t="shared" si="56"/>
        <v>Rated</v>
      </c>
      <c r="S49" s="33" t="s">
        <v>54</v>
      </c>
      <c r="T49" s="34">
        <v>0.25</v>
      </c>
      <c r="U49" s="45">
        <v>1.04</v>
      </c>
      <c r="V49" s="46">
        <f t="shared" si="44"/>
        <v>-0.79</v>
      </c>
      <c r="W49" s="34"/>
      <c r="X49" s="34">
        <f t="shared" si="57"/>
        <v>0</v>
      </c>
      <c r="Y49" s="34">
        <f t="shared" si="58"/>
        <v>0.125</v>
      </c>
      <c r="Z49" s="495"/>
      <c r="AA49" s="34">
        <f t="shared" si="46"/>
        <v>0.79</v>
      </c>
      <c r="AB49" s="47"/>
      <c r="AC49" s="48" t="str">
        <f t="shared" si="47"/>
        <v>Bundled</v>
      </c>
      <c r="AD49" s="34"/>
      <c r="AE49" s="34"/>
      <c r="AF49" s="49"/>
      <c r="AG49" s="34"/>
      <c r="AH49" s="50"/>
      <c r="AI49" s="51"/>
      <c r="AJ49" s="34"/>
      <c r="AK49" s="34"/>
      <c r="AL49" s="34"/>
      <c r="AM49" s="34"/>
      <c r="AN49" s="34"/>
      <c r="AO49" s="42"/>
      <c r="AP49" s="52"/>
      <c r="AQ49" s="52"/>
      <c r="AR49" s="53"/>
      <c r="AS49" s="52"/>
      <c r="AT49" s="54"/>
      <c r="AU49" s="55"/>
      <c r="AV49" s="55"/>
      <c r="AW49" s="67"/>
      <c r="AX49" s="68"/>
      <c r="AY49" s="69"/>
      <c r="AZ49" s="68"/>
      <c r="BA49" s="89"/>
      <c r="BB49" s="5"/>
      <c r="BC49" s="59"/>
      <c r="BD49" s="59"/>
      <c r="BE49" s="59"/>
      <c r="BF49" s="59"/>
      <c r="BG49" s="59"/>
      <c r="BH49" s="59"/>
      <c r="BI49" s="60"/>
      <c r="BJ49" s="60"/>
      <c r="BK49" s="60"/>
      <c r="BL49" s="61"/>
      <c r="BM49" s="61"/>
      <c r="BN49" s="61">
        <f t="shared" si="59"/>
        <v>2280.8650312499999</v>
      </c>
      <c r="BO49" s="61"/>
      <c r="BP49" s="61"/>
      <c r="BQ49" s="61"/>
      <c r="BR49" s="61"/>
      <c r="BS49" s="61"/>
      <c r="BT49" s="61">
        <f t="shared" si="60"/>
        <v>0.125</v>
      </c>
      <c r="BU49" s="61"/>
      <c r="BV49" s="61"/>
      <c r="BW49" s="61"/>
      <c r="BX49" s="61"/>
      <c r="BY49" s="61"/>
      <c r="BZ49" s="61"/>
      <c r="CA49" s="61"/>
    </row>
    <row r="50" spans="1:80" s="16" customFormat="1" x14ac:dyDescent="0.3">
      <c r="A50" s="199" t="s">
        <v>248</v>
      </c>
      <c r="B50" s="32" t="s">
        <v>195</v>
      </c>
      <c r="C50" s="279" t="s">
        <v>363</v>
      </c>
      <c r="D50" s="279" t="s">
        <v>405</v>
      </c>
      <c r="E50" s="279"/>
      <c r="F50" s="279"/>
      <c r="G50" s="33" t="s">
        <v>11</v>
      </c>
      <c r="H50" s="34" t="s">
        <v>52</v>
      </c>
      <c r="I50" s="33" t="s">
        <v>8</v>
      </c>
      <c r="J50" s="33" t="s">
        <v>61</v>
      </c>
      <c r="K50" s="31" t="str">
        <f t="shared" si="43"/>
        <v>No of Racks</v>
      </c>
      <c r="L50" s="33">
        <v>1</v>
      </c>
      <c r="M50" s="33">
        <v>1</v>
      </c>
      <c r="N50" s="35">
        <f t="shared" si="83"/>
        <v>0</v>
      </c>
      <c r="O50" s="33">
        <v>1</v>
      </c>
      <c r="P50" s="33"/>
      <c r="Q50" s="42">
        <f>672600/12</f>
        <v>56050</v>
      </c>
      <c r="R50" s="43" t="str">
        <f t="shared" si="56"/>
        <v>Rated</v>
      </c>
      <c r="S50" s="33" t="s">
        <v>54</v>
      </c>
      <c r="T50" s="34">
        <v>5</v>
      </c>
      <c r="U50" s="45">
        <v>7.64</v>
      </c>
      <c r="V50" s="46">
        <f t="shared" si="44"/>
        <v>-2.6399999999999997</v>
      </c>
      <c r="W50" s="34"/>
      <c r="X50" s="34">
        <f t="shared" si="57"/>
        <v>0</v>
      </c>
      <c r="Y50" s="34">
        <f t="shared" si="58"/>
        <v>2.5</v>
      </c>
      <c r="Z50" s="65">
        <v>1.32</v>
      </c>
      <c r="AA50" s="34">
        <f t="shared" si="46"/>
        <v>2.6399999999999997</v>
      </c>
      <c r="AB50" s="47">
        <f>110000/12</f>
        <v>9166.6666666666661</v>
      </c>
      <c r="AC50" s="48" t="str">
        <f t="shared" ref="AC50:AC71" si="84">H50</f>
        <v>Bundled</v>
      </c>
      <c r="AD50" s="34"/>
      <c r="AE50" s="34"/>
      <c r="AF50" s="49"/>
      <c r="AG50" s="34"/>
      <c r="AH50" s="50"/>
      <c r="AI50" s="51"/>
      <c r="AJ50" s="34"/>
      <c r="AK50" s="34"/>
      <c r="AL50" s="34">
        <f>AJ50-AK50</f>
        <v>0</v>
      </c>
      <c r="AM50" s="34"/>
      <c r="AN50" s="34"/>
      <c r="AO50" s="42"/>
      <c r="AP50" s="52">
        <f>Q50*O50</f>
        <v>56050</v>
      </c>
      <c r="AQ50" s="52">
        <f>AB50*AA50</f>
        <v>24199.999999999996</v>
      </c>
      <c r="AR50" s="53">
        <f>AG50*AF50*AD50</f>
        <v>0</v>
      </c>
      <c r="AS50" s="52">
        <f>AO50*AM50</f>
        <v>0</v>
      </c>
      <c r="AT50" s="54">
        <v>0</v>
      </c>
      <c r="AU50" s="55">
        <f>SUBTOTAL(9,AP50:AT50)</f>
        <v>80250</v>
      </c>
      <c r="AV50" s="55"/>
      <c r="AW50" s="67">
        <v>121001543</v>
      </c>
      <c r="AX50" s="68"/>
      <c r="AY50" s="69"/>
      <c r="AZ50" s="68"/>
      <c r="BA50" s="89"/>
      <c r="BB50" s="5"/>
      <c r="BC50" s="29">
        <f>IF(I50="Rack",AU50/L50,0)+IF(I50="U Space",AU50*40/L50,0)+IF(I50="Space",AU50*30/L50,0)</f>
        <v>80250</v>
      </c>
      <c r="BD50" s="29">
        <f>+AU50/Y50</f>
        <v>32100</v>
      </c>
      <c r="BE50" s="25">
        <f>+($AP50+$AQ50+$AR50-BL50)/$Y50</f>
        <v>22465.626108</v>
      </c>
      <c r="BF50" s="25">
        <f>+($AP50+$AQ50+$AR50-BM50)/$Y50</f>
        <v>22465.626108</v>
      </c>
      <c r="BG50" s="25">
        <f>+($AP50+$AQ50+IF(H50="Bundled",0,Y50*0.85*AD50*AF50*30.5*24)-BN50)/$Y50</f>
        <v>13853.079750000001</v>
      </c>
      <c r="BH50" s="29"/>
      <c r="BI50" s="26">
        <f>+AP50+AQ50+AR50</f>
        <v>80250</v>
      </c>
      <c r="BJ50" s="26" t="e">
        <f>+BI50-BK50</f>
        <v>#REF!</v>
      </c>
      <c r="BK50" s="26" t="e">
        <f>IF(H50="Bundled",MIN(Y50*$AG$1*(1+#REF!),BI50),AR50)</f>
        <v>#REF!</v>
      </c>
      <c r="BL50" s="27">
        <f>IF($AG50&gt;0,$AG50*$AD$1*$AF$1*(1+$AI$1*(20/$AF$1)/732),$AG$1*Z50)</f>
        <v>24085.934730000001</v>
      </c>
      <c r="BM50" s="27">
        <f>IF($AG50&gt;0,$AG50*$AD$1*$AF$1*(1+$AI$1*(20/$AF$1)/732),+$AG$1*(Z50+X50))</f>
        <v>24085.934730000001</v>
      </c>
      <c r="BN50" s="27">
        <f t="shared" si="59"/>
        <v>45617.300624999996</v>
      </c>
      <c r="BO50" s="27">
        <f>+BE50*Y50</f>
        <v>56164.065269999999</v>
      </c>
      <c r="BP50" s="27" t="e">
        <f>+#REF!*Y50</f>
        <v>#REF!</v>
      </c>
      <c r="BQ50" s="27" t="e">
        <f>+BJ50-BP50</f>
        <v>#REF!</v>
      </c>
      <c r="BR50" s="27" t="e">
        <f>+BK50-BL50</f>
        <v>#REF!</v>
      </c>
      <c r="BS50" s="27" t="e">
        <f>+BQ50+BR50</f>
        <v>#REF!</v>
      </c>
      <c r="BT50" s="27">
        <f t="shared" si="60"/>
        <v>2.5</v>
      </c>
      <c r="BU50" s="27">
        <f>+BE50</f>
        <v>22465.626108</v>
      </c>
      <c r="BV50" s="27">
        <f>IF(H50="Bundled",BN50-BL50,AR50-BL50)</f>
        <v>21531.365894999995</v>
      </c>
      <c r="BW50" s="27" t="e">
        <f>IF(H50="Bundled",+(BG50-#REF!)*Y50,(AP50+AQ50)-Y50*#REF!)</f>
        <v>#REF!</v>
      </c>
      <c r="BX50" s="27" t="e">
        <f>+BV50+BW50</f>
        <v>#REF!</v>
      </c>
      <c r="BY50" s="27">
        <f t="shared" ref="BY50:CA51" si="85">+BV50/$BT50</f>
        <v>8612.5463579999978</v>
      </c>
      <c r="BZ50" s="27" t="e">
        <f t="shared" si="85"/>
        <v>#REF!</v>
      </c>
      <c r="CA50" s="27" t="e">
        <f t="shared" si="85"/>
        <v>#REF!</v>
      </c>
    </row>
    <row r="51" spans="1:80" s="16" customFormat="1" x14ac:dyDescent="0.3">
      <c r="A51" s="199" t="s">
        <v>248</v>
      </c>
      <c r="B51" s="32" t="s">
        <v>192</v>
      </c>
      <c r="C51" s="279" t="s">
        <v>368</v>
      </c>
      <c r="D51" s="279" t="s">
        <v>404</v>
      </c>
      <c r="E51" s="279"/>
      <c r="F51" s="279"/>
      <c r="G51" s="33" t="s">
        <v>11</v>
      </c>
      <c r="H51" s="34" t="s">
        <v>52</v>
      </c>
      <c r="I51" s="33" t="s">
        <v>8</v>
      </c>
      <c r="J51" s="33" t="s">
        <v>61</v>
      </c>
      <c r="K51" s="31" t="str">
        <f t="shared" si="43"/>
        <v>No of Racks</v>
      </c>
      <c r="L51" s="33">
        <v>1</v>
      </c>
      <c r="M51" s="33">
        <v>1</v>
      </c>
      <c r="N51" s="35">
        <f t="shared" si="83"/>
        <v>0</v>
      </c>
      <c r="O51" s="33">
        <v>1</v>
      </c>
      <c r="P51" s="33"/>
      <c r="Q51" s="42">
        <f>768700/12</f>
        <v>64058.333333333336</v>
      </c>
      <c r="R51" s="43" t="str">
        <f t="shared" si="56"/>
        <v>Rated</v>
      </c>
      <c r="S51" s="33" t="s">
        <v>54</v>
      </c>
      <c r="T51" s="34">
        <v>7</v>
      </c>
      <c r="U51" s="45">
        <v>7.32</v>
      </c>
      <c r="V51" s="46">
        <f t="shared" si="44"/>
        <v>-0.32000000000000028</v>
      </c>
      <c r="W51" s="34"/>
      <c r="X51" s="34">
        <f t="shared" si="57"/>
        <v>0</v>
      </c>
      <c r="Y51" s="34">
        <f t="shared" si="58"/>
        <v>3.5</v>
      </c>
      <c r="Z51" s="65">
        <v>1.69</v>
      </c>
      <c r="AA51" s="34">
        <f t="shared" si="46"/>
        <v>0.32000000000000028</v>
      </c>
      <c r="AB51" s="47">
        <f>90000/12</f>
        <v>7500</v>
      </c>
      <c r="AC51" s="48" t="str">
        <f t="shared" si="84"/>
        <v>Bundled</v>
      </c>
      <c r="AD51" s="34"/>
      <c r="AE51" s="34"/>
      <c r="AF51" s="49"/>
      <c r="AG51" s="34"/>
      <c r="AH51" s="50"/>
      <c r="AI51" s="51"/>
      <c r="AJ51" s="34"/>
      <c r="AK51" s="34"/>
      <c r="AL51" s="34">
        <f>AJ51-AK51</f>
        <v>0</v>
      </c>
      <c r="AM51" s="34"/>
      <c r="AN51" s="34"/>
      <c r="AO51" s="42"/>
      <c r="AP51" s="52">
        <f>Q51*O51</f>
        <v>64058.333333333336</v>
      </c>
      <c r="AQ51" s="52">
        <f>AB51*AA51</f>
        <v>2400.0000000000023</v>
      </c>
      <c r="AR51" s="53">
        <f>AG51*AF51*AD51</f>
        <v>0</v>
      </c>
      <c r="AS51" s="52">
        <f>AO51*AM51</f>
        <v>0</v>
      </c>
      <c r="AT51" s="54">
        <v>0</v>
      </c>
      <c r="AU51" s="55">
        <f>SUBTOTAL(9,AP51:AT51)</f>
        <v>66458.333333333343</v>
      </c>
      <c r="AV51" s="55"/>
      <c r="AW51" s="67"/>
      <c r="AX51" s="68"/>
      <c r="AY51" s="69"/>
      <c r="AZ51" s="68"/>
      <c r="BA51" s="89"/>
      <c r="BB51" s="5"/>
      <c r="BC51" s="29">
        <f>IF(I51="Rack",AU51/L51,0)+IF(I51="U Space",AU51*40/L51,0)+IF(I51="Space",AU51*30/L51,0)</f>
        <v>66458.333333333343</v>
      </c>
      <c r="BD51" s="29">
        <f>+AU51/Y51</f>
        <v>18988.09523809524</v>
      </c>
      <c r="BE51" s="25">
        <f>+($AP51+$AQ51+$AR51-BL51)/$Y51</f>
        <v>10177.439460238098</v>
      </c>
      <c r="BF51" s="25">
        <f>+($AP51+$AQ51+$AR51-BM51)/$Y51</f>
        <v>10177.439460238098</v>
      </c>
      <c r="BG51" s="25">
        <f>+($AP51+$AQ51+IF(H51="Bundled",0,Y51*0.85*AD51*AF51*30.5*24)-BN51)/$Y51</f>
        <v>741.17498809524113</v>
      </c>
      <c r="BH51" s="29"/>
      <c r="BI51" s="26">
        <f>+AP51+AQ51+AR51</f>
        <v>66458.333333333343</v>
      </c>
      <c r="BJ51" s="26" t="e">
        <f>+BI51-BK51</f>
        <v>#REF!</v>
      </c>
      <c r="BK51" s="26" t="e">
        <f>IF(H51="Bundled",MIN(Y51*$AG$1*(1+#REF!),BI51),AR51)</f>
        <v>#REF!</v>
      </c>
      <c r="BL51" s="27">
        <f>IF($AG51&gt;0,$AG51*$AD$1*$AF$1*(1+$AI$1*(20/$AF$1)/732),$AG$1*Z51)</f>
        <v>30837.295222499997</v>
      </c>
      <c r="BM51" s="27">
        <f>IF($AG51&gt;0,$AG51*$AD$1*$AF$1*(1+$AI$1*(20/$AF$1)/732),+$AG$1*(Z51+X51))</f>
        <v>30837.295222499997</v>
      </c>
      <c r="BN51" s="27">
        <f t="shared" si="59"/>
        <v>63864.220874999999</v>
      </c>
      <c r="BO51" s="27">
        <f>+BE51*Y51</f>
        <v>35621.038110833346</v>
      </c>
      <c r="BP51" s="27" t="e">
        <f>+#REF!*Y51</f>
        <v>#REF!</v>
      </c>
      <c r="BQ51" s="27" t="e">
        <f>+BJ51-BP51</f>
        <v>#REF!</v>
      </c>
      <c r="BR51" s="27" t="e">
        <f>+BK51-BL51</f>
        <v>#REF!</v>
      </c>
      <c r="BS51" s="27" t="e">
        <f>+BQ51+BR51</f>
        <v>#REF!</v>
      </c>
      <c r="BT51" s="27">
        <f t="shared" si="60"/>
        <v>3.5</v>
      </c>
      <c r="BU51" s="27">
        <f>+BE51</f>
        <v>10177.439460238098</v>
      </c>
      <c r="BV51" s="27">
        <f>IF(H51="Bundled",BN51-BL51,AR51-BL51)</f>
        <v>33026.925652500002</v>
      </c>
      <c r="BW51" s="27" t="e">
        <f>IF(H51="Bundled",+(BG51-#REF!)*Y51,(AP51+AQ51)-Y51*#REF!)</f>
        <v>#REF!</v>
      </c>
      <c r="BX51" s="27" t="e">
        <f>+BV51+BW51</f>
        <v>#REF!</v>
      </c>
      <c r="BY51" s="27">
        <f t="shared" si="85"/>
        <v>9436.2644721428569</v>
      </c>
      <c r="BZ51" s="27" t="e">
        <f t="shared" si="85"/>
        <v>#REF!</v>
      </c>
      <c r="CA51" s="27" t="e">
        <f t="shared" si="85"/>
        <v>#REF!</v>
      </c>
    </row>
    <row r="52" spans="1:80" s="16" customFormat="1" x14ac:dyDescent="0.3">
      <c r="A52" s="199"/>
      <c r="B52" s="32" t="s">
        <v>535</v>
      </c>
      <c r="C52" s="279" t="s">
        <v>534</v>
      </c>
      <c r="D52" s="279" t="s">
        <v>404</v>
      </c>
      <c r="E52" s="279"/>
      <c r="F52" s="279"/>
      <c r="G52" s="33" t="s">
        <v>11</v>
      </c>
      <c r="H52" s="34" t="s">
        <v>52</v>
      </c>
      <c r="I52" s="33" t="s">
        <v>8</v>
      </c>
      <c r="J52" s="33" t="s">
        <v>61</v>
      </c>
      <c r="K52" s="31" t="str">
        <f t="shared" si="43"/>
        <v>No of Racks</v>
      </c>
      <c r="L52" s="33">
        <v>1</v>
      </c>
      <c r="M52" s="33">
        <v>1</v>
      </c>
      <c r="N52" s="35">
        <f t="shared" si="83"/>
        <v>0</v>
      </c>
      <c r="O52" s="33">
        <v>1</v>
      </c>
      <c r="P52" s="33"/>
      <c r="Q52" s="42"/>
      <c r="R52" s="43" t="str">
        <f t="shared" si="56"/>
        <v>Rated</v>
      </c>
      <c r="S52" s="33" t="s">
        <v>54</v>
      </c>
      <c r="T52" s="34">
        <v>3</v>
      </c>
      <c r="U52" s="45"/>
      <c r="V52" s="46">
        <f t="shared" si="44"/>
        <v>3</v>
      </c>
      <c r="W52" s="34"/>
      <c r="X52" s="34">
        <f t="shared" si="57"/>
        <v>1.5</v>
      </c>
      <c r="Y52" s="34">
        <f t="shared" si="58"/>
        <v>1.5</v>
      </c>
      <c r="Z52" s="65">
        <f>AG52/28/24</f>
        <v>0.74702380952380942</v>
      </c>
      <c r="AA52" s="34"/>
      <c r="AB52" s="47"/>
      <c r="AC52" s="48" t="str">
        <f t="shared" si="84"/>
        <v>Bundled</v>
      </c>
      <c r="AD52" s="34"/>
      <c r="AE52" s="34"/>
      <c r="AF52" s="49"/>
      <c r="AG52" s="34">
        <v>502</v>
      </c>
      <c r="AH52" s="50"/>
      <c r="AI52" s="51"/>
      <c r="AJ52" s="34"/>
      <c r="AK52" s="34"/>
      <c r="AL52" s="34"/>
      <c r="AM52" s="34"/>
      <c r="AN52" s="34"/>
      <c r="AO52" s="42"/>
      <c r="AP52" s="52"/>
      <c r="AQ52" s="52"/>
      <c r="AR52" s="53"/>
      <c r="AS52" s="52"/>
      <c r="AT52" s="54"/>
      <c r="AU52" s="55"/>
      <c r="AV52" s="55"/>
      <c r="AW52" s="67"/>
      <c r="AX52" s="68"/>
      <c r="AY52" s="69"/>
      <c r="AZ52" s="68"/>
      <c r="BA52" s="89"/>
      <c r="BB52" s="5"/>
      <c r="BC52" s="59"/>
      <c r="BD52" s="59"/>
      <c r="BE52" s="59"/>
      <c r="BF52" s="59"/>
      <c r="BG52" s="59"/>
      <c r="BH52" s="59"/>
      <c r="BI52" s="60"/>
      <c r="BJ52" s="60"/>
      <c r="BK52" s="60"/>
      <c r="BL52" s="61"/>
      <c r="BM52" s="61"/>
      <c r="BN52" s="61">
        <f t="shared" si="59"/>
        <v>27370.380375000001</v>
      </c>
      <c r="BO52" s="61"/>
      <c r="BP52" s="61"/>
      <c r="BQ52" s="61"/>
      <c r="BR52" s="61"/>
      <c r="BS52" s="61"/>
      <c r="BT52" s="61">
        <f t="shared" si="60"/>
        <v>1.5</v>
      </c>
      <c r="BU52" s="61"/>
      <c r="BV52" s="61"/>
      <c r="BW52" s="61"/>
      <c r="BX52" s="61"/>
      <c r="BY52" s="61"/>
      <c r="BZ52" s="61"/>
      <c r="CA52" s="61"/>
    </row>
    <row r="53" spans="1:80" s="16" customFormat="1" ht="26" x14ac:dyDescent="0.3">
      <c r="A53" s="199" t="s">
        <v>248</v>
      </c>
      <c r="B53" s="32" t="s">
        <v>208</v>
      </c>
      <c r="C53" s="32" t="s">
        <v>487</v>
      </c>
      <c r="D53" s="32" t="s">
        <v>405</v>
      </c>
      <c r="E53" s="34">
        <v>1</v>
      </c>
      <c r="F53" s="34"/>
      <c r="G53" s="33" t="s">
        <v>56</v>
      </c>
      <c r="H53" s="34" t="s">
        <v>57</v>
      </c>
      <c r="I53" s="33" t="s">
        <v>8</v>
      </c>
      <c r="J53" s="33" t="s">
        <v>61</v>
      </c>
      <c r="K53" s="31" t="str">
        <f t="shared" si="43"/>
        <v>No of Racks</v>
      </c>
      <c r="L53" s="33">
        <v>5</v>
      </c>
      <c r="M53" s="33">
        <v>5</v>
      </c>
      <c r="N53" s="35">
        <f t="shared" si="83"/>
        <v>0</v>
      </c>
      <c r="O53" s="33">
        <v>5</v>
      </c>
      <c r="P53" s="33"/>
      <c r="Q53" s="42">
        <f>240000/12</f>
        <v>20000</v>
      </c>
      <c r="R53" s="43" t="str">
        <f t="shared" si="56"/>
        <v>Subscribed</v>
      </c>
      <c r="S53" s="33" t="s">
        <v>58</v>
      </c>
      <c r="T53" s="34">
        <v>15</v>
      </c>
      <c r="U53" s="66">
        <f>Z53</f>
        <v>8.3554613095238093</v>
      </c>
      <c r="V53" s="46">
        <f t="shared" si="44"/>
        <v>6.6445386904761907</v>
      </c>
      <c r="W53" s="34"/>
      <c r="X53" s="34">
        <f t="shared" si="57"/>
        <v>6.6445386904761907</v>
      </c>
      <c r="Y53" s="34">
        <f t="shared" si="58"/>
        <v>15</v>
      </c>
      <c r="Z53" s="65">
        <f t="shared" ref="Z53:Z54" si="86">AG53/28/24</f>
        <v>8.3554613095238093</v>
      </c>
      <c r="AA53" s="34">
        <f t="shared" ref="AA53:AA62" si="87">IF((V53*-1)&gt;0, (V53*-1), 0)</f>
        <v>0</v>
      </c>
      <c r="AB53" s="47">
        <f>90000/12</f>
        <v>7500</v>
      </c>
      <c r="AC53" s="48" t="str">
        <f t="shared" si="84"/>
        <v>Metered</v>
      </c>
      <c r="AD53" s="34">
        <v>1</v>
      </c>
      <c r="AE53" s="34" t="s">
        <v>62</v>
      </c>
      <c r="AF53" s="49">
        <f>10.5*1.7</f>
        <v>17.849999999999998</v>
      </c>
      <c r="AG53" s="34">
        <v>5614.87</v>
      </c>
      <c r="AH53" s="50" t="s">
        <v>55</v>
      </c>
      <c r="AI53" s="50" t="s">
        <v>55</v>
      </c>
      <c r="AJ53" s="34">
        <v>1</v>
      </c>
      <c r="AK53" s="34">
        <v>1</v>
      </c>
      <c r="AL53" s="34">
        <f t="shared" ref="AL53:AL62" si="88">AJ53-AK53</f>
        <v>0</v>
      </c>
      <c r="AM53" s="34">
        <v>1</v>
      </c>
      <c r="AN53" s="34"/>
      <c r="AO53" s="42"/>
      <c r="AP53" s="52">
        <f t="shared" ref="AP53:AP62" si="89">Q53*O53</f>
        <v>100000</v>
      </c>
      <c r="AQ53" s="52">
        <f t="shared" ref="AQ53:AQ62" si="90">AB53*AA53</f>
        <v>0</v>
      </c>
      <c r="AR53" s="53">
        <f t="shared" ref="AR53:AR62" si="91">AG53*AF53*AD53</f>
        <v>100225.42949999998</v>
      </c>
      <c r="AS53" s="52">
        <f t="shared" ref="AS53:AS62" si="92">AO53*AM53</f>
        <v>0</v>
      </c>
      <c r="AT53" s="54">
        <v>0</v>
      </c>
      <c r="AU53" s="55">
        <f t="shared" ref="AU53:AU62" si="93">SUBTOTAL(9,AP53:AT53)</f>
        <v>200225.42949999997</v>
      </c>
      <c r="AV53" s="55"/>
      <c r="AW53" s="67"/>
      <c r="AX53" s="68"/>
      <c r="AY53" s="69"/>
      <c r="AZ53" s="68"/>
      <c r="BA53" s="89"/>
      <c r="BB53" s="5"/>
      <c r="BC53" s="29">
        <f t="shared" ref="BC53:BC62" si="94">IF(I53="Rack",AU53/L53,0)+IF(I53="U Space",AU53*40/L53,0)+IF(I53="Space",AU53*30/L53,0)</f>
        <v>40045.085899999991</v>
      </c>
      <c r="BD53" s="29">
        <f t="shared" ref="BD53:BD62" si="95">+AU53/Y53</f>
        <v>13348.361966666665</v>
      </c>
      <c r="BE53" s="25">
        <f t="shared" ref="BE53:BE62" si="96">+($AP53+$AQ53+$AR53-BL53)/$Y53</f>
        <v>3192.7588706065553</v>
      </c>
      <c r="BF53" s="25">
        <f t="shared" ref="BF53:BF62" si="97">+($AP53+$AQ53+$AR53-BM53)/$Y53</f>
        <v>3192.7588706065553</v>
      </c>
      <c r="BG53" s="25">
        <f t="shared" ref="BG53:BG62" si="98">+($AP53+$AQ53+IF(H53="Bundled",0,Y53*0.85*AD53*AF53*30.5*24)-BN53)/$Y53</f>
        <v>2263.0544541666691</v>
      </c>
      <c r="BH53" s="29"/>
      <c r="BI53" s="26">
        <f t="shared" ref="BI53:BI62" si="99">+AP53+AQ53+AR53</f>
        <v>200225.42949999997</v>
      </c>
      <c r="BJ53" s="26">
        <f t="shared" ref="BJ53:BJ62" si="100">+BI53-BK53</f>
        <v>99999.999999999985</v>
      </c>
      <c r="BK53" s="26">
        <f>IF(H53="Bundled",MIN(Y53*$AG$1*(1+#REF!),BI53),AR53)</f>
        <v>100225.42949999998</v>
      </c>
      <c r="BL53" s="27">
        <f t="shared" ref="BL53:BL63" si="101">IF($AG53&gt;0,$AG53*$AD$1*$AF$1*(1+$AI$1*(20/$AF$1)/732),$AG$1*Z53)</f>
        <v>152334.04644090164</v>
      </c>
      <c r="BM53" s="27">
        <f t="shared" ref="BM53:BM62" si="102">IF($AG53&gt;0,$AG53*$AD$1*$AF$1*(1+$AI$1*(20/$AF$1)/732),+$AG$1*(Z53+X53))</f>
        <v>152334.04644090164</v>
      </c>
      <c r="BN53" s="27">
        <f t="shared" si="59"/>
        <v>232648.23318749995</v>
      </c>
      <c r="BO53" s="27">
        <f t="shared" ref="BO53:BO62" si="103">+BE53*Y53</f>
        <v>47891.383059098327</v>
      </c>
      <c r="BP53" s="27" t="e">
        <f>+#REF!*Y53</f>
        <v>#REF!</v>
      </c>
      <c r="BQ53" s="27" t="e">
        <f t="shared" ref="BQ53:BQ62" si="104">+BJ53-BP53</f>
        <v>#REF!</v>
      </c>
      <c r="BR53" s="27">
        <f t="shared" ref="BR53:BR62" si="105">+BK53-BL53</f>
        <v>-52108.616940901658</v>
      </c>
      <c r="BS53" s="27" t="e">
        <f t="shared" ref="BS53:BS62" si="106">+BQ53+BR53</f>
        <v>#REF!</v>
      </c>
      <c r="BT53" s="27">
        <f t="shared" si="60"/>
        <v>15</v>
      </c>
      <c r="BU53" s="27">
        <f t="shared" ref="BU53:BU62" si="107">+BE53</f>
        <v>3192.7588706065553</v>
      </c>
      <c r="BV53" s="27">
        <f t="shared" ref="BV53:BV62" si="108">IF(H53="Bundled",BN53-BL53,AR53-BL53)</f>
        <v>-52108.616940901658</v>
      </c>
      <c r="BW53" s="27" t="e">
        <f>IF(H53="Bundled",+(BG53-#REF!)*Y53,(AP53+AQ53)-Y53*#REF!)</f>
        <v>#REF!</v>
      </c>
      <c r="BX53" s="27" t="e">
        <f t="shared" ref="BX53:BX62" si="109">+BV53+BW53</f>
        <v>#REF!</v>
      </c>
      <c r="BY53" s="27">
        <f t="shared" ref="BY53:BY62" si="110">+BV53/$BT53</f>
        <v>-3473.9077960601107</v>
      </c>
      <c r="BZ53" s="27" t="e">
        <f t="shared" ref="BZ53:BZ62" si="111">+BW53/$BT53</f>
        <v>#REF!</v>
      </c>
      <c r="CA53" s="27" t="e">
        <f t="shared" ref="CA53:CA62" si="112">+BX53/$BT53</f>
        <v>#REF!</v>
      </c>
    </row>
    <row r="54" spans="1:80" s="16" customFormat="1" x14ac:dyDescent="0.3">
      <c r="A54" s="199" t="s">
        <v>248</v>
      </c>
      <c r="B54" s="32" t="s">
        <v>432</v>
      </c>
      <c r="C54" s="279" t="s">
        <v>351</v>
      </c>
      <c r="D54" s="279" t="s">
        <v>405</v>
      </c>
      <c r="E54" s="279"/>
      <c r="F54" s="279"/>
      <c r="G54" s="33" t="s">
        <v>56</v>
      </c>
      <c r="H54" s="34" t="s">
        <v>57</v>
      </c>
      <c r="I54" s="33" t="s">
        <v>8</v>
      </c>
      <c r="J54" s="33" t="s">
        <v>61</v>
      </c>
      <c r="K54" s="31" t="str">
        <f t="shared" si="43"/>
        <v>No of Racks</v>
      </c>
      <c r="L54" s="33">
        <v>3</v>
      </c>
      <c r="M54" s="33">
        <v>3</v>
      </c>
      <c r="N54" s="35">
        <f t="shared" si="83"/>
        <v>0</v>
      </c>
      <c r="O54" s="33">
        <v>3</v>
      </c>
      <c r="P54" s="33"/>
      <c r="Q54" s="42">
        <f>(442500)/12</f>
        <v>36875</v>
      </c>
      <c r="R54" s="43" t="str">
        <f t="shared" si="56"/>
        <v>Subscribed</v>
      </c>
      <c r="S54" s="33" t="s">
        <v>58</v>
      </c>
      <c r="T54" s="34">
        <v>6</v>
      </c>
      <c r="U54" s="66">
        <f>Z54</f>
        <v>3.5534672619047618</v>
      </c>
      <c r="V54" s="46">
        <f t="shared" si="44"/>
        <v>2.4465327380952382</v>
      </c>
      <c r="W54" s="34"/>
      <c r="X54" s="34">
        <f t="shared" si="57"/>
        <v>2.4465327380952382</v>
      </c>
      <c r="Y54" s="34">
        <f t="shared" si="58"/>
        <v>6</v>
      </c>
      <c r="Z54" s="65">
        <f t="shared" si="86"/>
        <v>3.5534672619047618</v>
      </c>
      <c r="AA54" s="34">
        <f t="shared" si="87"/>
        <v>0</v>
      </c>
      <c r="AB54" s="47">
        <f>90000/12</f>
        <v>7500</v>
      </c>
      <c r="AC54" s="48" t="str">
        <f t="shared" si="84"/>
        <v>Metered</v>
      </c>
      <c r="AD54" s="34"/>
      <c r="AE54" s="34"/>
      <c r="AF54" s="49"/>
      <c r="AG54" s="34">
        <v>2387.9299999999998</v>
      </c>
      <c r="AH54" s="50"/>
      <c r="AI54" s="51" t="str">
        <f t="shared" ref="AI54:AI62" si="113">IF(AH54="No of Seats","No of Seats",(IF(AH54="Space","Sq Ft","")))</f>
        <v/>
      </c>
      <c r="AJ54" s="34"/>
      <c r="AK54" s="34"/>
      <c r="AL54" s="34">
        <f t="shared" si="88"/>
        <v>0</v>
      </c>
      <c r="AM54" s="34"/>
      <c r="AN54" s="34"/>
      <c r="AO54" s="42"/>
      <c r="AP54" s="52">
        <f t="shared" si="89"/>
        <v>110625</v>
      </c>
      <c r="AQ54" s="52">
        <f t="shared" si="90"/>
        <v>0</v>
      </c>
      <c r="AR54" s="53">
        <f t="shared" si="91"/>
        <v>0</v>
      </c>
      <c r="AS54" s="52">
        <f t="shared" si="92"/>
        <v>0</v>
      </c>
      <c r="AT54" s="54"/>
      <c r="AU54" s="55">
        <f t="shared" si="93"/>
        <v>110625</v>
      </c>
      <c r="AV54" s="55"/>
      <c r="AW54" s="67">
        <v>721003988</v>
      </c>
      <c r="AX54" s="57"/>
      <c r="AY54" s="58"/>
      <c r="AZ54" s="57"/>
      <c r="BA54" s="198"/>
      <c r="BC54" s="25">
        <f t="shared" si="94"/>
        <v>36875</v>
      </c>
      <c r="BD54" s="25">
        <f t="shared" si="95"/>
        <v>18437.5</v>
      </c>
      <c r="BE54" s="25">
        <f t="shared" si="96"/>
        <v>7639.8905712978158</v>
      </c>
      <c r="BF54" s="25">
        <f t="shared" si="97"/>
        <v>7639.8905712978158</v>
      </c>
      <c r="BG54" s="25">
        <f t="shared" si="98"/>
        <v>2927.6177874999994</v>
      </c>
      <c r="BH54" s="25"/>
      <c r="BI54" s="26">
        <f t="shared" si="99"/>
        <v>110625</v>
      </c>
      <c r="BJ54" s="26">
        <f t="shared" si="100"/>
        <v>110625</v>
      </c>
      <c r="BK54" s="26">
        <f>IF(H54="Bundled",MIN(Y54*$AG$1*(1+#REF!),BI54),AR54)</f>
        <v>0</v>
      </c>
      <c r="BL54" s="27">
        <f t="shared" si="101"/>
        <v>64785.656572213105</v>
      </c>
      <c r="BM54" s="27">
        <f t="shared" si="102"/>
        <v>64785.656572213105</v>
      </c>
      <c r="BN54" s="27">
        <f t="shared" si="59"/>
        <v>93059.293275000004</v>
      </c>
      <c r="BO54" s="27">
        <f t="shared" si="103"/>
        <v>45839.343427786895</v>
      </c>
      <c r="BP54" s="27" t="e">
        <f>+#REF!*Y54</f>
        <v>#REF!</v>
      </c>
      <c r="BQ54" s="27" t="e">
        <f t="shared" si="104"/>
        <v>#REF!</v>
      </c>
      <c r="BR54" s="27">
        <f t="shared" si="105"/>
        <v>-64785.656572213105</v>
      </c>
      <c r="BS54" s="27" t="e">
        <f t="shared" si="106"/>
        <v>#REF!</v>
      </c>
      <c r="BT54" s="27">
        <f t="shared" si="60"/>
        <v>6</v>
      </c>
      <c r="BU54" s="27">
        <f t="shared" si="107"/>
        <v>7639.8905712978158</v>
      </c>
      <c r="BV54" s="27">
        <f t="shared" si="108"/>
        <v>-64785.656572213105</v>
      </c>
      <c r="BW54" s="27" t="e">
        <f>IF(H54="Bundled",+(BG54-#REF!)*Y54,(AP54+AQ54)-Y54*#REF!)</f>
        <v>#REF!</v>
      </c>
      <c r="BX54" s="27" t="e">
        <f t="shared" si="109"/>
        <v>#REF!</v>
      </c>
      <c r="BY54" s="27">
        <f t="shared" si="110"/>
        <v>-10797.609428702184</v>
      </c>
      <c r="BZ54" s="27" t="e">
        <f t="shared" si="111"/>
        <v>#REF!</v>
      </c>
      <c r="CA54" s="27" t="e">
        <f t="shared" si="112"/>
        <v>#REF!</v>
      </c>
    </row>
    <row r="55" spans="1:80" s="16" customFormat="1" ht="26" x14ac:dyDescent="0.3">
      <c r="A55" s="199" t="s">
        <v>248</v>
      </c>
      <c r="B55" s="32" t="s">
        <v>206</v>
      </c>
      <c r="C55" s="132" t="s">
        <v>72</v>
      </c>
      <c r="D55" s="132" t="s">
        <v>406</v>
      </c>
      <c r="E55" s="132"/>
      <c r="F55" s="132"/>
      <c r="G55" s="33" t="s">
        <v>11</v>
      </c>
      <c r="H55" s="34" t="s">
        <v>52</v>
      </c>
      <c r="I55" s="33" t="s">
        <v>8</v>
      </c>
      <c r="J55" s="33" t="s">
        <v>61</v>
      </c>
      <c r="K55" s="31" t="str">
        <f t="shared" si="43"/>
        <v>No of Racks</v>
      </c>
      <c r="L55" s="33">
        <v>2</v>
      </c>
      <c r="M55" s="33">
        <v>2</v>
      </c>
      <c r="N55" s="35">
        <f t="shared" si="83"/>
        <v>0</v>
      </c>
      <c r="O55" s="33">
        <v>2</v>
      </c>
      <c r="P55" s="33"/>
      <c r="Q55" s="42">
        <f>(0)/12</f>
        <v>0</v>
      </c>
      <c r="R55" s="43" t="str">
        <f t="shared" si="56"/>
        <v>Rated</v>
      </c>
      <c r="S55" s="33" t="s">
        <v>54</v>
      </c>
      <c r="T55" s="34">
        <v>6</v>
      </c>
      <c r="U55" s="45">
        <v>17.52</v>
      </c>
      <c r="V55" s="46">
        <f t="shared" si="44"/>
        <v>-11.52</v>
      </c>
      <c r="W55" s="34"/>
      <c r="X55" s="34">
        <f t="shared" si="57"/>
        <v>0</v>
      </c>
      <c r="Y55" s="34">
        <f t="shared" si="58"/>
        <v>3</v>
      </c>
      <c r="Z55" s="65">
        <v>5.2</v>
      </c>
      <c r="AA55" s="34">
        <f t="shared" si="87"/>
        <v>11.52</v>
      </c>
      <c r="AB55" s="47">
        <v>0</v>
      </c>
      <c r="AC55" s="48" t="str">
        <f t="shared" si="84"/>
        <v>Bundled</v>
      </c>
      <c r="AD55" s="34"/>
      <c r="AE55" s="34"/>
      <c r="AF55" s="49"/>
      <c r="AG55" s="34"/>
      <c r="AH55" s="50"/>
      <c r="AI55" s="51" t="str">
        <f t="shared" si="113"/>
        <v/>
      </c>
      <c r="AJ55" s="34"/>
      <c r="AK55" s="34"/>
      <c r="AL55" s="34">
        <f t="shared" si="88"/>
        <v>0</v>
      </c>
      <c r="AM55" s="34"/>
      <c r="AN55" s="34"/>
      <c r="AO55" s="42"/>
      <c r="AP55" s="52">
        <f t="shared" si="89"/>
        <v>0</v>
      </c>
      <c r="AQ55" s="52">
        <f t="shared" si="90"/>
        <v>0</v>
      </c>
      <c r="AR55" s="53">
        <f t="shared" si="91"/>
        <v>0</v>
      </c>
      <c r="AS55" s="52">
        <f t="shared" si="92"/>
        <v>0</v>
      </c>
      <c r="AT55" s="54"/>
      <c r="AU55" s="55">
        <f t="shared" si="93"/>
        <v>0</v>
      </c>
      <c r="AV55" s="55"/>
      <c r="AW55" s="67" t="s">
        <v>5</v>
      </c>
      <c r="AX55" s="68"/>
      <c r="AY55" s="69"/>
      <c r="AZ55" s="68"/>
      <c r="BA55" s="89"/>
      <c r="BC55" s="25">
        <f t="shared" si="94"/>
        <v>0</v>
      </c>
      <c r="BD55" s="25">
        <f t="shared" si="95"/>
        <v>0</v>
      </c>
      <c r="BE55" s="25">
        <f t="shared" si="96"/>
        <v>-31627.9951</v>
      </c>
      <c r="BF55" s="25">
        <f t="shared" si="97"/>
        <v>-31627.9951</v>
      </c>
      <c r="BG55" s="25">
        <f t="shared" si="98"/>
        <v>-18246.920249999999</v>
      </c>
      <c r="BH55" s="25"/>
      <c r="BI55" s="26">
        <f t="shared" si="99"/>
        <v>0</v>
      </c>
      <c r="BJ55" s="26" t="e">
        <f t="shared" si="100"/>
        <v>#REF!</v>
      </c>
      <c r="BK55" s="26" t="e">
        <f>IF(H55="Bundled",MIN(Y55*$AG$1*(1+#REF!),BI55),AR55)</f>
        <v>#REF!</v>
      </c>
      <c r="BL55" s="27">
        <f t="shared" si="101"/>
        <v>94883.9853</v>
      </c>
      <c r="BM55" s="27">
        <f t="shared" si="102"/>
        <v>94883.9853</v>
      </c>
      <c r="BN55" s="27">
        <f t="shared" si="59"/>
        <v>54740.760750000001</v>
      </c>
      <c r="BO55" s="27">
        <f t="shared" si="103"/>
        <v>-94883.9853</v>
      </c>
      <c r="BP55" s="27" t="e">
        <f>+#REF!*Y55</f>
        <v>#REF!</v>
      </c>
      <c r="BQ55" s="27" t="e">
        <f t="shared" si="104"/>
        <v>#REF!</v>
      </c>
      <c r="BR55" s="27" t="e">
        <f t="shared" si="105"/>
        <v>#REF!</v>
      </c>
      <c r="BS55" s="27" t="e">
        <f t="shared" si="106"/>
        <v>#REF!</v>
      </c>
      <c r="BT55" s="27">
        <f t="shared" si="60"/>
        <v>3</v>
      </c>
      <c r="BU55" s="27">
        <f t="shared" si="107"/>
        <v>-31627.9951</v>
      </c>
      <c r="BV55" s="27">
        <f t="shared" si="108"/>
        <v>-40143.224549999999</v>
      </c>
      <c r="BW55" s="27" t="e">
        <f>IF(H55="Bundled",+(BG55-#REF!)*Y55,(AP55+AQ55)-Y55*#REF!)</f>
        <v>#REF!</v>
      </c>
      <c r="BX55" s="27" t="e">
        <f t="shared" si="109"/>
        <v>#REF!</v>
      </c>
      <c r="BY55" s="27">
        <f t="shared" si="110"/>
        <v>-13381.074849999999</v>
      </c>
      <c r="BZ55" s="27" t="e">
        <f t="shared" si="111"/>
        <v>#REF!</v>
      </c>
      <c r="CA55" s="27" t="e">
        <f t="shared" si="112"/>
        <v>#REF!</v>
      </c>
    </row>
    <row r="56" spans="1:80" s="16" customFormat="1" ht="26" x14ac:dyDescent="0.3">
      <c r="A56" s="199" t="s">
        <v>248</v>
      </c>
      <c r="B56" s="32" t="s">
        <v>207</v>
      </c>
      <c r="C56" s="132" t="s">
        <v>317</v>
      </c>
      <c r="D56" s="132" t="s">
        <v>405</v>
      </c>
      <c r="E56" s="132"/>
      <c r="F56" s="132"/>
      <c r="G56" s="33" t="s">
        <v>56</v>
      </c>
      <c r="H56" s="34" t="s">
        <v>57</v>
      </c>
      <c r="I56" s="33" t="s">
        <v>8</v>
      </c>
      <c r="J56" s="33" t="s">
        <v>61</v>
      </c>
      <c r="K56" s="31" t="str">
        <f t="shared" si="43"/>
        <v>No of Racks</v>
      </c>
      <c r="L56" s="33">
        <v>4</v>
      </c>
      <c r="M56" s="33">
        <v>4</v>
      </c>
      <c r="N56" s="35">
        <f t="shared" si="83"/>
        <v>0</v>
      </c>
      <c r="O56" s="33">
        <v>4</v>
      </c>
      <c r="P56" s="33"/>
      <c r="Q56" s="42">
        <f>(210000/12)</f>
        <v>17500</v>
      </c>
      <c r="R56" s="43" t="str">
        <f t="shared" si="56"/>
        <v>Subscribed</v>
      </c>
      <c r="S56" s="33" t="s">
        <v>58</v>
      </c>
      <c r="T56" s="34">
        <v>12</v>
      </c>
      <c r="U56" s="66">
        <f>Z56</f>
        <v>14.085684523809524</v>
      </c>
      <c r="V56" s="46">
        <f t="shared" si="44"/>
        <v>-2.0856845238095243</v>
      </c>
      <c r="W56" s="34"/>
      <c r="X56" s="34">
        <f t="shared" si="57"/>
        <v>0</v>
      </c>
      <c r="Y56" s="34">
        <f t="shared" si="58"/>
        <v>12</v>
      </c>
      <c r="Z56" s="65">
        <f>AG56/28/24</f>
        <v>14.085684523809524</v>
      </c>
      <c r="AA56" s="34">
        <f t="shared" si="87"/>
        <v>2.0856845238095243</v>
      </c>
      <c r="AB56" s="47">
        <v>0</v>
      </c>
      <c r="AC56" s="48" t="str">
        <f t="shared" si="84"/>
        <v>Metered</v>
      </c>
      <c r="AD56" s="34">
        <v>1</v>
      </c>
      <c r="AE56" s="34" t="s">
        <v>62</v>
      </c>
      <c r="AF56" s="49">
        <v>16.399999999999999</v>
      </c>
      <c r="AG56" s="34">
        <v>9465.58</v>
      </c>
      <c r="AH56" s="50"/>
      <c r="AI56" s="51" t="str">
        <f t="shared" si="113"/>
        <v/>
      </c>
      <c r="AJ56" s="34"/>
      <c r="AK56" s="34"/>
      <c r="AL56" s="34">
        <f t="shared" si="88"/>
        <v>0</v>
      </c>
      <c r="AM56" s="34"/>
      <c r="AN56" s="34"/>
      <c r="AO56" s="42"/>
      <c r="AP56" s="52">
        <f t="shared" si="89"/>
        <v>70000</v>
      </c>
      <c r="AQ56" s="52">
        <f t="shared" si="90"/>
        <v>0</v>
      </c>
      <c r="AR56" s="53">
        <f t="shared" si="91"/>
        <v>155235.51199999999</v>
      </c>
      <c r="AS56" s="52">
        <f t="shared" si="92"/>
        <v>0</v>
      </c>
      <c r="AT56" s="54">
        <f>(251000+34400)/12</f>
        <v>23783.333333333332</v>
      </c>
      <c r="AU56" s="55">
        <f t="shared" si="93"/>
        <v>249018.84533333333</v>
      </c>
      <c r="AV56" s="55"/>
      <c r="AW56" s="67" t="s">
        <v>111</v>
      </c>
      <c r="AX56" s="57"/>
      <c r="AY56" s="58"/>
      <c r="AZ56" s="57"/>
      <c r="BA56" s="198"/>
      <c r="BC56" s="25">
        <f t="shared" si="94"/>
        <v>62254.711333333333</v>
      </c>
      <c r="BD56" s="25">
        <f t="shared" si="95"/>
        <v>20751.570444444445</v>
      </c>
      <c r="BE56" s="25">
        <f t="shared" si="96"/>
        <v>-2630.8413202595643</v>
      </c>
      <c r="BF56" s="25">
        <f t="shared" si="97"/>
        <v>-2630.8413202595643</v>
      </c>
      <c r="BG56" s="25">
        <f t="shared" si="98"/>
        <v>527.53112083332962</v>
      </c>
      <c r="BH56" s="25"/>
      <c r="BI56" s="26">
        <f t="shared" si="99"/>
        <v>225235.51199999999</v>
      </c>
      <c r="BJ56" s="26">
        <f t="shared" si="100"/>
        <v>70000</v>
      </c>
      <c r="BK56" s="26">
        <f>IF(H56="Bundled",MIN(Y56*$AG$1*(1+#REF!),BI56),AR56)</f>
        <v>155235.51199999999</v>
      </c>
      <c r="BL56" s="27">
        <f t="shared" si="101"/>
        <v>256805.60784311476</v>
      </c>
      <c r="BM56" s="27">
        <f t="shared" si="102"/>
        <v>256805.60784311476</v>
      </c>
      <c r="BN56" s="27">
        <f t="shared" si="59"/>
        <v>186118.58655000001</v>
      </c>
      <c r="BO56" s="27">
        <f t="shared" si="103"/>
        <v>-31570.095843114774</v>
      </c>
      <c r="BP56" s="27" t="e">
        <f>+#REF!*Y56</f>
        <v>#REF!</v>
      </c>
      <c r="BQ56" s="27" t="e">
        <f t="shared" si="104"/>
        <v>#REF!</v>
      </c>
      <c r="BR56" s="27">
        <f t="shared" si="105"/>
        <v>-101570.09584311477</v>
      </c>
      <c r="BS56" s="27" t="e">
        <f t="shared" si="106"/>
        <v>#REF!</v>
      </c>
      <c r="BT56" s="27">
        <f t="shared" si="60"/>
        <v>12</v>
      </c>
      <c r="BU56" s="27">
        <f t="shared" si="107"/>
        <v>-2630.8413202595643</v>
      </c>
      <c r="BV56" s="27">
        <f t="shared" si="108"/>
        <v>-101570.09584311477</v>
      </c>
      <c r="BW56" s="27" t="e">
        <f>IF(H56="Bundled",+(BG56-#REF!)*Y56,(AP56+AQ56)-Y56*#REF!)</f>
        <v>#REF!</v>
      </c>
      <c r="BX56" s="27" t="e">
        <f t="shared" si="109"/>
        <v>#REF!</v>
      </c>
      <c r="BY56" s="27">
        <f t="shared" si="110"/>
        <v>-8464.1746535928978</v>
      </c>
      <c r="BZ56" s="27" t="e">
        <f t="shared" si="111"/>
        <v>#REF!</v>
      </c>
      <c r="CA56" s="27" t="e">
        <f t="shared" si="112"/>
        <v>#REF!</v>
      </c>
      <c r="CB56" s="16" t="s">
        <v>98</v>
      </c>
    </row>
    <row r="57" spans="1:80" s="16" customFormat="1" x14ac:dyDescent="0.3">
      <c r="A57" s="199" t="s">
        <v>248</v>
      </c>
      <c r="B57" s="32" t="s">
        <v>66</v>
      </c>
      <c r="C57" s="32" t="s">
        <v>321</v>
      </c>
      <c r="D57" s="32" t="s">
        <v>405</v>
      </c>
      <c r="E57" s="32"/>
      <c r="F57" s="32"/>
      <c r="G57" s="33" t="s">
        <v>56</v>
      </c>
      <c r="H57" s="34" t="s">
        <v>57</v>
      </c>
      <c r="I57" s="33" t="s">
        <v>3</v>
      </c>
      <c r="J57" s="33" t="s">
        <v>53</v>
      </c>
      <c r="K57" s="31" t="str">
        <f t="shared" si="43"/>
        <v>Sq Ft</v>
      </c>
      <c r="L57" s="33">
        <v>160</v>
      </c>
      <c r="M57" s="33">
        <v>160</v>
      </c>
      <c r="N57" s="35">
        <f t="shared" si="83"/>
        <v>0</v>
      </c>
      <c r="O57" s="33">
        <v>7</v>
      </c>
      <c r="P57" s="33"/>
      <c r="Q57" s="42">
        <f>(227557+281631)/12</f>
        <v>42432.333333333336</v>
      </c>
      <c r="R57" s="43" t="str">
        <f t="shared" si="56"/>
        <v>Subscribed</v>
      </c>
      <c r="S57" s="33" t="s">
        <v>58</v>
      </c>
      <c r="T57" s="34">
        <v>24.5</v>
      </c>
      <c r="U57" s="66">
        <f>Z57</f>
        <v>19.00357142857143</v>
      </c>
      <c r="V57" s="46">
        <f t="shared" si="44"/>
        <v>5.4964285714285701</v>
      </c>
      <c r="W57" s="34"/>
      <c r="X57" s="34">
        <f t="shared" si="57"/>
        <v>5.4964285714285701</v>
      </c>
      <c r="Y57" s="34">
        <f t="shared" si="58"/>
        <v>24.5</v>
      </c>
      <c r="Z57" s="65">
        <f>AG57/28/24</f>
        <v>19.00357142857143</v>
      </c>
      <c r="AA57" s="34">
        <f t="shared" si="87"/>
        <v>0</v>
      </c>
      <c r="AB57" s="47">
        <f>72000/12</f>
        <v>6000</v>
      </c>
      <c r="AC57" s="48" t="str">
        <f t="shared" si="84"/>
        <v>Metered</v>
      </c>
      <c r="AD57" s="34">
        <v>1</v>
      </c>
      <c r="AE57" s="34" t="s">
        <v>62</v>
      </c>
      <c r="AF57" s="49">
        <v>16.2</v>
      </c>
      <c r="AG57" s="34">
        <v>12770.4</v>
      </c>
      <c r="AH57" s="50"/>
      <c r="AI57" s="51" t="str">
        <f t="shared" si="113"/>
        <v/>
      </c>
      <c r="AJ57" s="34"/>
      <c r="AK57" s="34"/>
      <c r="AL57" s="34">
        <f t="shared" si="88"/>
        <v>0</v>
      </c>
      <c r="AM57" s="34"/>
      <c r="AN57" s="34"/>
      <c r="AO57" s="42"/>
      <c r="AP57" s="52">
        <f t="shared" si="89"/>
        <v>297026.33333333337</v>
      </c>
      <c r="AQ57" s="52">
        <f t="shared" si="90"/>
        <v>0</v>
      </c>
      <c r="AR57" s="53">
        <f t="shared" si="91"/>
        <v>206880.47999999998</v>
      </c>
      <c r="AS57" s="52">
        <f t="shared" si="92"/>
        <v>0</v>
      </c>
      <c r="AT57" s="54">
        <f>(4358+75000)/12</f>
        <v>6613.166666666667</v>
      </c>
      <c r="AU57" s="55">
        <f t="shared" si="93"/>
        <v>510519.98000000004</v>
      </c>
      <c r="AV57" s="55"/>
      <c r="AW57" s="62" t="s">
        <v>111</v>
      </c>
      <c r="AX57" s="63"/>
      <c r="AY57" s="64"/>
      <c r="AZ57" s="63"/>
      <c r="BA57" s="197"/>
      <c r="BC57" s="25">
        <f t="shared" si="94"/>
        <v>95722.496249999997</v>
      </c>
      <c r="BD57" s="25">
        <f t="shared" si="95"/>
        <v>20837.550204081635</v>
      </c>
      <c r="BE57" s="25">
        <f t="shared" si="96"/>
        <v>6426.1181565294974</v>
      </c>
      <c r="BF57" s="25">
        <f t="shared" si="97"/>
        <v>6426.1181565294974</v>
      </c>
      <c r="BG57" s="25">
        <f t="shared" si="98"/>
        <v>6693.281597023808</v>
      </c>
      <c r="BH57" s="25"/>
      <c r="BI57" s="26">
        <f t="shared" si="99"/>
        <v>503906.81333333335</v>
      </c>
      <c r="BJ57" s="26">
        <f t="shared" si="100"/>
        <v>297026.33333333337</v>
      </c>
      <c r="BK57" s="26">
        <f>IF(H57="Bundled",MIN(Y57*$AG$1*(1+#REF!),BI57),AR57)</f>
        <v>206880.47999999998</v>
      </c>
      <c r="BL57" s="27">
        <f t="shared" si="101"/>
        <v>346466.91849836067</v>
      </c>
      <c r="BM57" s="27">
        <f t="shared" si="102"/>
        <v>346466.91849836067</v>
      </c>
      <c r="BN57" s="27">
        <f t="shared" si="59"/>
        <v>379992.11420625</v>
      </c>
      <c r="BO57" s="27">
        <f t="shared" si="103"/>
        <v>157439.89483497269</v>
      </c>
      <c r="BP57" s="27" t="e">
        <f>+#REF!*Y57</f>
        <v>#REF!</v>
      </c>
      <c r="BQ57" s="27" t="e">
        <f t="shared" si="104"/>
        <v>#REF!</v>
      </c>
      <c r="BR57" s="27">
        <f t="shared" si="105"/>
        <v>-139586.43849836069</v>
      </c>
      <c r="BS57" s="27" t="e">
        <f t="shared" si="106"/>
        <v>#REF!</v>
      </c>
      <c r="BT57" s="27">
        <f t="shared" si="60"/>
        <v>24.5</v>
      </c>
      <c r="BU57" s="27">
        <f t="shared" si="107"/>
        <v>6426.1181565294974</v>
      </c>
      <c r="BV57" s="27">
        <f t="shared" si="108"/>
        <v>-139586.43849836069</v>
      </c>
      <c r="BW57" s="27" t="e">
        <f>IF(H57="Bundled",+(BG57-#REF!)*Y57,(AP57+AQ57)-Y57*#REF!)</f>
        <v>#REF!</v>
      </c>
      <c r="BX57" s="27" t="e">
        <f t="shared" si="109"/>
        <v>#REF!</v>
      </c>
      <c r="BY57" s="27">
        <f t="shared" si="110"/>
        <v>-5697.4056529943136</v>
      </c>
      <c r="BZ57" s="27" t="e">
        <f t="shared" si="111"/>
        <v>#REF!</v>
      </c>
      <c r="CA57" s="27" t="e">
        <f t="shared" si="112"/>
        <v>#REF!</v>
      </c>
      <c r="CB57" s="16" t="s">
        <v>102</v>
      </c>
    </row>
    <row r="58" spans="1:80" s="16" customFormat="1" x14ac:dyDescent="0.3">
      <c r="A58" s="199" t="s">
        <v>248</v>
      </c>
      <c r="B58" s="32" t="s">
        <v>66</v>
      </c>
      <c r="C58" s="132" t="s">
        <v>67</v>
      </c>
      <c r="D58" s="132" t="s">
        <v>405</v>
      </c>
      <c r="E58" s="132"/>
      <c r="F58" s="132"/>
      <c r="G58" s="33" t="s">
        <v>11</v>
      </c>
      <c r="H58" s="34" t="s">
        <v>52</v>
      </c>
      <c r="I58" s="33" t="s">
        <v>3</v>
      </c>
      <c r="J58" s="33" t="s">
        <v>53</v>
      </c>
      <c r="K58" s="31" t="s">
        <v>479</v>
      </c>
      <c r="L58" s="33">
        <v>224</v>
      </c>
      <c r="M58" s="33">
        <v>224</v>
      </c>
      <c r="N58" s="35">
        <f t="shared" si="83"/>
        <v>0</v>
      </c>
      <c r="O58" s="33">
        <v>0</v>
      </c>
      <c r="P58" s="33"/>
      <c r="Q58" s="42">
        <f>(0)/12</f>
        <v>0</v>
      </c>
      <c r="R58" s="43" t="str">
        <f t="shared" si="56"/>
        <v>Rated</v>
      </c>
      <c r="S58" s="33" t="s">
        <v>54</v>
      </c>
      <c r="T58" s="34">
        <v>24</v>
      </c>
      <c r="U58" s="45">
        <v>22.99</v>
      </c>
      <c r="V58" s="46">
        <f t="shared" si="44"/>
        <v>1.0100000000000016</v>
      </c>
      <c r="W58" s="34"/>
      <c r="X58" s="34">
        <f t="shared" si="57"/>
        <v>0.50500000000000078</v>
      </c>
      <c r="Y58" s="34">
        <f t="shared" si="58"/>
        <v>12</v>
      </c>
      <c r="Z58" s="65">
        <v>10.36</v>
      </c>
      <c r="AA58" s="34">
        <f t="shared" si="87"/>
        <v>0</v>
      </c>
      <c r="AB58" s="47">
        <v>0</v>
      </c>
      <c r="AC58" s="48" t="str">
        <f t="shared" si="84"/>
        <v>Bundled</v>
      </c>
      <c r="AD58" s="34"/>
      <c r="AE58" s="34"/>
      <c r="AF58" s="49"/>
      <c r="AG58" s="34"/>
      <c r="AH58" s="50"/>
      <c r="AI58" s="51" t="str">
        <f t="shared" si="113"/>
        <v/>
      </c>
      <c r="AJ58" s="34"/>
      <c r="AK58" s="34"/>
      <c r="AL58" s="34">
        <f t="shared" si="88"/>
        <v>0</v>
      </c>
      <c r="AM58" s="34"/>
      <c r="AN58" s="34"/>
      <c r="AO58" s="42"/>
      <c r="AP58" s="52">
        <f t="shared" si="89"/>
        <v>0</v>
      </c>
      <c r="AQ58" s="52">
        <f t="shared" si="90"/>
        <v>0</v>
      </c>
      <c r="AR58" s="53">
        <f t="shared" si="91"/>
        <v>0</v>
      </c>
      <c r="AS58" s="52">
        <f t="shared" si="92"/>
        <v>0</v>
      </c>
      <c r="AT58" s="54"/>
      <c r="AU58" s="55">
        <f t="shared" si="93"/>
        <v>0</v>
      </c>
      <c r="AV58" s="55"/>
      <c r="AW58" s="67" t="s">
        <v>5</v>
      </c>
      <c r="AX58" s="68"/>
      <c r="AY58" s="69"/>
      <c r="AZ58" s="68"/>
      <c r="BA58" s="89"/>
      <c r="BC58" s="25">
        <f t="shared" si="94"/>
        <v>0</v>
      </c>
      <c r="BD58" s="25">
        <f t="shared" si="95"/>
        <v>0</v>
      </c>
      <c r="BE58" s="25">
        <f t="shared" si="96"/>
        <v>-15753.174482499999</v>
      </c>
      <c r="BF58" s="25">
        <f t="shared" si="97"/>
        <v>-16521.0657096875</v>
      </c>
      <c r="BG58" s="25">
        <f t="shared" si="98"/>
        <v>-18246.920249999999</v>
      </c>
      <c r="BH58" s="25"/>
      <c r="BI58" s="26">
        <f t="shared" si="99"/>
        <v>0</v>
      </c>
      <c r="BJ58" s="26" t="e">
        <f t="shared" si="100"/>
        <v>#REF!</v>
      </c>
      <c r="BK58" s="26" t="e">
        <f>IF(H58="Bundled",MIN(Y58*$AG$1*(1+#REF!),BI58),AR58)</f>
        <v>#REF!</v>
      </c>
      <c r="BL58" s="27">
        <f t="shared" si="101"/>
        <v>189038.09378999998</v>
      </c>
      <c r="BM58" s="27">
        <f t="shared" si="102"/>
        <v>198252.78851625</v>
      </c>
      <c r="BN58" s="27">
        <f t="shared" si="59"/>
        <v>218963.04300000001</v>
      </c>
      <c r="BO58" s="27">
        <f t="shared" si="103"/>
        <v>-189038.09378999998</v>
      </c>
      <c r="BP58" s="27" t="e">
        <f>+#REF!*Y58</f>
        <v>#REF!</v>
      </c>
      <c r="BQ58" s="27" t="e">
        <f t="shared" si="104"/>
        <v>#REF!</v>
      </c>
      <c r="BR58" s="27" t="e">
        <f t="shared" si="105"/>
        <v>#REF!</v>
      </c>
      <c r="BS58" s="27" t="e">
        <f t="shared" si="106"/>
        <v>#REF!</v>
      </c>
      <c r="BT58" s="27">
        <f t="shared" si="60"/>
        <v>12</v>
      </c>
      <c r="BU58" s="27">
        <f t="shared" si="107"/>
        <v>-15753.174482499999</v>
      </c>
      <c r="BV58" s="27">
        <f t="shared" si="108"/>
        <v>29924.949210000021</v>
      </c>
      <c r="BW58" s="27" t="e">
        <f>IF(H58="Bundled",+(BG58-#REF!)*Y58,(AP58+AQ58)-Y58*#REF!)</f>
        <v>#REF!</v>
      </c>
      <c r="BX58" s="27" t="e">
        <f t="shared" si="109"/>
        <v>#REF!</v>
      </c>
      <c r="BY58" s="27">
        <f t="shared" si="110"/>
        <v>2493.7457675000019</v>
      </c>
      <c r="BZ58" s="27" t="e">
        <f t="shared" si="111"/>
        <v>#REF!</v>
      </c>
      <c r="CA58" s="27" t="e">
        <f t="shared" si="112"/>
        <v>#REF!</v>
      </c>
    </row>
    <row r="59" spans="1:80" s="16" customFormat="1" x14ac:dyDescent="0.3">
      <c r="A59" s="199" t="s">
        <v>248</v>
      </c>
      <c r="B59" s="32" t="s">
        <v>478</v>
      </c>
      <c r="C59" s="279" t="s">
        <v>352</v>
      </c>
      <c r="D59" s="279" t="s">
        <v>405</v>
      </c>
      <c r="E59" s="279"/>
      <c r="F59" s="279"/>
      <c r="G59" s="33" t="s">
        <v>11</v>
      </c>
      <c r="H59" s="34" t="s">
        <v>52</v>
      </c>
      <c r="I59" s="33" t="s">
        <v>3</v>
      </c>
      <c r="J59" s="33" t="s">
        <v>53</v>
      </c>
      <c r="K59" s="31" t="s">
        <v>479</v>
      </c>
      <c r="L59" s="141">
        <v>224</v>
      </c>
      <c r="M59" s="141">
        <v>224</v>
      </c>
      <c r="N59" s="35">
        <v>0</v>
      </c>
      <c r="O59" s="141">
        <v>8</v>
      </c>
      <c r="P59" s="33"/>
      <c r="Q59" s="42">
        <f>(5718251+249311)/8/12</f>
        <v>62162.104166666664</v>
      </c>
      <c r="R59" s="43" t="str">
        <f t="shared" si="56"/>
        <v>Rated</v>
      </c>
      <c r="S59" s="33" t="s">
        <v>54</v>
      </c>
      <c r="T59" s="34">
        <f>7.5*7</f>
        <v>52.5</v>
      </c>
      <c r="U59" s="45">
        <v>42.48</v>
      </c>
      <c r="V59" s="46">
        <f t="shared" si="44"/>
        <v>10.020000000000003</v>
      </c>
      <c r="W59" s="34"/>
      <c r="X59" s="34">
        <f t="shared" si="57"/>
        <v>5.0100000000000016</v>
      </c>
      <c r="Y59" s="34">
        <f t="shared" si="58"/>
        <v>26.25</v>
      </c>
      <c r="Z59" s="65">
        <v>18.11</v>
      </c>
      <c r="AA59" s="34">
        <f t="shared" si="87"/>
        <v>0</v>
      </c>
      <c r="AB59" s="47">
        <f>90000/12</f>
        <v>7500</v>
      </c>
      <c r="AC59" s="48" t="str">
        <f t="shared" si="84"/>
        <v>Bundled</v>
      </c>
      <c r="AD59" s="34"/>
      <c r="AE59" s="34"/>
      <c r="AF59" s="49"/>
      <c r="AG59" s="34"/>
      <c r="AH59" s="50"/>
      <c r="AI59" s="51" t="str">
        <f t="shared" si="113"/>
        <v/>
      </c>
      <c r="AJ59" s="34"/>
      <c r="AK59" s="34"/>
      <c r="AL59" s="34">
        <f t="shared" si="88"/>
        <v>0</v>
      </c>
      <c r="AM59" s="34"/>
      <c r="AN59" s="34"/>
      <c r="AO59" s="42">
        <f>15000/12</f>
        <v>1250</v>
      </c>
      <c r="AP59" s="52">
        <f t="shared" si="89"/>
        <v>497296.83333333331</v>
      </c>
      <c r="AQ59" s="52">
        <f t="shared" si="90"/>
        <v>0</v>
      </c>
      <c r="AR59" s="53">
        <f t="shared" si="91"/>
        <v>0</v>
      </c>
      <c r="AS59" s="52">
        <f t="shared" si="92"/>
        <v>0</v>
      </c>
      <c r="AT59" s="54"/>
      <c r="AU59" s="55">
        <f t="shared" si="93"/>
        <v>497296.83333333331</v>
      </c>
      <c r="AV59" s="55"/>
      <c r="AW59" s="67">
        <v>721002051</v>
      </c>
      <c r="AX59" s="68"/>
      <c r="AY59" s="69"/>
      <c r="AZ59" s="68"/>
      <c r="BA59" s="89"/>
      <c r="BC59" s="25">
        <f t="shared" si="94"/>
        <v>66602.25446428571</v>
      </c>
      <c r="BD59" s="25">
        <f t="shared" si="95"/>
        <v>18944.641269841268</v>
      </c>
      <c r="BE59" s="25">
        <f t="shared" si="96"/>
        <v>6356.0040992698414</v>
      </c>
      <c r="BF59" s="25">
        <f t="shared" si="97"/>
        <v>2873.4490344126975</v>
      </c>
      <c r="BG59" s="25">
        <f t="shared" si="98"/>
        <v>697.72101984126937</v>
      </c>
      <c r="BH59" s="25"/>
      <c r="BI59" s="26">
        <f t="shared" si="99"/>
        <v>497296.83333333331</v>
      </c>
      <c r="BJ59" s="26" t="e">
        <f t="shared" si="100"/>
        <v>#REF!</v>
      </c>
      <c r="BK59" s="26" t="e">
        <f>IF(H59="Bundled",MIN(Y59*$AG$1*(1+#REF!),BI59),AR59)</f>
        <v>#REF!</v>
      </c>
      <c r="BL59" s="27">
        <f t="shared" si="101"/>
        <v>330451.72572749999</v>
      </c>
      <c r="BM59" s="27">
        <f t="shared" si="102"/>
        <v>421868.79618</v>
      </c>
      <c r="BN59" s="27">
        <f t="shared" si="59"/>
        <v>478981.65656249999</v>
      </c>
      <c r="BO59" s="27">
        <f t="shared" si="103"/>
        <v>166845.10760583333</v>
      </c>
      <c r="BP59" s="27" t="e">
        <f>+#REF!*Y59</f>
        <v>#REF!</v>
      </c>
      <c r="BQ59" s="27" t="e">
        <f t="shared" si="104"/>
        <v>#REF!</v>
      </c>
      <c r="BR59" s="27" t="e">
        <f t="shared" si="105"/>
        <v>#REF!</v>
      </c>
      <c r="BS59" s="27" t="e">
        <f t="shared" si="106"/>
        <v>#REF!</v>
      </c>
      <c r="BT59" s="27">
        <f t="shared" si="60"/>
        <v>26.25</v>
      </c>
      <c r="BU59" s="27">
        <f t="shared" si="107"/>
        <v>6356.0040992698414</v>
      </c>
      <c r="BV59" s="27">
        <f t="shared" si="108"/>
        <v>148529.93083500001</v>
      </c>
      <c r="BW59" s="27" t="e">
        <f>IF(H59="Bundled",+(BG59-#REF!)*Y59,(AP59+AQ59)-Y59*#REF!)</f>
        <v>#REF!</v>
      </c>
      <c r="BX59" s="27" t="e">
        <f t="shared" si="109"/>
        <v>#REF!</v>
      </c>
      <c r="BY59" s="27">
        <f t="shared" si="110"/>
        <v>5658.2830794285719</v>
      </c>
      <c r="BZ59" s="27" t="e">
        <f t="shared" si="111"/>
        <v>#REF!</v>
      </c>
      <c r="CA59" s="27" t="e">
        <f t="shared" si="112"/>
        <v>#REF!</v>
      </c>
      <c r="CB59" s="16" t="s">
        <v>101</v>
      </c>
    </row>
    <row r="60" spans="1:80" s="16" customFormat="1" x14ac:dyDescent="0.3">
      <c r="A60" s="199" t="s">
        <v>248</v>
      </c>
      <c r="B60" s="32" t="s">
        <v>66</v>
      </c>
      <c r="C60" s="132" t="s">
        <v>325</v>
      </c>
      <c r="D60" s="132" t="s">
        <v>405</v>
      </c>
      <c r="E60" s="34">
        <v>5</v>
      </c>
      <c r="F60" s="34"/>
      <c r="G60" s="33" t="s">
        <v>56</v>
      </c>
      <c r="H60" s="34" t="s">
        <v>57</v>
      </c>
      <c r="I60" s="33" t="s">
        <v>3</v>
      </c>
      <c r="J60" s="33" t="s">
        <v>53</v>
      </c>
      <c r="K60" s="31" t="s">
        <v>479</v>
      </c>
      <c r="L60" s="141">
        <v>704</v>
      </c>
      <c r="M60" s="33">
        <v>704</v>
      </c>
      <c r="N60" s="35">
        <f t="shared" ref="N60:N71" si="114">L60-M60</f>
        <v>0</v>
      </c>
      <c r="O60" s="142">
        <v>34</v>
      </c>
      <c r="P60" s="33"/>
      <c r="Q60" s="137">
        <f>(5850000/32)/12</f>
        <v>15234.375</v>
      </c>
      <c r="R60" s="43" t="str">
        <f t="shared" si="56"/>
        <v>Subscribed</v>
      </c>
      <c r="S60" s="33" t="s">
        <v>58</v>
      </c>
      <c r="T60" s="34">
        <v>75</v>
      </c>
      <c r="U60" s="66">
        <f t="shared" ref="U60:U65" si="115">Z60</f>
        <v>67.006726190476186</v>
      </c>
      <c r="V60" s="46">
        <f t="shared" si="44"/>
        <v>7.9932738095238136</v>
      </c>
      <c r="W60" s="34"/>
      <c r="X60" s="34">
        <f t="shared" si="57"/>
        <v>7.9932738095238136</v>
      </c>
      <c r="Y60" s="34">
        <f t="shared" si="58"/>
        <v>75</v>
      </c>
      <c r="Z60" s="65">
        <f>AG60/28/24</f>
        <v>67.006726190476186</v>
      </c>
      <c r="AA60" s="34">
        <f t="shared" si="87"/>
        <v>0</v>
      </c>
      <c r="AB60" s="47">
        <f>65000/12</f>
        <v>5416.666666666667</v>
      </c>
      <c r="AC60" s="48" t="str">
        <f t="shared" si="84"/>
        <v>Metered</v>
      </c>
      <c r="AD60" s="34">
        <v>1</v>
      </c>
      <c r="AE60" s="34" t="s">
        <v>62</v>
      </c>
      <c r="AF60" s="49">
        <v>15</v>
      </c>
      <c r="AG60" s="34">
        <v>45028.52</v>
      </c>
      <c r="AH60" s="50" t="s">
        <v>55</v>
      </c>
      <c r="AI60" s="51" t="str">
        <f t="shared" si="113"/>
        <v>No of Seats</v>
      </c>
      <c r="AJ60" s="34">
        <v>5</v>
      </c>
      <c r="AK60" s="34">
        <v>5</v>
      </c>
      <c r="AL60" s="34">
        <f t="shared" si="88"/>
        <v>0</v>
      </c>
      <c r="AM60" s="34">
        <v>5</v>
      </c>
      <c r="AN60" s="34"/>
      <c r="AO60" s="42">
        <f>71000/12</f>
        <v>5916.666666666667</v>
      </c>
      <c r="AP60" s="52">
        <f t="shared" si="89"/>
        <v>517968.75</v>
      </c>
      <c r="AQ60" s="52">
        <f t="shared" si="90"/>
        <v>0</v>
      </c>
      <c r="AR60" s="53">
        <f t="shared" si="91"/>
        <v>675427.79999999993</v>
      </c>
      <c r="AS60" s="52">
        <f t="shared" si="92"/>
        <v>29583.333333333336</v>
      </c>
      <c r="AT60" s="54">
        <f>(64000+63415+30003)/12</f>
        <v>13118.166666666666</v>
      </c>
      <c r="AU60" s="55">
        <f t="shared" si="93"/>
        <v>1236098.0499999998</v>
      </c>
      <c r="AV60" s="55"/>
      <c r="AW60" s="67" t="s">
        <v>68</v>
      </c>
      <c r="AX60" s="68"/>
      <c r="AY60" s="69"/>
      <c r="AZ60" s="68"/>
      <c r="BA60" s="89"/>
      <c r="BC60" s="25">
        <f t="shared" si="94"/>
        <v>52674.632812499993</v>
      </c>
      <c r="BD60" s="25">
        <f t="shared" si="95"/>
        <v>16481.30733333333</v>
      </c>
      <c r="BE60" s="25">
        <f t="shared" si="96"/>
        <v>-376.64314020109362</v>
      </c>
      <c r="BF60" s="25">
        <f t="shared" si="97"/>
        <v>-376.64314020109362</v>
      </c>
      <c r="BG60" s="25">
        <f t="shared" si="98"/>
        <v>729.36778749999905</v>
      </c>
      <c r="BH60" s="25"/>
      <c r="BI60" s="26">
        <f t="shared" si="99"/>
        <v>1193396.5499999998</v>
      </c>
      <c r="BJ60" s="26">
        <f t="shared" si="100"/>
        <v>517968.74999999988</v>
      </c>
      <c r="BK60" s="26">
        <f>IF(H60="Bundled",MIN(Y60*$AG$1*(1+#REF!),BI60),AR60)</f>
        <v>675427.79999999993</v>
      </c>
      <c r="BL60" s="27">
        <f t="shared" si="101"/>
        <v>1221644.7855150818</v>
      </c>
      <c r="BM60" s="27">
        <f t="shared" si="102"/>
        <v>1221644.7855150818</v>
      </c>
      <c r="BN60" s="27">
        <f t="shared" si="59"/>
        <v>1163241.1659375001</v>
      </c>
      <c r="BO60" s="27">
        <f t="shared" si="103"/>
        <v>-28248.235515082022</v>
      </c>
      <c r="BP60" s="27" t="e">
        <f>+#REF!*Y60</f>
        <v>#REF!</v>
      </c>
      <c r="BQ60" s="27" t="e">
        <f t="shared" si="104"/>
        <v>#REF!</v>
      </c>
      <c r="BR60" s="27">
        <f t="shared" si="105"/>
        <v>-546216.98551508191</v>
      </c>
      <c r="BS60" s="27" t="e">
        <f t="shared" si="106"/>
        <v>#REF!</v>
      </c>
      <c r="BT60" s="27">
        <f t="shared" si="60"/>
        <v>75</v>
      </c>
      <c r="BU60" s="27">
        <f t="shared" si="107"/>
        <v>-376.64314020109362</v>
      </c>
      <c r="BV60" s="27">
        <f t="shared" si="108"/>
        <v>-546216.98551508191</v>
      </c>
      <c r="BW60" s="27" t="e">
        <f>IF(H60="Bundled",+(BG60-#REF!)*Y60,(AP60+AQ60)-Y60*#REF!)</f>
        <v>#REF!</v>
      </c>
      <c r="BX60" s="27" t="e">
        <f t="shared" si="109"/>
        <v>#REF!</v>
      </c>
      <c r="BY60" s="27">
        <f t="shared" si="110"/>
        <v>-7282.8931402010921</v>
      </c>
      <c r="BZ60" s="27" t="e">
        <f t="shared" si="111"/>
        <v>#REF!</v>
      </c>
      <c r="CA60" s="27" t="e">
        <f t="shared" si="112"/>
        <v>#REF!</v>
      </c>
    </row>
    <row r="61" spans="1:80" s="16" customFormat="1" x14ac:dyDescent="0.3">
      <c r="A61" s="199" t="s">
        <v>248</v>
      </c>
      <c r="B61" s="32" t="s">
        <v>478</v>
      </c>
      <c r="C61" s="143" t="s">
        <v>309</v>
      </c>
      <c r="D61" s="143" t="s">
        <v>405</v>
      </c>
      <c r="E61" s="143"/>
      <c r="F61" s="143"/>
      <c r="G61" s="33" t="s">
        <v>56</v>
      </c>
      <c r="H61" s="34" t="s">
        <v>57</v>
      </c>
      <c r="I61" s="33" t="s">
        <v>3</v>
      </c>
      <c r="J61" s="33" t="s">
        <v>53</v>
      </c>
      <c r="K61" s="31" t="s">
        <v>479</v>
      </c>
      <c r="L61" s="33">
        <v>288</v>
      </c>
      <c r="M61" s="33">
        <v>288</v>
      </c>
      <c r="N61" s="35">
        <f t="shared" si="114"/>
        <v>0</v>
      </c>
      <c r="O61" s="33">
        <v>288</v>
      </c>
      <c r="P61" s="33"/>
      <c r="Q61" s="137">
        <f>(164001+27333+21866)/6</f>
        <v>35533.333333333336</v>
      </c>
      <c r="R61" s="43" t="str">
        <f t="shared" si="56"/>
        <v>Subscribed</v>
      </c>
      <c r="S61" s="33" t="s">
        <v>58</v>
      </c>
      <c r="T61" s="34">
        <v>36</v>
      </c>
      <c r="U61" s="66">
        <f t="shared" si="115"/>
        <v>2.5998511904761901</v>
      </c>
      <c r="V61" s="46">
        <f t="shared" si="44"/>
        <v>33.400148809523813</v>
      </c>
      <c r="W61" s="34"/>
      <c r="X61" s="34">
        <f t="shared" si="57"/>
        <v>33.400148809523813</v>
      </c>
      <c r="Y61" s="34">
        <f t="shared" si="58"/>
        <v>36</v>
      </c>
      <c r="Z61" s="65">
        <f t="shared" ref="Z61:Z68" si="116">AG61/28/24</f>
        <v>2.5998511904761901</v>
      </c>
      <c r="AA61" s="34">
        <f t="shared" si="87"/>
        <v>0</v>
      </c>
      <c r="AB61" s="47">
        <v>0</v>
      </c>
      <c r="AC61" s="48" t="str">
        <f t="shared" si="84"/>
        <v>Metered</v>
      </c>
      <c r="AD61" s="34">
        <v>1.7</v>
      </c>
      <c r="AE61" s="34" t="s">
        <v>59</v>
      </c>
      <c r="AF61" s="49">
        <v>9.3000000000000007</v>
      </c>
      <c r="AG61" s="34">
        <v>1747.1</v>
      </c>
      <c r="AH61" s="50"/>
      <c r="AI61" s="51" t="str">
        <f t="shared" si="113"/>
        <v/>
      </c>
      <c r="AJ61" s="34"/>
      <c r="AK61" s="34"/>
      <c r="AL61" s="34">
        <f t="shared" si="88"/>
        <v>0</v>
      </c>
      <c r="AM61" s="34"/>
      <c r="AN61" s="34"/>
      <c r="AO61" s="42"/>
      <c r="AP61" s="52">
        <f t="shared" si="89"/>
        <v>10233600</v>
      </c>
      <c r="AQ61" s="52">
        <f t="shared" si="90"/>
        <v>0</v>
      </c>
      <c r="AR61" s="53">
        <f t="shared" si="91"/>
        <v>27621.651000000002</v>
      </c>
      <c r="AS61" s="52">
        <f t="shared" si="92"/>
        <v>0</v>
      </c>
      <c r="AT61" s="54">
        <v>20883</v>
      </c>
      <c r="AU61" s="55">
        <f t="shared" si="93"/>
        <v>10282104.651000001</v>
      </c>
      <c r="AV61" s="55"/>
      <c r="AW61" s="67" t="s">
        <v>69</v>
      </c>
      <c r="AX61" s="68"/>
      <c r="AY61" s="69"/>
      <c r="AZ61" s="68"/>
      <c r="BA61" s="89"/>
      <c r="BC61" s="25">
        <f t="shared" si="94"/>
        <v>1071052.5678125001</v>
      </c>
      <c r="BD61" s="25">
        <f t="shared" si="95"/>
        <v>285614.01808333333</v>
      </c>
      <c r="BE61" s="25">
        <f t="shared" si="96"/>
        <v>283717.27810366574</v>
      </c>
      <c r="BF61" s="25">
        <f t="shared" si="97"/>
        <v>283717.27810366574</v>
      </c>
      <c r="BG61" s="25">
        <f t="shared" si="98"/>
        <v>278593.76645416667</v>
      </c>
      <c r="BH61" s="25"/>
      <c r="BI61" s="26">
        <f t="shared" si="99"/>
        <v>10261221.651000001</v>
      </c>
      <c r="BJ61" s="26">
        <f t="shared" si="100"/>
        <v>10233600</v>
      </c>
      <c r="BK61" s="26">
        <f>IF(H61="Bundled",MIN(Y61*$AG$1*(1+#REF!),BI61),AR61)</f>
        <v>27621.651000000002</v>
      </c>
      <c r="BL61" s="27">
        <f t="shared" si="101"/>
        <v>47399.639268032784</v>
      </c>
      <c r="BM61" s="27">
        <f t="shared" si="102"/>
        <v>47399.639268032784</v>
      </c>
      <c r="BN61" s="27">
        <f t="shared" si="59"/>
        <v>558355.75964999991</v>
      </c>
      <c r="BO61" s="27">
        <f t="shared" si="103"/>
        <v>10213822.011731967</v>
      </c>
      <c r="BP61" s="27" t="e">
        <f>+#REF!*Y61</f>
        <v>#REF!</v>
      </c>
      <c r="BQ61" s="27" t="e">
        <f t="shared" si="104"/>
        <v>#REF!</v>
      </c>
      <c r="BR61" s="27">
        <f t="shared" si="105"/>
        <v>-19777.988268032783</v>
      </c>
      <c r="BS61" s="27" t="e">
        <f t="shared" si="106"/>
        <v>#REF!</v>
      </c>
      <c r="BT61" s="27">
        <f t="shared" si="60"/>
        <v>36</v>
      </c>
      <c r="BU61" s="27">
        <f t="shared" si="107"/>
        <v>283717.27810366574</v>
      </c>
      <c r="BV61" s="27">
        <f t="shared" si="108"/>
        <v>-19777.988268032783</v>
      </c>
      <c r="BW61" s="27" t="e">
        <f>IF(H61="Bundled",+(BG61-#REF!)*Y61,(AP61+AQ61)-Y61*#REF!)</f>
        <v>#REF!</v>
      </c>
      <c r="BX61" s="27" t="e">
        <f t="shared" si="109"/>
        <v>#REF!</v>
      </c>
      <c r="BY61" s="27">
        <f t="shared" si="110"/>
        <v>-549.38856300091061</v>
      </c>
      <c r="BZ61" s="27" t="e">
        <f t="shared" si="111"/>
        <v>#REF!</v>
      </c>
      <c r="CA61" s="27" t="e">
        <f t="shared" si="112"/>
        <v>#REF!</v>
      </c>
    </row>
    <row r="62" spans="1:80" s="16" customFormat="1" ht="26" x14ac:dyDescent="0.3">
      <c r="A62" s="285" t="s">
        <v>248</v>
      </c>
      <c r="B62" s="286" t="s">
        <v>66</v>
      </c>
      <c r="C62" s="410" t="s">
        <v>383</v>
      </c>
      <c r="D62" s="410" t="s">
        <v>405</v>
      </c>
      <c r="E62" s="410"/>
      <c r="F62" s="410"/>
      <c r="G62" s="287" t="s">
        <v>56</v>
      </c>
      <c r="H62" s="288" t="s">
        <v>57</v>
      </c>
      <c r="I62" s="287" t="s">
        <v>3</v>
      </c>
      <c r="J62" s="287" t="s">
        <v>53</v>
      </c>
      <c r="K62" s="31" t="str">
        <f>IF(I62="Rack","No of Racks",(IF(I62="Space","Sq Ft","U Space")))</f>
        <v>Sq Ft</v>
      </c>
      <c r="L62" s="287">
        <v>1085</v>
      </c>
      <c r="M62" s="287">
        <v>1085</v>
      </c>
      <c r="N62" s="290">
        <f t="shared" si="114"/>
        <v>0</v>
      </c>
      <c r="O62" s="287">
        <v>1085</v>
      </c>
      <c r="P62" s="287"/>
      <c r="Q62" s="291">
        <f>(1250000)/1085</f>
        <v>1152.073732718894</v>
      </c>
      <c r="R62" s="292" t="str">
        <f t="shared" si="56"/>
        <v>Subscribed</v>
      </c>
      <c r="S62" s="287" t="s">
        <v>58</v>
      </c>
      <c r="T62" s="288">
        <v>250</v>
      </c>
      <c r="U62" s="293">
        <f t="shared" si="115"/>
        <v>102.12547619047621</v>
      </c>
      <c r="V62" s="294">
        <f t="shared" si="44"/>
        <v>147.87452380952379</v>
      </c>
      <c r="W62" s="288"/>
      <c r="X62" s="288">
        <f t="shared" si="57"/>
        <v>147.87452380952379</v>
      </c>
      <c r="Y62" s="288">
        <f t="shared" si="58"/>
        <v>250</v>
      </c>
      <c r="Z62" s="65">
        <f t="shared" si="116"/>
        <v>102.12547619047621</v>
      </c>
      <c r="AA62" s="288">
        <f t="shared" si="87"/>
        <v>0</v>
      </c>
      <c r="AB62" s="296">
        <f>60000/12</f>
        <v>5000</v>
      </c>
      <c r="AC62" s="297" t="str">
        <f t="shared" si="84"/>
        <v>Metered</v>
      </c>
      <c r="AD62" s="288">
        <v>1.7</v>
      </c>
      <c r="AE62" s="288" t="s">
        <v>59</v>
      </c>
      <c r="AF62" s="298">
        <v>10.88</v>
      </c>
      <c r="AG62" s="34">
        <v>68628.320000000007</v>
      </c>
      <c r="AH62" s="299"/>
      <c r="AI62" s="300" t="str">
        <f t="shared" si="113"/>
        <v/>
      </c>
      <c r="AJ62" s="288"/>
      <c r="AK62" s="288"/>
      <c r="AL62" s="288">
        <f t="shared" si="88"/>
        <v>0</v>
      </c>
      <c r="AM62" s="288"/>
      <c r="AN62" s="288"/>
      <c r="AO62" s="291"/>
      <c r="AP62" s="301">
        <f t="shared" si="89"/>
        <v>1250000</v>
      </c>
      <c r="AQ62" s="301">
        <f t="shared" si="90"/>
        <v>0</v>
      </c>
      <c r="AR62" s="302">
        <f t="shared" si="91"/>
        <v>1269349.4067200003</v>
      </c>
      <c r="AS62" s="301">
        <f t="shared" si="92"/>
        <v>0</v>
      </c>
      <c r="AT62" s="303">
        <f>2500+1250+12500</f>
        <v>16250</v>
      </c>
      <c r="AU62" s="304">
        <f t="shared" si="93"/>
        <v>2535599.4067200003</v>
      </c>
      <c r="AV62" s="304"/>
      <c r="AW62" s="305" t="s">
        <v>106</v>
      </c>
      <c r="AX62" s="306"/>
      <c r="AY62" s="307"/>
      <c r="AZ62" s="306"/>
      <c r="BA62" s="308"/>
      <c r="BC62" s="309">
        <f t="shared" si="94"/>
        <v>70108.739356313381</v>
      </c>
      <c r="BD62" s="309">
        <f t="shared" si="95"/>
        <v>10142.397626880002</v>
      </c>
      <c r="BE62" s="309">
        <f t="shared" si="96"/>
        <v>2629.7240842754104</v>
      </c>
      <c r="BF62" s="309">
        <f t="shared" si="97"/>
        <v>2629.7240842754104</v>
      </c>
      <c r="BG62" s="309">
        <f t="shared" si="98"/>
        <v>998.3289874999989</v>
      </c>
      <c r="BH62" s="309"/>
      <c r="BI62" s="310">
        <f t="shared" si="99"/>
        <v>2519349.4067200003</v>
      </c>
      <c r="BJ62" s="310">
        <f t="shared" si="100"/>
        <v>1250000</v>
      </c>
      <c r="BK62" s="310">
        <f>IF(H62="Bundled",MIN(Y62*$AG$1*(1+#REF!),BI62),AR62)</f>
        <v>1269349.4067200003</v>
      </c>
      <c r="BL62" s="311">
        <f t="shared" si="101"/>
        <v>1861918.3856511477</v>
      </c>
      <c r="BM62" s="311">
        <f t="shared" si="102"/>
        <v>1861918.3856511477</v>
      </c>
      <c r="BN62" s="311">
        <f t="shared" si="59"/>
        <v>3877470.5531250001</v>
      </c>
      <c r="BO62" s="311">
        <f t="shared" si="103"/>
        <v>657431.02106885263</v>
      </c>
      <c r="BP62" s="311" t="e">
        <f>+#REF!*Y62</f>
        <v>#REF!</v>
      </c>
      <c r="BQ62" s="311" t="e">
        <f t="shared" si="104"/>
        <v>#REF!</v>
      </c>
      <c r="BR62" s="311">
        <f t="shared" si="105"/>
        <v>-592568.97893114737</v>
      </c>
      <c r="BS62" s="311" t="e">
        <f t="shared" si="106"/>
        <v>#REF!</v>
      </c>
      <c r="BT62" s="311">
        <f t="shared" si="60"/>
        <v>250</v>
      </c>
      <c r="BU62" s="311">
        <f t="shared" si="107"/>
        <v>2629.7240842754104</v>
      </c>
      <c r="BV62" s="311">
        <f t="shared" si="108"/>
        <v>-592568.97893114737</v>
      </c>
      <c r="BW62" s="311" t="e">
        <f>IF(H62="Bundled",+(BG62-#REF!)*Y62,(AP62+AQ62)-Y62*#REF!)</f>
        <v>#REF!</v>
      </c>
      <c r="BX62" s="311" t="e">
        <f t="shared" si="109"/>
        <v>#REF!</v>
      </c>
      <c r="BY62" s="311">
        <f t="shared" si="110"/>
        <v>-2370.2759157245896</v>
      </c>
      <c r="BZ62" s="311" t="e">
        <f t="shared" si="111"/>
        <v>#REF!</v>
      </c>
      <c r="CA62" s="311" t="e">
        <f t="shared" si="112"/>
        <v>#REF!</v>
      </c>
    </row>
    <row r="63" spans="1:80" s="376" customFormat="1" x14ac:dyDescent="0.3">
      <c r="A63" s="376" t="s">
        <v>248</v>
      </c>
      <c r="B63" s="370" t="s">
        <v>554</v>
      </c>
      <c r="C63" s="418" t="s">
        <v>317</v>
      </c>
      <c r="D63" s="379" t="s">
        <v>405</v>
      </c>
      <c r="G63" s="419" t="s">
        <v>56</v>
      </c>
      <c r="H63" s="420" t="s">
        <v>57</v>
      </c>
      <c r="I63" s="379" t="s">
        <v>8</v>
      </c>
      <c r="J63" s="376" t="s">
        <v>557</v>
      </c>
      <c r="K63" s="421" t="s">
        <v>119</v>
      </c>
      <c r="L63" s="379">
        <v>1</v>
      </c>
      <c r="M63" s="379">
        <v>1</v>
      </c>
      <c r="N63" s="35">
        <f t="shared" si="114"/>
        <v>0</v>
      </c>
      <c r="O63" s="379">
        <v>1</v>
      </c>
      <c r="P63" s="378"/>
      <c r="Q63" s="378"/>
      <c r="R63" s="378"/>
      <c r="S63" s="378" t="s">
        <v>58</v>
      </c>
      <c r="T63" s="380">
        <v>3</v>
      </c>
      <c r="U63" s="293">
        <f t="shared" si="115"/>
        <v>2.4092261904761902</v>
      </c>
      <c r="V63" s="377"/>
      <c r="Z63" s="65">
        <f t="shared" si="116"/>
        <v>2.4092261904761902</v>
      </c>
      <c r="AC63" s="297" t="str">
        <f t="shared" si="84"/>
        <v>Metered</v>
      </c>
      <c r="AG63" s="266">
        <v>1619</v>
      </c>
      <c r="AH63" s="408"/>
      <c r="AI63" s="408"/>
      <c r="AW63" s="409"/>
      <c r="AX63" s="409"/>
      <c r="AY63" s="409"/>
      <c r="AZ63" s="409"/>
      <c r="BL63" s="376">
        <f t="shared" si="101"/>
        <v>43924.226418032791</v>
      </c>
    </row>
    <row r="64" spans="1:80" s="376" customFormat="1" x14ac:dyDescent="0.3">
      <c r="A64" s="376" t="s">
        <v>248</v>
      </c>
      <c r="B64" s="370" t="s">
        <v>555</v>
      </c>
      <c r="C64" s="418" t="s">
        <v>556</v>
      </c>
      <c r="D64" s="379" t="s">
        <v>404</v>
      </c>
      <c r="G64" s="419" t="s">
        <v>56</v>
      </c>
      <c r="H64" s="420" t="s">
        <v>57</v>
      </c>
      <c r="I64" s="379" t="s">
        <v>8</v>
      </c>
      <c r="J64" s="376" t="s">
        <v>61</v>
      </c>
      <c r="K64" s="379" t="s">
        <v>119</v>
      </c>
      <c r="L64" s="379">
        <v>1</v>
      </c>
      <c r="M64" s="379">
        <v>1</v>
      </c>
      <c r="N64" s="35">
        <f t="shared" si="114"/>
        <v>0</v>
      </c>
      <c r="O64" s="379">
        <v>1</v>
      </c>
      <c r="P64" s="378"/>
      <c r="Q64" s="378"/>
      <c r="R64" s="378"/>
      <c r="S64" s="378" t="s">
        <v>58</v>
      </c>
      <c r="T64" s="380">
        <v>3</v>
      </c>
      <c r="U64" s="293">
        <f t="shared" si="115"/>
        <v>0.96279761904761907</v>
      </c>
      <c r="V64" s="377"/>
      <c r="Z64" s="65">
        <f t="shared" si="116"/>
        <v>0.96279761904761907</v>
      </c>
      <c r="AC64" s="297" t="str">
        <f t="shared" si="84"/>
        <v>Metered</v>
      </c>
      <c r="AG64" s="266">
        <v>647</v>
      </c>
      <c r="AH64" s="408"/>
      <c r="AI64" s="408"/>
      <c r="AW64" s="409"/>
      <c r="AX64" s="409"/>
      <c r="AY64" s="409"/>
      <c r="AZ64" s="409"/>
    </row>
    <row r="65" spans="1:79" s="376" customFormat="1" x14ac:dyDescent="0.3">
      <c r="A65" s="376" t="s">
        <v>248</v>
      </c>
      <c r="B65" s="370" t="s">
        <v>553</v>
      </c>
      <c r="C65" s="376" t="s">
        <v>546</v>
      </c>
      <c r="D65" s="379" t="s">
        <v>405</v>
      </c>
      <c r="G65" s="175" t="s">
        <v>56</v>
      </c>
      <c r="H65" s="369" t="s">
        <v>57</v>
      </c>
      <c r="I65" s="379" t="s">
        <v>8</v>
      </c>
      <c r="J65" s="376" t="s">
        <v>61</v>
      </c>
      <c r="K65" s="379" t="s">
        <v>119</v>
      </c>
      <c r="L65" s="379">
        <v>1</v>
      </c>
      <c r="M65" s="379">
        <v>1</v>
      </c>
      <c r="N65" s="35">
        <f t="shared" si="114"/>
        <v>0</v>
      </c>
      <c r="O65" s="379">
        <v>1</v>
      </c>
      <c r="P65" s="378"/>
      <c r="Q65" s="378"/>
      <c r="R65" s="378"/>
      <c r="S65" s="378" t="s">
        <v>58</v>
      </c>
      <c r="T65" s="380">
        <v>3</v>
      </c>
      <c r="U65" s="293">
        <f t="shared" si="115"/>
        <v>0.71325892857142847</v>
      </c>
      <c r="V65" s="377"/>
      <c r="Z65" s="65">
        <f t="shared" si="116"/>
        <v>0.71325892857142847</v>
      </c>
      <c r="AC65" s="48" t="str">
        <f t="shared" si="84"/>
        <v>Metered</v>
      </c>
      <c r="AG65" s="266">
        <v>479.31</v>
      </c>
      <c r="AH65" s="408"/>
      <c r="AI65" s="408"/>
      <c r="AW65" s="409"/>
      <c r="AX65" s="409"/>
      <c r="AY65" s="409"/>
      <c r="AZ65" s="409"/>
    </row>
    <row r="66" spans="1:79" s="16" customFormat="1" x14ac:dyDescent="0.3">
      <c r="A66" s="326" t="s">
        <v>248</v>
      </c>
      <c r="B66" s="32" t="s">
        <v>205</v>
      </c>
      <c r="C66" s="375" t="s">
        <v>107</v>
      </c>
      <c r="D66" s="375" t="s">
        <v>405</v>
      </c>
      <c r="E66" s="375"/>
      <c r="F66" s="375"/>
      <c r="G66" s="33" t="s">
        <v>56</v>
      </c>
      <c r="H66" s="34" t="s">
        <v>52</v>
      </c>
      <c r="I66" s="267" t="s">
        <v>8</v>
      </c>
      <c r="J66" s="267" t="s">
        <v>61</v>
      </c>
      <c r="K66" s="268" t="str">
        <f>IF(I66="Rack","No of Racks",(IF(I66="Space","Sq Ft","U Space")))</f>
        <v>No of Racks</v>
      </c>
      <c r="L66" s="267">
        <v>1</v>
      </c>
      <c r="M66" s="267">
        <v>1</v>
      </c>
      <c r="N66" s="387">
        <f t="shared" si="114"/>
        <v>0</v>
      </c>
      <c r="O66" s="267">
        <v>1</v>
      </c>
      <c r="P66" s="267"/>
      <c r="Q66" s="411">
        <f>188000/12</f>
        <v>15666.666666666666</v>
      </c>
      <c r="R66" s="389" t="str">
        <f>G66</f>
        <v>Subscribed</v>
      </c>
      <c r="S66" s="267" t="s">
        <v>58</v>
      </c>
      <c r="T66" s="266">
        <v>7.5</v>
      </c>
      <c r="U66" s="412">
        <v>7.23</v>
      </c>
      <c r="V66" s="391">
        <f t="shared" ref="V66:V71" si="117">T66-U66</f>
        <v>0.26999999999999957</v>
      </c>
      <c r="W66" s="266"/>
      <c r="X66" s="266">
        <f t="shared" ref="X66:X71" si="118">IF(V66&lt;=0,0,(IF(R66="Rated",(V66+W66)*$X$1,(V66+W66))))</f>
        <v>0.26999999999999957</v>
      </c>
      <c r="Y66" s="266">
        <f t="shared" ref="Y66:Y71" si="119">IF(R66="Rated",T66*$X$1,T66)</f>
        <v>7.5</v>
      </c>
      <c r="Z66" s="65">
        <f t="shared" si="116"/>
        <v>1.0627232142857144</v>
      </c>
      <c r="AA66" s="266">
        <f>IF((V66*-1)&gt;0, (V66*-1), 0)</f>
        <v>0</v>
      </c>
      <c r="AB66" s="392">
        <f>75000/12</f>
        <v>6250</v>
      </c>
      <c r="AC66" s="393" t="str">
        <f t="shared" si="84"/>
        <v>Bundled</v>
      </c>
      <c r="AD66" s="266">
        <v>1</v>
      </c>
      <c r="AE66" s="266" t="s">
        <v>62</v>
      </c>
      <c r="AF66" s="413">
        <v>17</v>
      </c>
      <c r="AG66" s="266">
        <v>714.15</v>
      </c>
      <c r="AH66" s="395"/>
      <c r="AI66" s="396" t="str">
        <f>IF(AH66="No of Seats","No of Seats",(IF(AH66="Space","Sq Ft","")))</f>
        <v/>
      </c>
      <c r="AJ66" s="266"/>
      <c r="AK66" s="266"/>
      <c r="AL66" s="266">
        <f>AJ66-AK66</f>
        <v>0</v>
      </c>
      <c r="AM66" s="266"/>
      <c r="AN66" s="266"/>
      <c r="AO66" s="388"/>
      <c r="AP66" s="397">
        <f>Q66*O66</f>
        <v>15666.666666666666</v>
      </c>
      <c r="AQ66" s="397">
        <f>AB66*AA66</f>
        <v>0</v>
      </c>
      <c r="AR66" s="398">
        <f>AG66*AF66*AD66</f>
        <v>12140.55</v>
      </c>
      <c r="AS66" s="397">
        <f>AO66*AM66</f>
        <v>0</v>
      </c>
      <c r="AT66" s="399">
        <f>(190000+75000)/12</f>
        <v>22083.333333333332</v>
      </c>
      <c r="AU66" s="400">
        <f>SUBTOTAL(9,AP66:AT66)</f>
        <v>49890.55</v>
      </c>
      <c r="AV66" s="400"/>
      <c r="AW66" s="414" t="s">
        <v>111</v>
      </c>
      <c r="AX66" s="415">
        <v>43831</v>
      </c>
      <c r="AY66" s="416">
        <v>1</v>
      </c>
      <c r="AZ66" s="415">
        <v>44196</v>
      </c>
      <c r="BA66" s="417"/>
      <c r="BB66" s="5"/>
      <c r="BC66" s="405">
        <f>IF(I66="Rack",AU66/L66,0)+IF(I66="U Space",AU66*40/L66,0)+IF(I66="Space",AU66*30/L66,0)</f>
        <v>49890.55</v>
      </c>
      <c r="BD66" s="405">
        <f>+AU66/Y66</f>
        <v>6652.0733333333337</v>
      </c>
      <c r="BE66" s="405">
        <f>+($AP66+$AQ66+$AR66-BL66)/$Y66</f>
        <v>1124.2658008561023</v>
      </c>
      <c r="BF66" s="405">
        <f>+($AP66+$AQ66+$AR66-BM66)/$Y66</f>
        <v>1124.2658008561023</v>
      </c>
      <c r="BG66" s="405">
        <f>+($AP66+$AQ66+IF(H66="Bundled",0,Y66*0.85*AD66*AF66*30.5*24)-BN66)/$Y66</f>
        <v>-16158.031361111109</v>
      </c>
      <c r="BH66" s="405"/>
      <c r="BI66" s="406">
        <f>+AP66+AQ66+AR66</f>
        <v>27807.216666666667</v>
      </c>
      <c r="BJ66" s="406" t="e">
        <f>+BI66-BK66</f>
        <v>#REF!</v>
      </c>
      <c r="BK66" s="406" t="e">
        <f>IF(H66="Bundled",MIN(Y66*$AG$1*(1+#REF!),BI66),AR66)</f>
        <v>#REF!</v>
      </c>
      <c r="BL66" s="407">
        <f>IF($AG66&gt;0,$AG66*$AD$1*$AF$1*(1+$AI$1*(20/$AF$1)/732),$AG$1*Z66)</f>
        <v>19375.2231602459</v>
      </c>
      <c r="BM66" s="407">
        <f>IF($AG66&gt;0,$AG66*$AD$1*$AF$1*(1+$AI$1*(20/$AF$1)/732),+$AG$1*(Z66+X66))</f>
        <v>19375.2231602459</v>
      </c>
      <c r="BN66" s="407">
        <f>IF(H66="Bundled",$AG$1*Y66,$AG$1*Y66*0.85)</f>
        <v>136851.90187499998</v>
      </c>
      <c r="BO66" s="407">
        <f>+BE66*Y66</f>
        <v>8431.9935064207675</v>
      </c>
      <c r="BP66" s="407" t="e">
        <f>+#REF!*Y66</f>
        <v>#REF!</v>
      </c>
      <c r="BQ66" s="407" t="e">
        <f>+BJ66-BP66</f>
        <v>#REF!</v>
      </c>
      <c r="BR66" s="407" t="e">
        <f>+BK66-BL66</f>
        <v>#REF!</v>
      </c>
      <c r="BS66" s="407" t="e">
        <f>+BQ66+BR66</f>
        <v>#REF!</v>
      </c>
      <c r="BT66" s="407">
        <f>+Y66</f>
        <v>7.5</v>
      </c>
      <c r="BU66" s="407">
        <f>+BE66</f>
        <v>1124.2658008561023</v>
      </c>
      <c r="BV66" s="407">
        <f>IF(H66="Bundled",BN66-BL66,AR66-BL66)</f>
        <v>117476.67871475409</v>
      </c>
      <c r="BW66" s="407" t="e">
        <f>IF(H66="Bundled",+(BG66-#REF!)*Y66,(AP66+AQ66)-Y66*#REF!)</f>
        <v>#REF!</v>
      </c>
      <c r="BX66" s="407" t="e">
        <f>+BV66+BW66</f>
        <v>#REF!</v>
      </c>
      <c r="BY66" s="407">
        <f>+BV66/$BT66</f>
        <v>15663.557161967212</v>
      </c>
      <c r="BZ66" s="407" t="e">
        <f>+BW66/$BT66</f>
        <v>#REF!</v>
      </c>
      <c r="CA66" s="407" t="e">
        <f>+BX66/$BT66</f>
        <v>#REF!</v>
      </c>
    </row>
    <row r="67" spans="1:79" s="16" customFormat="1" ht="26" x14ac:dyDescent="0.3">
      <c r="A67" s="199" t="s">
        <v>248</v>
      </c>
      <c r="B67" s="32" t="s">
        <v>443</v>
      </c>
      <c r="C67" s="32" t="s">
        <v>305</v>
      </c>
      <c r="D67" s="32" t="s">
        <v>405</v>
      </c>
      <c r="E67" s="32"/>
      <c r="F67" s="32"/>
      <c r="G67" s="33" t="s">
        <v>56</v>
      </c>
      <c r="H67" s="34" t="s">
        <v>57</v>
      </c>
      <c r="I67" s="33" t="s">
        <v>8</v>
      </c>
      <c r="J67" s="33" t="s">
        <v>61</v>
      </c>
      <c r="K67" s="31" t="str">
        <f>IF(I67="Rack","No of Racks",(IF(I67="Space","Sq Ft","U Space")))</f>
        <v>No of Racks</v>
      </c>
      <c r="L67" s="33">
        <v>4</v>
      </c>
      <c r="M67" s="33">
        <v>4</v>
      </c>
      <c r="N67" s="35">
        <f t="shared" si="114"/>
        <v>0</v>
      </c>
      <c r="O67" s="33">
        <v>4</v>
      </c>
      <c r="P67" s="33"/>
      <c r="Q67" s="133"/>
      <c r="R67" s="43" t="str">
        <f>G67</f>
        <v>Subscribed</v>
      </c>
      <c r="S67" s="33" t="s">
        <v>58</v>
      </c>
      <c r="T67" s="34">
        <v>20</v>
      </c>
      <c r="U67" s="65">
        <f>Z67</f>
        <v>11.776339285714286</v>
      </c>
      <c r="V67" s="46">
        <f t="shared" si="117"/>
        <v>8.2236607142857139</v>
      </c>
      <c r="W67" s="34"/>
      <c r="X67" s="34">
        <f t="shared" si="118"/>
        <v>8.2236607142857139</v>
      </c>
      <c r="Y67" s="34">
        <f t="shared" si="119"/>
        <v>20</v>
      </c>
      <c r="Z67" s="65">
        <f t="shared" si="116"/>
        <v>11.776339285714286</v>
      </c>
      <c r="AA67" s="34"/>
      <c r="AB67" s="47"/>
      <c r="AC67" s="48" t="s">
        <v>57</v>
      </c>
      <c r="AD67" s="34"/>
      <c r="AE67" s="34"/>
      <c r="AF67" s="49"/>
      <c r="AG67" s="34">
        <v>7913.7</v>
      </c>
      <c r="AH67" s="50"/>
      <c r="AI67" s="51"/>
      <c r="AJ67" s="34"/>
      <c r="AK67" s="34"/>
      <c r="AL67" s="34"/>
      <c r="AM67" s="34"/>
      <c r="AN67" s="34"/>
      <c r="AO67" s="42"/>
      <c r="AP67" s="52"/>
      <c r="AQ67" s="52"/>
      <c r="AR67" s="53"/>
      <c r="AS67" s="52"/>
      <c r="AT67" s="54"/>
      <c r="AU67" s="55"/>
      <c r="AV67" s="55"/>
      <c r="AW67" s="67"/>
      <c r="AX67" s="68"/>
      <c r="AY67" s="69"/>
      <c r="AZ67" s="68"/>
      <c r="BA67" s="89"/>
      <c r="BB67" s="5"/>
      <c r="BC67" s="59"/>
      <c r="BD67" s="59"/>
      <c r="BE67" s="59"/>
      <c r="BF67" s="59"/>
      <c r="BG67" s="59"/>
      <c r="BH67" s="59"/>
      <c r="BI67" s="60"/>
      <c r="BJ67" s="60"/>
      <c r="BK67" s="60"/>
      <c r="BL67" s="61">
        <f>IF($AG67&gt;0,$AG67*$AD$1*$AF$1*(1+$AI$1*(20/$AF$1)/732),$AG$1*Z67)</f>
        <v>214702.37838442621</v>
      </c>
      <c r="BM67" s="61">
        <f>IF($AG67&gt;0,$AG67*$AD$1*$AF$1*(1+$AI$1*(20/$AF$1)/732),+$AG$1*(Z67+X67))</f>
        <v>214702.37838442621</v>
      </c>
      <c r="BN67" s="61">
        <f>IF(H67="Bundled",$AG$1*Y67,$AG$1*Y67*0.85)</f>
        <v>310197.64424999995</v>
      </c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</row>
    <row r="68" spans="1:79" s="16" customFormat="1" x14ac:dyDescent="0.3">
      <c r="A68" s="199" t="s">
        <v>248</v>
      </c>
      <c r="B68" s="32" t="s">
        <v>565</v>
      </c>
      <c r="C68" s="32" t="s">
        <v>305</v>
      </c>
      <c r="D68" s="32" t="s">
        <v>405</v>
      </c>
      <c r="E68" s="32"/>
      <c r="F68" s="32"/>
      <c r="G68" s="33" t="s">
        <v>56</v>
      </c>
      <c r="H68" s="34" t="s">
        <v>57</v>
      </c>
      <c r="I68" s="33" t="s">
        <v>8</v>
      </c>
      <c r="J68" s="33" t="s">
        <v>61</v>
      </c>
      <c r="K68" s="31" t="s">
        <v>119</v>
      </c>
      <c r="L68" s="33">
        <v>3</v>
      </c>
      <c r="M68" s="33">
        <v>0</v>
      </c>
      <c r="N68" s="35">
        <f t="shared" si="114"/>
        <v>3</v>
      </c>
      <c r="O68" s="33">
        <v>0</v>
      </c>
      <c r="P68" s="33"/>
      <c r="Q68" s="133"/>
      <c r="R68" s="43" t="s">
        <v>56</v>
      </c>
      <c r="S68" s="33" t="s">
        <v>58</v>
      </c>
      <c r="T68" s="34">
        <v>15</v>
      </c>
      <c r="U68" s="65">
        <f>Z68</f>
        <v>3.0089285714285712</v>
      </c>
      <c r="V68" s="46">
        <f t="shared" si="117"/>
        <v>11.991071428571429</v>
      </c>
      <c r="W68" s="34"/>
      <c r="X68" s="34">
        <f t="shared" si="118"/>
        <v>11.991071428571429</v>
      </c>
      <c r="Y68" s="34">
        <f t="shared" si="119"/>
        <v>15</v>
      </c>
      <c r="Z68" s="65">
        <f t="shared" si="116"/>
        <v>3.0089285714285712</v>
      </c>
      <c r="AA68" s="34"/>
      <c r="AB68" s="47"/>
      <c r="AC68" s="48" t="s">
        <v>57</v>
      </c>
      <c r="AD68" s="34"/>
      <c r="AE68" s="34"/>
      <c r="AF68" s="49"/>
      <c r="AG68" s="34">
        <v>2022</v>
      </c>
      <c r="AH68" s="50"/>
      <c r="AI68" s="51"/>
      <c r="AJ68" s="34"/>
      <c r="AK68" s="34"/>
      <c r="AL68" s="34"/>
      <c r="AM68" s="34"/>
      <c r="AN68" s="34"/>
      <c r="AO68" s="42"/>
      <c r="AP68" s="52"/>
      <c r="AQ68" s="52"/>
      <c r="AR68" s="53"/>
      <c r="AS68" s="52"/>
      <c r="AT68" s="54"/>
      <c r="AU68" s="55"/>
      <c r="AV68" s="55"/>
      <c r="AW68" s="67"/>
      <c r="AX68" s="68"/>
      <c r="AY68" s="69"/>
      <c r="AZ68" s="68"/>
      <c r="BA68" s="89"/>
      <c r="BB68" s="5"/>
      <c r="BC68" s="59"/>
      <c r="BD68" s="59"/>
      <c r="BE68" s="59"/>
      <c r="BF68" s="59"/>
      <c r="BG68" s="59"/>
      <c r="BH68" s="59"/>
      <c r="BI68" s="60"/>
      <c r="BJ68" s="60"/>
      <c r="BK68" s="60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</row>
    <row r="69" spans="1:79" s="16" customFormat="1" x14ac:dyDescent="0.3">
      <c r="A69" s="199" t="s">
        <v>248</v>
      </c>
      <c r="B69" s="32" t="s">
        <v>543</v>
      </c>
      <c r="C69" s="32" t="s">
        <v>544</v>
      </c>
      <c r="D69" s="32" t="s">
        <v>405</v>
      </c>
      <c r="E69" s="32"/>
      <c r="F69" s="32"/>
      <c r="G69" s="33" t="s">
        <v>56</v>
      </c>
      <c r="H69" s="34" t="s">
        <v>57</v>
      </c>
      <c r="I69" s="33" t="s">
        <v>8</v>
      </c>
      <c r="J69" s="33" t="s">
        <v>61</v>
      </c>
      <c r="K69" s="31" t="str">
        <f>IF(I69="Rack","No of Racks",(IF(I69="Space","Sq Ft","U Space")))</f>
        <v>No of Racks</v>
      </c>
      <c r="L69" s="33">
        <v>1</v>
      </c>
      <c r="M69" s="33">
        <v>1</v>
      </c>
      <c r="N69" s="35">
        <f t="shared" si="114"/>
        <v>0</v>
      </c>
      <c r="O69" s="33">
        <v>1</v>
      </c>
      <c r="P69" s="33"/>
      <c r="Q69" s="133"/>
      <c r="R69" s="43" t="str">
        <f>G69</f>
        <v>Subscribed</v>
      </c>
      <c r="S69" s="33" t="s">
        <v>58</v>
      </c>
      <c r="T69" s="34">
        <v>3</v>
      </c>
      <c r="U69" s="65">
        <f>Z69</f>
        <v>0.20833333333333334</v>
      </c>
      <c r="V69" s="46">
        <f t="shared" si="117"/>
        <v>2.7916666666666665</v>
      </c>
      <c r="W69" s="34"/>
      <c r="X69" s="34">
        <f t="shared" si="118"/>
        <v>2.7916666666666665</v>
      </c>
      <c r="Y69" s="34">
        <f t="shared" si="119"/>
        <v>3</v>
      </c>
      <c r="Z69" s="65">
        <f>AG69/28/24</f>
        <v>0.20833333333333334</v>
      </c>
      <c r="AA69" s="34">
        <f>IF((V69*-1)&gt;0, (V69*-1), 0)</f>
        <v>0</v>
      </c>
      <c r="AB69" s="47"/>
      <c r="AC69" s="48" t="str">
        <f t="shared" si="84"/>
        <v>Metered</v>
      </c>
      <c r="AD69" s="34">
        <v>1</v>
      </c>
      <c r="AE69" s="34" t="s">
        <v>62</v>
      </c>
      <c r="AF69" s="49"/>
      <c r="AG69" s="34">
        <v>140</v>
      </c>
      <c r="AH69" s="50"/>
      <c r="AI69" s="51" t="str">
        <f>IF(AH69="No of Seats","No of Seats",(IF(AH69="Space","Sq Ft","")))</f>
        <v/>
      </c>
      <c r="AJ69" s="34"/>
      <c r="AK69" s="34"/>
      <c r="AL69" s="34">
        <f>AJ69-AK69</f>
        <v>0</v>
      </c>
      <c r="AM69" s="34"/>
      <c r="AN69" s="34"/>
      <c r="AO69" s="42"/>
      <c r="AP69" s="52"/>
      <c r="AQ69" s="52">
        <f>AB69*AA69</f>
        <v>0</v>
      </c>
      <c r="AR69" s="53">
        <f>AG69*AF69*AD69</f>
        <v>0</v>
      </c>
      <c r="AS69" s="52">
        <f>AO69*AM69</f>
        <v>0</v>
      </c>
      <c r="AT69" s="54"/>
      <c r="AU69" s="55">
        <f>SUBTOTAL(9,AP69:AT69)</f>
        <v>0</v>
      </c>
      <c r="AV69" s="55"/>
      <c r="AW69" s="67"/>
      <c r="AX69" s="68"/>
      <c r="AY69" s="69"/>
      <c r="AZ69" s="68"/>
      <c r="BA69" s="89"/>
      <c r="BB69" s="5"/>
      <c r="BC69" s="29">
        <f>IF(I69="Rack",AU69/L69,0)+IF(I69="U Space",AU69*40/L69,0)+IF(I69="Space",AU69*30/L69,0)</f>
        <v>0</v>
      </c>
      <c r="BD69" s="29">
        <f>+AU69/Y69</f>
        <v>0</v>
      </c>
      <c r="BE69" s="25">
        <f>+($AP69+$AQ69+$AR69-BL69)/$Y69</f>
        <v>-1266.0884699453552</v>
      </c>
      <c r="BF69" s="25"/>
      <c r="BG69" s="25"/>
      <c r="BH69" s="29"/>
      <c r="BI69" s="26">
        <f>+AP69+AQ69+AR69</f>
        <v>0</v>
      </c>
      <c r="BJ69" s="26">
        <f>+BI69-BK69</f>
        <v>0</v>
      </c>
      <c r="BK69" s="26">
        <f>IF(H69="Bundled",MIN(Y69*$AG$1*(1+#REF!),BI69),AR69)</f>
        <v>0</v>
      </c>
      <c r="BL69" s="27">
        <f>IF($AG69&gt;0,$AG69*$AD$1*$AF$1*(1+$AI$1*(20/$AF$1)/732),$AG$1*Z69)</f>
        <v>3798.2654098360654</v>
      </c>
      <c r="BM69" s="27"/>
      <c r="BN69" s="27"/>
      <c r="BO69" s="27">
        <f>+BE69*Y69</f>
        <v>-3798.2654098360654</v>
      </c>
      <c r="BP69" s="27" t="e">
        <f>+#REF!*Y69</f>
        <v>#REF!</v>
      </c>
      <c r="BQ69" s="27" t="e">
        <f>+BJ69-BP69</f>
        <v>#REF!</v>
      </c>
      <c r="BR69" s="27">
        <f>+BK69-BL69</f>
        <v>-3798.2654098360654</v>
      </c>
      <c r="BS69" s="27" t="e">
        <f>+BQ69+BR69</f>
        <v>#REF!</v>
      </c>
      <c r="BT69" s="27">
        <f>+Y69</f>
        <v>3</v>
      </c>
      <c r="BU69" s="27">
        <f>+BE69</f>
        <v>-1266.0884699453552</v>
      </c>
      <c r="BV69" s="27">
        <f>IF(H69="Bundled",BN69-BL69,AR69-BL69)</f>
        <v>-3798.2654098360654</v>
      </c>
      <c r="BW69" s="27" t="e">
        <f>IF(H69="Bundled",+(BG69-#REF!)*Y69,(AP69+AQ69)-Y69*#REF!)</f>
        <v>#REF!</v>
      </c>
      <c r="BX69" s="27" t="e">
        <f>+BV69+BW69</f>
        <v>#REF!</v>
      </c>
      <c r="BY69" s="27">
        <f t="shared" ref="BY69:CA71" si="120">+BV69/$BT69</f>
        <v>-1266.0884699453552</v>
      </c>
      <c r="BZ69" s="27" t="e">
        <f t="shared" si="120"/>
        <v>#REF!</v>
      </c>
      <c r="CA69" s="27" t="e">
        <f t="shared" si="120"/>
        <v>#REF!</v>
      </c>
    </row>
    <row r="70" spans="1:79" s="16" customFormat="1" x14ac:dyDescent="0.3">
      <c r="A70" s="199" t="s">
        <v>248</v>
      </c>
      <c r="B70" s="32" t="s">
        <v>414</v>
      </c>
      <c r="C70" s="279" t="s">
        <v>353</v>
      </c>
      <c r="D70" s="279" t="s">
        <v>404</v>
      </c>
      <c r="E70" s="279"/>
      <c r="F70" s="279"/>
      <c r="G70" s="33" t="s">
        <v>11</v>
      </c>
      <c r="H70" s="34" t="s">
        <v>52</v>
      </c>
      <c r="I70" s="33" t="s">
        <v>8</v>
      </c>
      <c r="J70" s="33" t="s">
        <v>61</v>
      </c>
      <c r="K70" s="31" t="str">
        <f>IF(I70="Rack","No of Racks",(IF(I70="Space","Sq Ft","U Space")))</f>
        <v>No of Racks</v>
      </c>
      <c r="L70" s="33">
        <v>2</v>
      </c>
      <c r="M70" s="33">
        <v>2</v>
      </c>
      <c r="N70" s="35">
        <f t="shared" si="114"/>
        <v>0</v>
      </c>
      <c r="O70" s="33">
        <v>2</v>
      </c>
      <c r="P70" s="33"/>
      <c r="Q70" s="133">
        <f>600000/12</f>
        <v>50000</v>
      </c>
      <c r="R70" s="43" t="str">
        <f>G70</f>
        <v>Rated</v>
      </c>
      <c r="S70" s="33" t="s">
        <v>54</v>
      </c>
      <c r="T70" s="34">
        <v>6</v>
      </c>
      <c r="U70" s="45">
        <v>4.68</v>
      </c>
      <c r="V70" s="46">
        <f t="shared" si="117"/>
        <v>1.3200000000000003</v>
      </c>
      <c r="W70" s="34"/>
      <c r="X70" s="34">
        <f t="shared" si="118"/>
        <v>0.66000000000000014</v>
      </c>
      <c r="Y70" s="34">
        <f t="shared" si="119"/>
        <v>3</v>
      </c>
      <c r="Z70" s="65">
        <v>2.65</v>
      </c>
      <c r="AA70" s="34">
        <f>IF((V70*-1)&gt;0, (V70*-1), 0)</f>
        <v>0</v>
      </c>
      <c r="AB70" s="47">
        <f>98000/12</f>
        <v>8166.666666666667</v>
      </c>
      <c r="AC70" s="48" t="str">
        <f t="shared" si="84"/>
        <v>Bundled</v>
      </c>
      <c r="AD70" s="34"/>
      <c r="AE70" s="34"/>
      <c r="AF70" s="49"/>
      <c r="AG70" s="34"/>
      <c r="AH70" s="50"/>
      <c r="AI70" s="51" t="str">
        <f>IF(AH70="No of Seats","No of Seats",(IF(AH70="Space","Sq Ft","")))</f>
        <v/>
      </c>
      <c r="AJ70" s="34"/>
      <c r="AK70" s="34"/>
      <c r="AL70" s="34">
        <f>AJ70-AK70</f>
        <v>0</v>
      </c>
      <c r="AM70" s="34"/>
      <c r="AN70" s="34"/>
      <c r="AO70" s="42"/>
      <c r="AP70" s="52">
        <f>Q70*O70</f>
        <v>100000</v>
      </c>
      <c r="AQ70" s="52">
        <f>AB70*AA70</f>
        <v>0</v>
      </c>
      <c r="AR70" s="53">
        <f>AG70*AF70*AD70</f>
        <v>0</v>
      </c>
      <c r="AS70" s="52">
        <f>AO70*AM70</f>
        <v>0</v>
      </c>
      <c r="AT70" s="54">
        <f>(120000)/12</f>
        <v>10000</v>
      </c>
      <c r="AU70" s="55">
        <f>SUBTOTAL(9,AP70:AT70)</f>
        <v>110000</v>
      </c>
      <c r="AV70" s="55"/>
      <c r="AW70" s="67">
        <v>721005561</v>
      </c>
      <c r="AX70" s="68"/>
      <c r="AY70" s="69"/>
      <c r="AZ70" s="68"/>
      <c r="BA70" s="89"/>
      <c r="BB70" s="5"/>
      <c r="BC70" s="59">
        <f>IF(I70="Rack",AU70/L70,0)+IF(I70="U Space",AU70*40/L70,0)+IF(I70="Space",AU70*30/L70,0)</f>
        <v>55000</v>
      </c>
      <c r="BD70" s="59">
        <f>+AU70/Y70</f>
        <v>36666.666666666664</v>
      </c>
      <c r="BE70" s="59">
        <f>+($AP70+$AQ70+$AR70-BL70)/$Y70</f>
        <v>17215.220445833333</v>
      </c>
      <c r="BF70" s="59">
        <f>+($AP70+$AQ70+$AR70-BM70)/$Y70</f>
        <v>13200.897990833335</v>
      </c>
      <c r="BG70" s="59">
        <f>+($AP70+$AQ70+IF(H70="Bundled",0,Y70*0.85*AD70*AF70*30.5*24)-BN70)/$Y70</f>
        <v>15086.413083333333</v>
      </c>
      <c r="BH70" s="59"/>
      <c r="BI70" s="60">
        <f>+AP70+AQ70+AR70</f>
        <v>100000</v>
      </c>
      <c r="BJ70" s="60" t="e">
        <f>+BI70-BK70</f>
        <v>#REF!</v>
      </c>
      <c r="BK70" s="60" t="e">
        <f>IF(H70="Bundled",MIN(Y70*$AG$1*(1+#REF!),BI70),AR70)</f>
        <v>#REF!</v>
      </c>
      <c r="BL70" s="61">
        <f>IF($AG70&gt;0,$AG70*$AD$1*$AF$1*(1+$AI$1*(20/$AF$1)/732),$AG$1*Z70)</f>
        <v>48354.338662499998</v>
      </c>
      <c r="BM70" s="61">
        <f>IF($AG70&gt;0,$AG70*$AD$1*$AF$1*(1+$AI$1*(20/$AF$1)/732),+$AG$1*(Z70+X70))</f>
        <v>60397.306027499995</v>
      </c>
      <c r="BN70" s="61">
        <f>IF(H70="Bundled",$AG$1*Y70,$AG$1*Y70*0.85)</f>
        <v>54740.760750000001</v>
      </c>
      <c r="BO70" s="61">
        <f>+BE70*Y70</f>
        <v>51645.661337500002</v>
      </c>
      <c r="BP70" s="61" t="e">
        <f>+#REF!*Y70</f>
        <v>#REF!</v>
      </c>
      <c r="BQ70" s="61" t="e">
        <f>+BJ70-BP70</f>
        <v>#REF!</v>
      </c>
      <c r="BR70" s="61" t="e">
        <f>+BK70-BL70</f>
        <v>#REF!</v>
      </c>
      <c r="BS70" s="61" t="e">
        <f>+BQ70+BR70</f>
        <v>#REF!</v>
      </c>
      <c r="BT70" s="61">
        <f>+Y70</f>
        <v>3</v>
      </c>
      <c r="BU70" s="61">
        <f>+BE70</f>
        <v>17215.220445833333</v>
      </c>
      <c r="BV70" s="61">
        <f>IF(H70="Bundled",BN70-BL70,AR70-BL70)</f>
        <v>6386.4220875000028</v>
      </c>
      <c r="BW70" s="61" t="e">
        <f>IF(H70="Bundled",+(BG70-#REF!)*Y70,(AP70+AQ70)-Y70*#REF!)</f>
        <v>#REF!</v>
      </c>
      <c r="BX70" s="61" t="e">
        <f>+BV70+BW70</f>
        <v>#REF!</v>
      </c>
      <c r="BY70" s="61">
        <f t="shared" si="120"/>
        <v>2128.8073625000011</v>
      </c>
      <c r="BZ70" s="61" t="e">
        <f t="shared" si="120"/>
        <v>#REF!</v>
      </c>
      <c r="CA70" s="61" t="e">
        <f t="shared" si="120"/>
        <v>#REF!</v>
      </c>
    </row>
    <row r="71" spans="1:79" s="16" customFormat="1" x14ac:dyDescent="0.3">
      <c r="A71" s="199" t="s">
        <v>248</v>
      </c>
      <c r="B71" s="144" t="s">
        <v>564</v>
      </c>
      <c r="C71" s="132" t="s">
        <v>113</v>
      </c>
      <c r="D71" s="132" t="s">
        <v>404</v>
      </c>
      <c r="E71" s="132"/>
      <c r="F71" s="132"/>
      <c r="G71" s="33" t="s">
        <v>11</v>
      </c>
      <c r="H71" s="34" t="s">
        <v>52</v>
      </c>
      <c r="I71" s="33" t="s">
        <v>8</v>
      </c>
      <c r="J71" s="33" t="s">
        <v>61</v>
      </c>
      <c r="K71" s="31" t="str">
        <f>IF(I71="Rack","No of Racks",(IF(I71="Space","Sq Ft","U Space")))</f>
        <v>No of Racks</v>
      </c>
      <c r="L71" s="33">
        <v>9</v>
      </c>
      <c r="M71" s="33">
        <v>9</v>
      </c>
      <c r="N71" s="35">
        <f t="shared" si="114"/>
        <v>0</v>
      </c>
      <c r="O71" s="33">
        <v>0</v>
      </c>
      <c r="P71" s="33"/>
      <c r="Q71" s="42">
        <f>(0)/12</f>
        <v>0</v>
      </c>
      <c r="R71" s="43" t="str">
        <f>G71</f>
        <v>Rated</v>
      </c>
      <c r="S71" s="33" t="s">
        <v>54</v>
      </c>
      <c r="T71" s="34">
        <v>27</v>
      </c>
      <c r="U71" s="45">
        <v>10</v>
      </c>
      <c r="V71" s="46">
        <f t="shared" si="117"/>
        <v>17</v>
      </c>
      <c r="W71" s="34"/>
      <c r="X71" s="34">
        <f t="shared" si="118"/>
        <v>8.5</v>
      </c>
      <c r="Y71" s="34">
        <f t="shared" si="119"/>
        <v>13.5</v>
      </c>
      <c r="Z71" s="65">
        <v>2.67</v>
      </c>
      <c r="AA71" s="34">
        <f>IF((V71*-1)&gt;0, (V71*-1), 0)</f>
        <v>0</v>
      </c>
      <c r="AB71" s="250"/>
      <c r="AC71" s="48" t="str">
        <f t="shared" si="84"/>
        <v>Bundled</v>
      </c>
      <c r="AD71" s="34"/>
      <c r="AE71" s="34"/>
      <c r="AF71" s="49"/>
      <c r="AG71" s="34"/>
      <c r="AH71" s="50"/>
      <c r="AI71" s="51"/>
      <c r="AJ71" s="34"/>
      <c r="AK71" s="34"/>
      <c r="AL71" s="34">
        <f>AJ71-AK71</f>
        <v>0</v>
      </c>
      <c r="AM71" s="34"/>
      <c r="AN71" s="34"/>
      <c r="AO71" s="42">
        <f>(0)/12</f>
        <v>0</v>
      </c>
      <c r="AP71" s="52">
        <f>Q71*O71</f>
        <v>0</v>
      </c>
      <c r="AQ71" s="52">
        <f>AB71*AA71</f>
        <v>0</v>
      </c>
      <c r="AR71" s="53">
        <f>AG71*AF71*AD71</f>
        <v>0</v>
      </c>
      <c r="AS71" s="52">
        <f>AO71*AM71</f>
        <v>0</v>
      </c>
      <c r="AT71" s="54">
        <f>0/12</f>
        <v>0</v>
      </c>
      <c r="AU71" s="55">
        <f>SUBTOTAL(9,AP71:AT71)</f>
        <v>0</v>
      </c>
      <c r="AV71" s="55"/>
      <c r="AW71" s="67" t="s">
        <v>5</v>
      </c>
      <c r="AX71" s="68"/>
      <c r="AY71" s="69"/>
      <c r="AZ71" s="68"/>
      <c r="BA71" s="89"/>
      <c r="BB71" s="5"/>
      <c r="BC71" s="29">
        <f>IF(I71="Rack",AU71/L71,0)+IF(I71="U Space",AU71*40/L71,0)+IF(I71="Space",AU71*30/L71,0)</f>
        <v>0</v>
      </c>
      <c r="BD71" s="29">
        <f>+AU71/Y71</f>
        <v>0</v>
      </c>
      <c r="BE71" s="25">
        <f>+($AP71+$AQ71+$AR71-BL71)/$Y71</f>
        <v>-3608.8353383333333</v>
      </c>
      <c r="BF71" s="25">
        <f>+($AP71+$AQ71+$AR71-BM71)/$Y71</f>
        <v>-15097.636977222222</v>
      </c>
      <c r="BG71" s="25">
        <f>+($AP71+$AQ71+IF(H71="Bundled",0,Y71*0.85*AD71*AF71*30.5*24)-BN71)/$Y71</f>
        <v>-18246.920249999999</v>
      </c>
      <c r="BH71" s="29"/>
      <c r="BI71" s="26">
        <f>+AP71+AQ71+AR71</f>
        <v>0</v>
      </c>
      <c r="BJ71" s="26" t="e">
        <f>+BI71-BK71</f>
        <v>#REF!</v>
      </c>
      <c r="BK71" s="26" t="e">
        <f>IF(H71="Bundled",MIN(Y71*$AG$1*(1+#REF!),BI71),AR71)</f>
        <v>#REF!</v>
      </c>
      <c r="BL71" s="27">
        <f>IF($AG71&gt;0,$AG71*$AD$1*$AF$1*(1+$AI$1*(20/$AF$1)/732),$AG$1*Z71)</f>
        <v>48719.277067499999</v>
      </c>
      <c r="BM71" s="27">
        <f>IF($AG71&gt;0,$AG71*$AD$1*$AF$1*(1+$AI$1*(20/$AF$1)/732),+$AG$1*(Z71+X71))</f>
        <v>203818.0991925</v>
      </c>
      <c r="BN71" s="27">
        <f>IF(H71="Bundled",$AG$1*Y71,$AG$1*Y71*0.85)</f>
        <v>246333.42337499998</v>
      </c>
      <c r="BO71" s="27">
        <f>+BE71*Y71</f>
        <v>-48719.277067499999</v>
      </c>
      <c r="BP71" s="27" t="e">
        <f>+#REF!*Y71</f>
        <v>#REF!</v>
      </c>
      <c r="BQ71" s="27" t="e">
        <f>+BJ71-BP71</f>
        <v>#REF!</v>
      </c>
      <c r="BR71" s="27" t="e">
        <f>+BK71-BL71</f>
        <v>#REF!</v>
      </c>
      <c r="BS71" s="27" t="e">
        <f>+BQ71+BR71</f>
        <v>#REF!</v>
      </c>
      <c r="BT71" s="27">
        <f>+Y71</f>
        <v>13.5</v>
      </c>
      <c r="BU71" s="27">
        <f>+BE71</f>
        <v>-3608.8353383333333</v>
      </c>
      <c r="BV71" s="27">
        <f>IF(H71="Bundled",BN71-BL71,AR71-BL71)</f>
        <v>197614.14630749999</v>
      </c>
      <c r="BW71" s="27" t="e">
        <f>IF(H71="Bundled",+(BG71-#REF!)*Y71,(AP71+AQ71)-Y71*#REF!)</f>
        <v>#REF!</v>
      </c>
      <c r="BX71" s="27" t="e">
        <f>+BV71+BW71</f>
        <v>#REF!</v>
      </c>
      <c r="BY71" s="27">
        <f t="shared" si="120"/>
        <v>14638.084911666667</v>
      </c>
      <c r="BZ71" s="27" t="e">
        <f t="shared" si="120"/>
        <v>#REF!</v>
      </c>
      <c r="CA71" s="27" t="e">
        <f t="shared" si="120"/>
        <v>#REF!</v>
      </c>
    </row>
    <row r="72" spans="1:79" s="220" customFormat="1" ht="13.5" thickBot="1" x14ac:dyDescent="0.35">
      <c r="A72" s="205"/>
      <c r="B72" s="206" t="s">
        <v>132</v>
      </c>
      <c r="C72" s="207"/>
      <c r="D72" s="207"/>
      <c r="E72" s="207"/>
      <c r="F72" s="207"/>
      <c r="G72" s="208"/>
      <c r="H72" s="264"/>
      <c r="I72" s="264"/>
      <c r="J72" s="264"/>
      <c r="K72" s="264"/>
      <c r="L72" s="265"/>
      <c r="M72" s="207"/>
      <c r="N72" s="209"/>
      <c r="O72" s="207"/>
      <c r="P72" s="207"/>
      <c r="Q72" s="207"/>
      <c r="R72" s="210"/>
      <c r="S72" s="207"/>
      <c r="T72" s="424">
        <f>SUM(T4:T71)</f>
        <v>933.87</v>
      </c>
      <c r="U72" s="424">
        <f>SUM(U4:U71)</f>
        <v>665.56950562169322</v>
      </c>
      <c r="V72" s="425"/>
      <c r="W72" s="424"/>
      <c r="X72" s="424">
        <f>SUM(X4:X71)</f>
        <v>272.5535714285715</v>
      </c>
      <c r="Y72" s="424">
        <f>SUM(Y4:Y71)</f>
        <v>815.68499999999995</v>
      </c>
      <c r="Z72" s="424">
        <f>SUM(Z4:Z71)</f>
        <v>589.69916666666654</v>
      </c>
      <c r="AA72" s="211"/>
      <c r="AB72" s="213"/>
      <c r="AC72" s="213"/>
      <c r="AD72" s="211"/>
      <c r="AE72" s="211"/>
      <c r="AF72" s="211"/>
      <c r="AG72" s="211"/>
      <c r="AH72" s="214" t="s">
        <v>55</v>
      </c>
      <c r="AI72" s="215" t="str">
        <f>IF(AH72="No of Seats","No of Seats",(IF(AH72="Space","Sq Ft","")))</f>
        <v>No of Seats</v>
      </c>
      <c r="AJ72" s="211">
        <f>SUM(AJ4:AJ71)</f>
        <v>60</v>
      </c>
      <c r="AK72" s="211">
        <f>SUM(AK4:AK71)</f>
        <v>60</v>
      </c>
      <c r="AL72" s="211">
        <f>SUM(AL4:AL71)</f>
        <v>0</v>
      </c>
      <c r="AM72" s="211">
        <f>SUM(AM4:AM71)</f>
        <v>60</v>
      </c>
      <c r="AN72" s="211"/>
      <c r="AO72" s="211"/>
      <c r="AP72" s="216"/>
      <c r="AQ72" s="216"/>
      <c r="AR72" s="216"/>
      <c r="AS72" s="216"/>
      <c r="AT72" s="216"/>
      <c r="AU72" s="211">
        <f>SUM(AU4:AU71)</f>
        <v>21390684.35786061</v>
      </c>
      <c r="AV72" s="208" t="s">
        <v>73</v>
      </c>
      <c r="AW72" s="217"/>
      <c r="AX72" s="217"/>
      <c r="AY72" s="218"/>
      <c r="AZ72" s="217"/>
      <c r="BA72" s="219"/>
      <c r="CA72" s="221"/>
    </row>
    <row r="73" spans="1:79" s="257" customFormat="1" x14ac:dyDescent="0.3">
      <c r="A73" s="244"/>
      <c r="B73" s="245"/>
      <c r="C73" s="245"/>
      <c r="D73" s="328"/>
      <c r="E73" s="328"/>
      <c r="F73" s="328"/>
      <c r="G73" s="260"/>
      <c r="H73" s="269" t="s">
        <v>8</v>
      </c>
      <c r="I73" s="270">
        <f>COUNTIF(I4:I71,"=Rack")</f>
        <v>33</v>
      </c>
      <c r="J73" s="270"/>
      <c r="K73" s="270" t="s">
        <v>298</v>
      </c>
      <c r="L73" s="271">
        <f>SUMIF(I4:I71,"Rack",L4:L71)</f>
        <v>65</v>
      </c>
      <c r="M73" s="262"/>
      <c r="N73" s="246"/>
      <c r="O73" s="245"/>
      <c r="P73" s="245"/>
      <c r="Q73" s="245"/>
      <c r="R73" s="247"/>
      <c r="S73" s="245"/>
      <c r="T73" s="248"/>
      <c r="U73" s="248"/>
      <c r="V73" s="249"/>
      <c r="W73" s="248"/>
      <c r="X73" s="248"/>
      <c r="Y73" s="248"/>
      <c r="Z73" s="248"/>
      <c r="AA73" s="248"/>
      <c r="AB73" s="250"/>
      <c r="AC73" s="250"/>
      <c r="AD73" s="248"/>
      <c r="AE73" s="248"/>
      <c r="AF73" s="248"/>
      <c r="AG73" s="248"/>
      <c r="AH73" s="251"/>
      <c r="AI73" s="252"/>
      <c r="AJ73" s="248"/>
      <c r="AK73" s="248"/>
      <c r="AL73" s="248"/>
      <c r="AM73" s="248"/>
      <c r="AN73" s="248"/>
      <c r="AO73" s="248"/>
      <c r="AP73" s="253"/>
      <c r="AQ73" s="253"/>
      <c r="AR73" s="253"/>
      <c r="AS73" s="253"/>
      <c r="AT73" s="253"/>
      <c r="AU73" s="248"/>
      <c r="AV73" s="150"/>
      <c r="AW73" s="254"/>
      <c r="AX73" s="254"/>
      <c r="AY73" s="255"/>
      <c r="AZ73" s="254"/>
      <c r="BA73" s="256"/>
      <c r="CA73" s="258"/>
    </row>
    <row r="74" spans="1:79" s="257" customFormat="1" x14ac:dyDescent="0.3">
      <c r="A74" s="244"/>
      <c r="B74" s="245"/>
      <c r="C74" s="245"/>
      <c r="D74" s="328"/>
      <c r="E74" s="328"/>
      <c r="F74" s="328"/>
      <c r="G74" s="260"/>
      <c r="H74" s="272" t="s">
        <v>3</v>
      </c>
      <c r="I74" s="259">
        <f>COUNTIF(I4:I71,"=Space")</f>
        <v>10</v>
      </c>
      <c r="J74" s="259"/>
      <c r="K74" s="259" t="s">
        <v>299</v>
      </c>
      <c r="L74" s="273">
        <f>SUMIF(I4:I71,"Space",L4:L71)/21</f>
        <v>216.14285714285714</v>
      </c>
      <c r="M74" s="262"/>
      <c r="N74" s="246"/>
      <c r="O74" s="245"/>
      <c r="P74" s="245"/>
      <c r="Q74" s="245"/>
      <c r="R74" s="247"/>
      <c r="S74" s="245"/>
      <c r="T74" s="248"/>
      <c r="U74" s="248"/>
      <c r="V74" s="249"/>
      <c r="W74" s="248"/>
      <c r="X74" s="248"/>
      <c r="Y74" s="248"/>
      <c r="Z74" s="248"/>
      <c r="AA74" s="248"/>
      <c r="AB74" s="250"/>
      <c r="AC74" s="250"/>
      <c r="AD74" s="248"/>
      <c r="AE74" s="248"/>
      <c r="AF74" s="248"/>
      <c r="AG74" s="248"/>
      <c r="AH74" s="251"/>
      <c r="AI74" s="252"/>
      <c r="AJ74" s="248"/>
      <c r="AK74" s="248"/>
      <c r="AL74" s="248"/>
      <c r="AM74" s="248"/>
      <c r="AN74" s="248"/>
      <c r="AO74" s="248"/>
      <c r="AP74" s="253"/>
      <c r="AQ74" s="253"/>
      <c r="AR74" s="253"/>
      <c r="AS74" s="253"/>
      <c r="AT74" s="253"/>
      <c r="AU74" s="248"/>
      <c r="AV74" s="150"/>
      <c r="AW74" s="254"/>
      <c r="AX74" s="254"/>
      <c r="AY74" s="255"/>
      <c r="AZ74" s="254"/>
      <c r="BA74" s="256"/>
      <c r="CA74" s="258"/>
    </row>
    <row r="75" spans="1:79" s="257" customFormat="1" x14ac:dyDescent="0.3">
      <c r="A75" s="244"/>
      <c r="B75" s="245"/>
      <c r="C75" s="245"/>
      <c r="D75" s="328"/>
      <c r="E75" s="328"/>
      <c r="F75" s="328"/>
      <c r="G75" s="260"/>
      <c r="H75" s="272" t="s">
        <v>60</v>
      </c>
      <c r="I75" s="259">
        <f>COUNTIF(I4:I71,"=U space")</f>
        <v>25</v>
      </c>
      <c r="J75" s="259"/>
      <c r="K75" s="259" t="s">
        <v>60</v>
      </c>
      <c r="L75" s="363">
        <v>5</v>
      </c>
      <c r="M75" s="262"/>
      <c r="N75" s="246"/>
      <c r="O75" s="245"/>
      <c r="P75" s="245"/>
      <c r="Q75" s="245"/>
      <c r="R75" s="247"/>
      <c r="S75" s="245"/>
      <c r="T75" s="248"/>
      <c r="U75" s="248"/>
      <c r="V75" s="249"/>
      <c r="W75" s="248"/>
      <c r="X75" s="248"/>
      <c r="Y75" s="248"/>
      <c r="Z75" s="248"/>
      <c r="AA75" s="248"/>
      <c r="AB75" s="250"/>
      <c r="AC75" s="250"/>
      <c r="AD75" s="248"/>
      <c r="AE75" s="248"/>
      <c r="AF75" s="248"/>
      <c r="AG75" s="248"/>
      <c r="AH75" s="251"/>
      <c r="AI75" s="252"/>
      <c r="AJ75" s="248"/>
      <c r="AK75" s="248"/>
      <c r="AL75" s="248"/>
      <c r="AM75" s="248"/>
      <c r="AN75" s="248"/>
      <c r="AO75" s="248"/>
      <c r="AP75" s="253"/>
      <c r="AQ75" s="253"/>
      <c r="AR75" s="253"/>
      <c r="AS75" s="253"/>
      <c r="AT75" s="253"/>
      <c r="AU75" s="248"/>
      <c r="AV75" s="150"/>
      <c r="AW75" s="254"/>
      <c r="AX75" s="254"/>
      <c r="AY75" s="255"/>
      <c r="AZ75" s="254"/>
      <c r="BA75" s="256"/>
      <c r="CA75" s="258"/>
    </row>
    <row r="76" spans="1:79" ht="13.5" thickBot="1" x14ac:dyDescent="0.35">
      <c r="A76" s="244"/>
      <c r="B76" s="150"/>
      <c r="C76" s="70"/>
      <c r="D76" s="261"/>
      <c r="E76" s="261"/>
      <c r="F76" s="261"/>
      <c r="G76" s="261"/>
      <c r="H76" s="275"/>
      <c r="I76" s="276"/>
      <c r="J76" s="276"/>
      <c r="K76" s="277" t="s">
        <v>0</v>
      </c>
      <c r="L76" s="278">
        <f>SUM(L73:L75)</f>
        <v>286.14285714285711</v>
      </c>
      <c r="M76" s="263"/>
      <c r="N76" s="151"/>
      <c r="O76" s="152"/>
      <c r="P76" s="152"/>
      <c r="Q76" s="153"/>
      <c r="R76" s="152"/>
      <c r="S76" s="152"/>
      <c r="T76" s="154"/>
      <c r="U76" s="70"/>
      <c r="V76" s="151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155"/>
      <c r="AH76" s="155"/>
      <c r="AI76" s="155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85"/>
      <c r="AX76" s="85"/>
      <c r="AY76" s="85"/>
      <c r="AZ76" s="85"/>
      <c r="BA76" s="89"/>
    </row>
    <row r="77" spans="1:79" s="16" customFormat="1" x14ac:dyDescent="0.3">
      <c r="A77" s="199" t="s">
        <v>247</v>
      </c>
      <c r="B77" s="507" t="s">
        <v>210</v>
      </c>
      <c r="C77" s="32" t="s">
        <v>97</v>
      </c>
      <c r="D77" s="32" t="s">
        <v>405</v>
      </c>
      <c r="E77" s="34">
        <v>2</v>
      </c>
      <c r="F77" s="34"/>
      <c r="G77" s="33" t="s">
        <v>56</v>
      </c>
      <c r="H77" s="34" t="s">
        <v>57</v>
      </c>
      <c r="I77" s="33" t="s">
        <v>3</v>
      </c>
      <c r="J77" s="33" t="s">
        <v>53</v>
      </c>
      <c r="K77" s="31" t="str">
        <f>IF(I77="Rack","No of Racks",(IF(I77="Space","Sq Ft","U Space")))</f>
        <v>Sq Ft</v>
      </c>
      <c r="L77" s="33">
        <v>480</v>
      </c>
      <c r="M77" s="33">
        <v>480</v>
      </c>
      <c r="N77" s="35">
        <f t="shared" ref="N77:N87" si="121">L77-M77</f>
        <v>0</v>
      </c>
      <c r="O77" s="33">
        <v>480</v>
      </c>
      <c r="P77" s="33"/>
      <c r="Q77" s="42">
        <f>2940000/480/12</f>
        <v>510.41666666666669</v>
      </c>
      <c r="R77" s="43" t="str">
        <f t="shared" ref="R77:R83" si="122">G77</f>
        <v>Subscribed</v>
      </c>
      <c r="S77" s="33" t="s">
        <v>58</v>
      </c>
      <c r="T77" s="34">
        <v>42</v>
      </c>
      <c r="U77" s="66">
        <f>Z77</f>
        <v>47.146979166666661</v>
      </c>
      <c r="V77" s="46">
        <f t="shared" ref="V77:V121" si="123">T77-U77</f>
        <v>-5.1469791666666609</v>
      </c>
      <c r="W77" s="34"/>
      <c r="X77" s="34">
        <f t="shared" ref="X77:X121" si="124">IF(V77&lt;=0,0,(IF(R77="Rated",(V77+W77)*$X$1,(V77+W77))))</f>
        <v>0</v>
      </c>
      <c r="Y77" s="34">
        <f t="shared" ref="Y77:Y121" si="125">IF(R77="Rated",T77*$X$1,T77)</f>
        <v>42</v>
      </c>
      <c r="Z77" s="65">
        <f>AG77/28/24</f>
        <v>47.146979166666661</v>
      </c>
      <c r="AA77" s="34">
        <f t="shared" ref="AA77:AA100" si="126">IF((V77*-1)&gt;0, (V77*-1), 0)</f>
        <v>5.1469791666666609</v>
      </c>
      <c r="AB77" s="47">
        <f>75000/12</f>
        <v>6250</v>
      </c>
      <c r="AC77" s="48" t="str">
        <f t="shared" ref="AC77:AC118" si="127">H77</f>
        <v>Metered</v>
      </c>
      <c r="AD77" s="34">
        <v>1</v>
      </c>
      <c r="AE77" s="34" t="s">
        <v>62</v>
      </c>
      <c r="AF77" s="49">
        <v>14.8</v>
      </c>
      <c r="AG77" s="34">
        <v>31682.77</v>
      </c>
      <c r="AH77" s="50" t="s">
        <v>55</v>
      </c>
      <c r="AI77" s="51" t="str">
        <f t="shared" ref="AI77:AI82" si="128">IF(AH77="No of Seats","No of Seats",(IF(AH77="Space","Sq Ft","")))</f>
        <v>No of Seats</v>
      </c>
      <c r="AJ77" s="34">
        <v>2</v>
      </c>
      <c r="AK77" s="34">
        <v>2</v>
      </c>
      <c r="AL77" s="34">
        <f t="shared" ref="AL77:AL83" si="129">AJ77-AK77</f>
        <v>0</v>
      </c>
      <c r="AM77" s="34">
        <v>2</v>
      </c>
      <c r="AN77" s="34"/>
      <c r="AO77" s="42">
        <f>90000/12</f>
        <v>7500</v>
      </c>
      <c r="AP77" s="52">
        <f t="shared" ref="AP77:AP83" si="130">Q77*O77</f>
        <v>245000</v>
      </c>
      <c r="AQ77" s="52">
        <f t="shared" ref="AQ77:AQ83" si="131">AB77*AA77</f>
        <v>32168.619791666631</v>
      </c>
      <c r="AR77" s="53">
        <f t="shared" ref="AR77:AR83" si="132">AG77*AF77*AD77</f>
        <v>468904.99600000004</v>
      </c>
      <c r="AS77" s="52">
        <f t="shared" ref="AS77:AS83" si="133">AO77*AM77</f>
        <v>15000</v>
      </c>
      <c r="AT77" s="54"/>
      <c r="AU77" s="55">
        <f t="shared" ref="AU77:AU83" si="134">SUBTOTAL(9,AP77:AT77)</f>
        <v>761073.61579166667</v>
      </c>
      <c r="AV77" s="55"/>
      <c r="AW77" s="67" t="s">
        <v>110</v>
      </c>
      <c r="AX77" s="68"/>
      <c r="AY77" s="69"/>
      <c r="AZ77" s="68"/>
      <c r="BA77" s="89"/>
      <c r="BC77" s="25">
        <f t="shared" ref="BC77:BC83" si="135">IF(I77="Rack",AU77/L77,0)+IF(I77="U Space",AU77*40/L77,0)+IF(I77="Space",AU77*30/L77,0)</f>
        <v>47567.100986979167</v>
      </c>
      <c r="BD77" s="25">
        <f t="shared" ref="BD77:BD83" si="136">+AU77/Y77</f>
        <v>18120.800375992065</v>
      </c>
      <c r="BE77" s="25">
        <f t="shared" ref="BE77:BF83" si="137">+($AP77+$AQ77+$AR77-BL77)/$Y77</f>
        <v>-2702.2556408092664</v>
      </c>
      <c r="BF77" s="25">
        <f t="shared" si="137"/>
        <v>-2702.2556408092664</v>
      </c>
      <c r="BG77" s="25">
        <f t="shared" ref="BG77:BG83" si="138">+($AP77+$AQ77+IF(H77="Bundled",0,Y77*0.85*AD77*AF77*30.5*24)-BN77)/$Y77</f>
        <v>297.93063968254</v>
      </c>
      <c r="BH77" s="25"/>
      <c r="BI77" s="26">
        <f t="shared" ref="BI77:BI83" si="139">+AP77+AQ77+AR77</f>
        <v>746073.61579166667</v>
      </c>
      <c r="BJ77" s="26">
        <f t="shared" ref="BJ77:BJ83" si="140">+BI77-BK77</f>
        <v>277168.61979166663</v>
      </c>
      <c r="BK77" s="26">
        <f>IF(H77="Bundled",MIN(Y77*$AG$1*(1+#REF!),BI77),AR77)</f>
        <v>468904.99600000004</v>
      </c>
      <c r="BL77" s="27">
        <f t="shared" ref="BL77:BL104" si="141">IF($AG77&gt;0,$AG77*$AD$1*$AF$1*(1+$AI$1*(20/$AF$1)/732),$AG$1*Z77)</f>
        <v>859568.35270565585</v>
      </c>
      <c r="BM77" s="27">
        <f t="shared" ref="BM77:BM83" si="142">IF($AG77&gt;0,$AG77*$AD$1*$AF$1*(1+$AI$1*(20/$AF$1)/732),+$AG$1*(Z77+X77))</f>
        <v>859568.35270565585</v>
      </c>
      <c r="BN77" s="27">
        <f t="shared" ref="BN77:BN83" si="143">IF(H77="Bundled",$AG$1*Y77,$AG$1*Y77*0.85)</f>
        <v>651415.05292499997</v>
      </c>
      <c r="BO77" s="27">
        <f t="shared" ref="BO77:BO83" si="144">+BE77*Y77</f>
        <v>-113494.7369139892</v>
      </c>
      <c r="BP77" s="27" t="e">
        <f>+#REF!*Y77</f>
        <v>#REF!</v>
      </c>
      <c r="BQ77" s="27" t="e">
        <f t="shared" ref="BQ77:BQ83" si="145">+BJ77-BP77</f>
        <v>#REF!</v>
      </c>
      <c r="BR77" s="27">
        <f t="shared" ref="BR77:BR83" si="146">+BK77-BL77</f>
        <v>-390663.35670565581</v>
      </c>
      <c r="BS77" s="27" t="e">
        <f t="shared" ref="BS77:BS83" si="147">+BQ77+BR77</f>
        <v>#REF!</v>
      </c>
      <c r="BT77" s="27">
        <f t="shared" ref="BT77:BT83" si="148">+Y77</f>
        <v>42</v>
      </c>
      <c r="BU77" s="27">
        <f t="shared" ref="BU77:BU83" si="149">+BE77</f>
        <v>-2702.2556408092664</v>
      </c>
      <c r="BV77" s="27">
        <f t="shared" ref="BV77:BV83" si="150">IF(H77="Bundled",BN77-BL77,AR77-BL77)</f>
        <v>-390663.35670565581</v>
      </c>
      <c r="BW77" s="27" t="e">
        <f>IF(H77="Bundled",+(BG77-#REF!)*Y77,(AP77+AQ77)-Y77*#REF!)</f>
        <v>#REF!</v>
      </c>
      <c r="BX77" s="27" t="e">
        <f t="shared" ref="BX77:BX83" si="151">+BV77+BW77</f>
        <v>#REF!</v>
      </c>
      <c r="BY77" s="27">
        <f t="shared" ref="BY77:CA83" si="152">+BV77/$BT77</f>
        <v>-9301.5084929918048</v>
      </c>
      <c r="BZ77" s="27" t="e">
        <f t="shared" si="152"/>
        <v>#REF!</v>
      </c>
      <c r="CA77" s="27" t="e">
        <f t="shared" si="152"/>
        <v>#REF!</v>
      </c>
    </row>
    <row r="78" spans="1:79" s="16" customFormat="1" x14ac:dyDescent="0.3">
      <c r="A78" s="199" t="s">
        <v>247</v>
      </c>
      <c r="B78" s="507"/>
      <c r="C78" s="32" t="s">
        <v>97</v>
      </c>
      <c r="D78" s="32" t="s">
        <v>405</v>
      </c>
      <c r="E78" s="32"/>
      <c r="F78" s="32"/>
      <c r="G78" s="33" t="s">
        <v>56</v>
      </c>
      <c r="H78" s="34" t="s">
        <v>57</v>
      </c>
      <c r="I78" s="33" t="s">
        <v>8</v>
      </c>
      <c r="J78" s="33" t="s">
        <v>61</v>
      </c>
      <c r="K78" s="31" t="s">
        <v>119</v>
      </c>
      <c r="L78" s="33">
        <v>3</v>
      </c>
      <c r="M78" s="33">
        <v>3</v>
      </c>
      <c r="N78" s="35">
        <f t="shared" si="121"/>
        <v>0</v>
      </c>
      <c r="O78" s="33">
        <v>3</v>
      </c>
      <c r="P78" s="33"/>
      <c r="Q78" s="42">
        <f>450000/12</f>
        <v>37500</v>
      </c>
      <c r="R78" s="43" t="str">
        <f t="shared" si="122"/>
        <v>Subscribed</v>
      </c>
      <c r="S78" s="33" t="s">
        <v>58</v>
      </c>
      <c r="T78" s="34">
        <v>18</v>
      </c>
      <c r="U78" s="66">
        <f>Z78</f>
        <v>10.427961309523811</v>
      </c>
      <c r="V78" s="46">
        <f t="shared" si="123"/>
        <v>7.5720386904761892</v>
      </c>
      <c r="W78" s="34"/>
      <c r="X78" s="34">
        <f t="shared" si="124"/>
        <v>7.5720386904761892</v>
      </c>
      <c r="Y78" s="34">
        <f t="shared" si="125"/>
        <v>18</v>
      </c>
      <c r="Z78" s="65">
        <f t="shared" ref="Z78:Z87" si="153">AG78/28/24</f>
        <v>10.427961309523811</v>
      </c>
      <c r="AA78" s="34">
        <f t="shared" si="126"/>
        <v>0</v>
      </c>
      <c r="AB78" s="47">
        <f>75000/12</f>
        <v>6250</v>
      </c>
      <c r="AC78" s="48" t="str">
        <f t="shared" si="127"/>
        <v>Metered</v>
      </c>
      <c r="AD78" s="34">
        <v>1</v>
      </c>
      <c r="AE78" s="34" t="s">
        <v>62</v>
      </c>
      <c r="AF78" s="49">
        <v>14.8</v>
      </c>
      <c r="AG78" s="34">
        <v>7007.59</v>
      </c>
      <c r="AH78" s="50"/>
      <c r="AI78" s="51" t="str">
        <f t="shared" si="128"/>
        <v/>
      </c>
      <c r="AJ78" s="34"/>
      <c r="AK78" s="34"/>
      <c r="AL78" s="34">
        <f t="shared" si="129"/>
        <v>0</v>
      </c>
      <c r="AM78" s="34"/>
      <c r="AN78" s="34"/>
      <c r="AO78" s="42"/>
      <c r="AP78" s="52">
        <f t="shared" si="130"/>
        <v>112500</v>
      </c>
      <c r="AQ78" s="52">
        <f t="shared" si="131"/>
        <v>0</v>
      </c>
      <c r="AR78" s="53">
        <f t="shared" si="132"/>
        <v>103712.33200000001</v>
      </c>
      <c r="AS78" s="52">
        <f t="shared" si="133"/>
        <v>0</v>
      </c>
      <c r="AT78" s="54"/>
      <c r="AU78" s="55">
        <f t="shared" si="134"/>
        <v>216212.33199999999</v>
      </c>
      <c r="AV78" s="55"/>
      <c r="AW78" s="67" t="s">
        <v>124</v>
      </c>
      <c r="AX78" s="68"/>
      <c r="AY78" s="69"/>
      <c r="AZ78" s="68"/>
      <c r="BA78" s="89"/>
      <c r="BC78" s="25">
        <f t="shared" si="135"/>
        <v>72070.777333333332</v>
      </c>
      <c r="BD78" s="25">
        <f t="shared" si="136"/>
        <v>12011.796222222221</v>
      </c>
      <c r="BE78" s="25">
        <f t="shared" si="137"/>
        <v>1449.6189590027304</v>
      </c>
      <c r="BF78" s="25">
        <f t="shared" si="137"/>
        <v>1449.6189590027304</v>
      </c>
      <c r="BG78" s="25">
        <f t="shared" si="138"/>
        <v>-51.322212499996468</v>
      </c>
      <c r="BH78" s="25"/>
      <c r="BI78" s="26">
        <f t="shared" si="139"/>
        <v>216212.33199999999</v>
      </c>
      <c r="BJ78" s="26">
        <f t="shared" si="140"/>
        <v>112499.99999999999</v>
      </c>
      <c r="BK78" s="26">
        <f>IF(H78="Bundled",MIN(Y78*$AG$1*(1+#REF!),BI78),AR78)</f>
        <v>103712.33200000001</v>
      </c>
      <c r="BL78" s="27">
        <f t="shared" si="141"/>
        <v>190119.19073795085</v>
      </c>
      <c r="BM78" s="27">
        <f t="shared" si="142"/>
        <v>190119.19073795085</v>
      </c>
      <c r="BN78" s="27">
        <f t="shared" si="143"/>
        <v>279177.87982499995</v>
      </c>
      <c r="BO78" s="27">
        <f t="shared" si="144"/>
        <v>26093.141262049146</v>
      </c>
      <c r="BP78" s="27" t="e">
        <f>+#REF!*Y78</f>
        <v>#REF!</v>
      </c>
      <c r="BQ78" s="27" t="e">
        <f t="shared" si="145"/>
        <v>#REF!</v>
      </c>
      <c r="BR78" s="27">
        <f t="shared" si="146"/>
        <v>-86406.858737950839</v>
      </c>
      <c r="BS78" s="27" t="e">
        <f t="shared" si="147"/>
        <v>#REF!</v>
      </c>
      <c r="BT78" s="27">
        <f t="shared" si="148"/>
        <v>18</v>
      </c>
      <c r="BU78" s="27">
        <f t="shared" si="149"/>
        <v>1449.6189590027304</v>
      </c>
      <c r="BV78" s="27">
        <f t="shared" si="150"/>
        <v>-86406.858737950839</v>
      </c>
      <c r="BW78" s="27" t="e">
        <f>IF(H78="Bundled",+(BG78-#REF!)*Y78,(AP78+AQ78)-Y78*#REF!)</f>
        <v>#REF!</v>
      </c>
      <c r="BX78" s="27" t="e">
        <f t="shared" si="151"/>
        <v>#REF!</v>
      </c>
      <c r="BY78" s="27">
        <f t="shared" si="152"/>
        <v>-4800.3810409972684</v>
      </c>
      <c r="BZ78" s="27" t="e">
        <f t="shared" si="152"/>
        <v>#REF!</v>
      </c>
      <c r="CA78" s="27" t="e">
        <f t="shared" si="152"/>
        <v>#REF!</v>
      </c>
    </row>
    <row r="79" spans="1:79" s="16" customFormat="1" x14ac:dyDescent="0.3">
      <c r="A79" s="199" t="s">
        <v>247</v>
      </c>
      <c r="B79" s="44" t="s">
        <v>453</v>
      </c>
      <c r="C79" s="32" t="s">
        <v>306</v>
      </c>
      <c r="D79" s="32" t="s">
        <v>404</v>
      </c>
      <c r="E79" s="32"/>
      <c r="F79" s="32"/>
      <c r="G79" s="33" t="s">
        <v>11</v>
      </c>
      <c r="H79" s="34" t="s">
        <v>57</v>
      </c>
      <c r="I79" s="33" t="s">
        <v>8</v>
      </c>
      <c r="J79" s="33" t="s">
        <v>61</v>
      </c>
      <c r="K79" s="31" t="str">
        <f t="shared" ref="K79:K89" si="154">IF(I79="Rack","No of Racks",(IF(I79="Space","Sq Ft","U Space")))</f>
        <v>No of Racks</v>
      </c>
      <c r="L79" s="33">
        <v>1</v>
      </c>
      <c r="M79" s="33">
        <v>1</v>
      </c>
      <c r="N79" s="35">
        <f t="shared" si="121"/>
        <v>0</v>
      </c>
      <c r="O79" s="33">
        <v>1</v>
      </c>
      <c r="P79" s="33"/>
      <c r="Q79" s="42">
        <f>(750000+320000+225000)/12/3</f>
        <v>35972.222222222226</v>
      </c>
      <c r="R79" s="43" t="str">
        <f t="shared" si="122"/>
        <v>Rated</v>
      </c>
      <c r="S79" s="33" t="s">
        <v>54</v>
      </c>
      <c r="T79" s="34">
        <v>6</v>
      </c>
      <c r="U79" s="45">
        <v>16.16</v>
      </c>
      <c r="V79" s="46">
        <f t="shared" si="123"/>
        <v>-10.16</v>
      </c>
      <c r="W79" s="34"/>
      <c r="X79" s="34">
        <f t="shared" si="124"/>
        <v>0</v>
      </c>
      <c r="Y79" s="34">
        <f t="shared" si="125"/>
        <v>3</v>
      </c>
      <c r="Z79" s="65">
        <f t="shared" si="153"/>
        <v>3.1191815476190481</v>
      </c>
      <c r="AA79" s="34">
        <f t="shared" si="126"/>
        <v>10.16</v>
      </c>
      <c r="AB79" s="47">
        <f>90000/12</f>
        <v>7500</v>
      </c>
      <c r="AC79" s="48" t="str">
        <f t="shared" si="127"/>
        <v>Metered</v>
      </c>
      <c r="AD79" s="34">
        <v>1</v>
      </c>
      <c r="AE79" s="34" t="s">
        <v>62</v>
      </c>
      <c r="AF79" s="49">
        <v>15.75</v>
      </c>
      <c r="AG79" s="34">
        <v>2096.09</v>
      </c>
      <c r="AH79" s="50"/>
      <c r="AI79" s="51" t="str">
        <f t="shared" si="128"/>
        <v/>
      </c>
      <c r="AJ79" s="34"/>
      <c r="AK79" s="34"/>
      <c r="AL79" s="34">
        <f t="shared" si="129"/>
        <v>0</v>
      </c>
      <c r="AM79" s="34"/>
      <c r="AN79" s="34"/>
      <c r="AO79" s="42"/>
      <c r="AP79" s="52">
        <f t="shared" si="130"/>
        <v>35972.222222222226</v>
      </c>
      <c r="AQ79" s="52">
        <f t="shared" si="131"/>
        <v>76200</v>
      </c>
      <c r="AR79" s="53">
        <f t="shared" si="132"/>
        <v>33013.417500000003</v>
      </c>
      <c r="AS79" s="52">
        <f t="shared" si="133"/>
        <v>0</v>
      </c>
      <c r="AT79" s="54">
        <f>600000/12</f>
        <v>50000</v>
      </c>
      <c r="AU79" s="55">
        <f t="shared" si="134"/>
        <v>195185.63972222223</v>
      </c>
      <c r="AV79" s="55"/>
      <c r="AW79" s="67" t="s">
        <v>109</v>
      </c>
      <c r="AX79" s="68"/>
      <c r="AY79" s="69"/>
      <c r="AZ79" s="68"/>
      <c r="BA79" s="89"/>
      <c r="BC79" s="29">
        <f t="shared" si="135"/>
        <v>195185.63972222223</v>
      </c>
      <c r="BD79" s="29">
        <f t="shared" si="136"/>
        <v>65061.879907407412</v>
      </c>
      <c r="BE79" s="25">
        <f t="shared" si="137"/>
        <v>29439.246233828173</v>
      </c>
      <c r="BF79" s="25">
        <f t="shared" si="137"/>
        <v>29439.246233828173</v>
      </c>
      <c r="BG79" s="25">
        <f t="shared" si="138"/>
        <v>31680.508528240734</v>
      </c>
      <c r="BH79" s="29"/>
      <c r="BI79" s="26">
        <f t="shared" si="139"/>
        <v>145185.63972222223</v>
      </c>
      <c r="BJ79" s="26">
        <f t="shared" si="140"/>
        <v>112172.22222222222</v>
      </c>
      <c r="BK79" s="26">
        <f>IF(H79="Bundled",MIN(Y79*$AG$1*(1+#REF!),BI79),AR79)</f>
        <v>33013.417500000003</v>
      </c>
      <c r="BL79" s="27">
        <f t="shared" si="141"/>
        <v>56867.901020737714</v>
      </c>
      <c r="BM79" s="27">
        <f t="shared" si="142"/>
        <v>56867.901020737714</v>
      </c>
      <c r="BN79" s="27">
        <f t="shared" si="143"/>
        <v>46529.646637500002</v>
      </c>
      <c r="BO79" s="27">
        <f t="shared" si="144"/>
        <v>88317.738701484515</v>
      </c>
      <c r="BP79" s="27" t="e">
        <f>+#REF!*Y79</f>
        <v>#REF!</v>
      </c>
      <c r="BQ79" s="27" t="e">
        <f t="shared" si="145"/>
        <v>#REF!</v>
      </c>
      <c r="BR79" s="27">
        <f t="shared" si="146"/>
        <v>-23854.483520737711</v>
      </c>
      <c r="BS79" s="27" t="e">
        <f t="shared" si="147"/>
        <v>#REF!</v>
      </c>
      <c r="BT79" s="27">
        <f t="shared" si="148"/>
        <v>3</v>
      </c>
      <c r="BU79" s="27">
        <f t="shared" si="149"/>
        <v>29439.246233828173</v>
      </c>
      <c r="BV79" s="27">
        <f t="shared" si="150"/>
        <v>-23854.483520737711</v>
      </c>
      <c r="BW79" s="27" t="e">
        <f>IF(H79="Bundled",+(BG79-#REF!)*Y79,(AP79+AQ79)-Y79*#REF!)</f>
        <v>#REF!</v>
      </c>
      <c r="BX79" s="27" t="e">
        <f t="shared" si="151"/>
        <v>#REF!</v>
      </c>
      <c r="BY79" s="27">
        <f t="shared" si="152"/>
        <v>-7951.4945069125706</v>
      </c>
      <c r="BZ79" s="27" t="e">
        <f t="shared" si="152"/>
        <v>#REF!</v>
      </c>
      <c r="CA79" s="27" t="e">
        <f t="shared" si="152"/>
        <v>#REF!</v>
      </c>
    </row>
    <row r="80" spans="1:79" s="16" customFormat="1" x14ac:dyDescent="0.3">
      <c r="A80" s="199" t="s">
        <v>247</v>
      </c>
      <c r="B80" s="44" t="s">
        <v>451</v>
      </c>
      <c r="C80" s="32" t="s">
        <v>306</v>
      </c>
      <c r="D80" s="32" t="s">
        <v>404</v>
      </c>
      <c r="E80" s="32"/>
      <c r="F80" s="32"/>
      <c r="G80" s="33" t="s">
        <v>11</v>
      </c>
      <c r="H80" s="34" t="s">
        <v>57</v>
      </c>
      <c r="I80" s="33" t="s">
        <v>8</v>
      </c>
      <c r="J80" s="33" t="s">
        <v>61</v>
      </c>
      <c r="K80" s="31" t="str">
        <f t="shared" si="154"/>
        <v>No of Racks</v>
      </c>
      <c r="L80" s="33">
        <v>1</v>
      </c>
      <c r="M80" s="33">
        <v>1</v>
      </c>
      <c r="N80" s="35">
        <f t="shared" si="121"/>
        <v>0</v>
      </c>
      <c r="O80" s="33">
        <v>1</v>
      </c>
      <c r="P80" s="33"/>
      <c r="Q80" s="42"/>
      <c r="R80" s="43" t="str">
        <f t="shared" si="122"/>
        <v>Rated</v>
      </c>
      <c r="S80" s="33" t="s">
        <v>54</v>
      </c>
      <c r="T80" s="34">
        <v>0</v>
      </c>
      <c r="U80" s="45">
        <v>0</v>
      </c>
      <c r="V80" s="46">
        <f t="shared" si="123"/>
        <v>0</v>
      </c>
      <c r="W80" s="34"/>
      <c r="X80" s="34">
        <f t="shared" si="124"/>
        <v>0</v>
      </c>
      <c r="Y80" s="34">
        <f t="shared" si="125"/>
        <v>0</v>
      </c>
      <c r="Z80" s="65">
        <f t="shared" si="153"/>
        <v>0</v>
      </c>
      <c r="AA80" s="34">
        <f t="shared" si="126"/>
        <v>0</v>
      </c>
      <c r="AB80" s="47">
        <v>0</v>
      </c>
      <c r="AC80" s="48" t="str">
        <f t="shared" si="127"/>
        <v>Metered</v>
      </c>
      <c r="AD80" s="34">
        <v>1</v>
      </c>
      <c r="AE80" s="34" t="s">
        <v>62</v>
      </c>
      <c r="AF80" s="49">
        <v>17</v>
      </c>
      <c r="AG80" s="34"/>
      <c r="AH80" s="50"/>
      <c r="AI80" s="51" t="str">
        <f t="shared" si="128"/>
        <v/>
      </c>
      <c r="AJ80" s="34"/>
      <c r="AK80" s="34"/>
      <c r="AL80" s="34">
        <f t="shared" si="129"/>
        <v>0</v>
      </c>
      <c r="AM80" s="34"/>
      <c r="AN80" s="34"/>
      <c r="AO80" s="42"/>
      <c r="AP80" s="52">
        <f t="shared" si="130"/>
        <v>0</v>
      </c>
      <c r="AQ80" s="52">
        <f t="shared" si="131"/>
        <v>0</v>
      </c>
      <c r="AR80" s="53">
        <f t="shared" si="132"/>
        <v>0</v>
      </c>
      <c r="AS80" s="52">
        <f t="shared" si="133"/>
        <v>0</v>
      </c>
      <c r="AT80" s="54">
        <f>600000/12</f>
        <v>50000</v>
      </c>
      <c r="AU80" s="55">
        <f t="shared" si="134"/>
        <v>50000</v>
      </c>
      <c r="AV80" s="55"/>
      <c r="AW80" s="67" t="s">
        <v>109</v>
      </c>
      <c r="AX80" s="68"/>
      <c r="AY80" s="69"/>
      <c r="AZ80" s="68"/>
      <c r="BA80" s="89"/>
      <c r="BC80" s="29">
        <f t="shared" si="135"/>
        <v>50000</v>
      </c>
      <c r="BD80" s="29" t="e">
        <f t="shared" si="136"/>
        <v>#DIV/0!</v>
      </c>
      <c r="BE80" s="25" t="e">
        <f t="shared" si="137"/>
        <v>#DIV/0!</v>
      </c>
      <c r="BF80" s="25" t="e">
        <f t="shared" si="137"/>
        <v>#DIV/0!</v>
      </c>
      <c r="BG80" s="25" t="e">
        <f t="shared" si="138"/>
        <v>#DIV/0!</v>
      </c>
      <c r="BH80" s="29"/>
      <c r="BI80" s="26">
        <f t="shared" si="139"/>
        <v>0</v>
      </c>
      <c r="BJ80" s="26">
        <f t="shared" si="140"/>
        <v>0</v>
      </c>
      <c r="BK80" s="26">
        <f>IF(H80="Bundled",MIN(Y80*$AG$1*(1+#REF!),BI80),AR80)</f>
        <v>0</v>
      </c>
      <c r="BL80" s="27">
        <f t="shared" si="141"/>
        <v>0</v>
      </c>
      <c r="BM80" s="27">
        <f t="shared" si="142"/>
        <v>0</v>
      </c>
      <c r="BN80" s="27">
        <f t="shared" si="143"/>
        <v>0</v>
      </c>
      <c r="BO80" s="27" t="e">
        <f t="shared" si="144"/>
        <v>#DIV/0!</v>
      </c>
      <c r="BP80" s="27" t="e">
        <f>+#REF!*Y80</f>
        <v>#REF!</v>
      </c>
      <c r="BQ80" s="27" t="e">
        <f t="shared" si="145"/>
        <v>#REF!</v>
      </c>
      <c r="BR80" s="27">
        <f t="shared" si="146"/>
        <v>0</v>
      </c>
      <c r="BS80" s="27" t="e">
        <f t="shared" si="147"/>
        <v>#REF!</v>
      </c>
      <c r="BT80" s="27">
        <f t="shared" si="148"/>
        <v>0</v>
      </c>
      <c r="BU80" s="27" t="e">
        <f t="shared" si="149"/>
        <v>#DIV/0!</v>
      </c>
      <c r="BV80" s="27">
        <f t="shared" si="150"/>
        <v>0</v>
      </c>
      <c r="BW80" s="27" t="e">
        <f>IF(H80="Bundled",+(BG80-#REF!)*Y80,(AP80+AQ80)-Y80*#REF!)</f>
        <v>#REF!</v>
      </c>
      <c r="BX80" s="27" t="e">
        <f t="shared" si="151"/>
        <v>#REF!</v>
      </c>
      <c r="BY80" s="27" t="e">
        <f t="shared" si="152"/>
        <v>#DIV/0!</v>
      </c>
      <c r="BZ80" s="27" t="e">
        <f t="shared" si="152"/>
        <v>#REF!</v>
      </c>
      <c r="CA80" s="27" t="e">
        <f t="shared" si="152"/>
        <v>#REF!</v>
      </c>
    </row>
    <row r="81" spans="1:79" s="16" customFormat="1" x14ac:dyDescent="0.3">
      <c r="A81" s="199" t="s">
        <v>247</v>
      </c>
      <c r="B81" s="44" t="s">
        <v>144</v>
      </c>
      <c r="C81" s="132" t="s">
        <v>108</v>
      </c>
      <c r="D81" s="132" t="s">
        <v>404</v>
      </c>
      <c r="E81" s="132"/>
      <c r="F81" s="132"/>
      <c r="G81" s="33" t="s">
        <v>11</v>
      </c>
      <c r="H81" s="34" t="s">
        <v>52</v>
      </c>
      <c r="I81" s="33" t="s">
        <v>8</v>
      </c>
      <c r="J81" s="33" t="s">
        <v>61</v>
      </c>
      <c r="K81" s="31" t="str">
        <f t="shared" si="154"/>
        <v>No of Racks</v>
      </c>
      <c r="L81" s="33">
        <v>6</v>
      </c>
      <c r="M81" s="33">
        <v>6</v>
      </c>
      <c r="N81" s="35">
        <f t="shared" si="121"/>
        <v>0</v>
      </c>
      <c r="O81" s="33">
        <v>0</v>
      </c>
      <c r="P81" s="33"/>
      <c r="Q81" s="42">
        <f>(0)/12</f>
        <v>0</v>
      </c>
      <c r="R81" s="43" t="str">
        <f t="shared" si="122"/>
        <v>Rated</v>
      </c>
      <c r="S81" s="33" t="s">
        <v>54</v>
      </c>
      <c r="T81" s="34">
        <v>24</v>
      </c>
      <c r="U81" s="45">
        <v>16.239999999999998</v>
      </c>
      <c r="V81" s="46">
        <f t="shared" si="123"/>
        <v>7.7600000000000016</v>
      </c>
      <c r="W81" s="34"/>
      <c r="X81" s="34">
        <f t="shared" si="124"/>
        <v>3.8800000000000008</v>
      </c>
      <c r="Y81" s="34">
        <f t="shared" si="125"/>
        <v>12</v>
      </c>
      <c r="Z81" s="65">
        <f t="shared" si="153"/>
        <v>0</v>
      </c>
      <c r="AA81" s="34">
        <f t="shared" si="126"/>
        <v>0</v>
      </c>
      <c r="AB81" s="47">
        <v>0</v>
      </c>
      <c r="AC81" s="48" t="str">
        <f t="shared" si="127"/>
        <v>Bundled</v>
      </c>
      <c r="AD81" s="34"/>
      <c r="AE81" s="34"/>
      <c r="AF81" s="49"/>
      <c r="AG81" s="34"/>
      <c r="AH81" s="50"/>
      <c r="AI81" s="51" t="str">
        <f t="shared" si="128"/>
        <v/>
      </c>
      <c r="AJ81" s="34"/>
      <c r="AK81" s="34"/>
      <c r="AL81" s="34">
        <f t="shared" si="129"/>
        <v>0</v>
      </c>
      <c r="AM81" s="34"/>
      <c r="AN81" s="34"/>
      <c r="AO81" s="42"/>
      <c r="AP81" s="52">
        <f t="shared" si="130"/>
        <v>0</v>
      </c>
      <c r="AQ81" s="52">
        <f t="shared" si="131"/>
        <v>0</v>
      </c>
      <c r="AR81" s="53">
        <f t="shared" si="132"/>
        <v>0</v>
      </c>
      <c r="AS81" s="52">
        <f t="shared" si="133"/>
        <v>0</v>
      </c>
      <c r="AT81" s="54">
        <v>0</v>
      </c>
      <c r="AU81" s="55">
        <f t="shared" si="134"/>
        <v>0</v>
      </c>
      <c r="AV81" s="55"/>
      <c r="AW81" s="67" t="s">
        <v>5</v>
      </c>
      <c r="AX81" s="68"/>
      <c r="AY81" s="69"/>
      <c r="AZ81" s="68"/>
      <c r="BA81" s="89"/>
      <c r="BB81" s="5"/>
      <c r="BC81" s="29">
        <f t="shared" si="135"/>
        <v>0</v>
      </c>
      <c r="BD81" s="29">
        <f t="shared" si="136"/>
        <v>0</v>
      </c>
      <c r="BE81" s="25">
        <f t="shared" si="137"/>
        <v>0</v>
      </c>
      <c r="BF81" s="25">
        <f t="shared" si="137"/>
        <v>-5899.8375475000003</v>
      </c>
      <c r="BG81" s="25">
        <f t="shared" si="138"/>
        <v>-18246.920249999999</v>
      </c>
      <c r="BH81" s="29"/>
      <c r="BI81" s="26">
        <f t="shared" si="139"/>
        <v>0</v>
      </c>
      <c r="BJ81" s="26" t="e">
        <f t="shared" si="140"/>
        <v>#REF!</v>
      </c>
      <c r="BK81" s="26" t="e">
        <f>IF(H81="Bundled",MIN(Y81*$AG$1*(1+#REF!),BI81),AR81)</f>
        <v>#REF!</v>
      </c>
      <c r="BL81" s="27">
        <f t="shared" si="141"/>
        <v>0</v>
      </c>
      <c r="BM81" s="27">
        <f t="shared" si="142"/>
        <v>70798.050570000007</v>
      </c>
      <c r="BN81" s="27">
        <f t="shared" si="143"/>
        <v>218963.04300000001</v>
      </c>
      <c r="BO81" s="27">
        <f t="shared" si="144"/>
        <v>0</v>
      </c>
      <c r="BP81" s="27" t="e">
        <f>+#REF!*Y81</f>
        <v>#REF!</v>
      </c>
      <c r="BQ81" s="27" t="e">
        <f t="shared" si="145"/>
        <v>#REF!</v>
      </c>
      <c r="BR81" s="27" t="e">
        <f t="shared" si="146"/>
        <v>#REF!</v>
      </c>
      <c r="BS81" s="27" t="e">
        <f t="shared" si="147"/>
        <v>#REF!</v>
      </c>
      <c r="BT81" s="27">
        <f t="shared" si="148"/>
        <v>12</v>
      </c>
      <c r="BU81" s="27">
        <f t="shared" si="149"/>
        <v>0</v>
      </c>
      <c r="BV81" s="27">
        <f t="shared" si="150"/>
        <v>218963.04300000001</v>
      </c>
      <c r="BW81" s="27" t="e">
        <f>IF(H81="Bundled",+(BG81-#REF!)*Y81,(AP81+AQ81)-Y81*#REF!)</f>
        <v>#REF!</v>
      </c>
      <c r="BX81" s="27" t="e">
        <f t="shared" si="151"/>
        <v>#REF!</v>
      </c>
      <c r="BY81" s="27">
        <f t="shared" si="152"/>
        <v>18246.920249999999</v>
      </c>
      <c r="BZ81" s="27" t="e">
        <f t="shared" si="152"/>
        <v>#REF!</v>
      </c>
      <c r="CA81" s="27" t="e">
        <f t="shared" si="152"/>
        <v>#REF!</v>
      </c>
    </row>
    <row r="82" spans="1:79" s="16" customFormat="1" x14ac:dyDescent="0.3">
      <c r="A82" s="199" t="s">
        <v>247</v>
      </c>
      <c r="B82" s="507" t="s">
        <v>480</v>
      </c>
      <c r="C82" s="132" t="s">
        <v>328</v>
      </c>
      <c r="D82" s="132" t="s">
        <v>405</v>
      </c>
      <c r="E82" s="34">
        <v>5</v>
      </c>
      <c r="F82" s="34"/>
      <c r="G82" s="33" t="s">
        <v>11</v>
      </c>
      <c r="H82" s="34" t="s">
        <v>57</v>
      </c>
      <c r="I82" s="33" t="s">
        <v>3</v>
      </c>
      <c r="J82" s="33" t="s">
        <v>53</v>
      </c>
      <c r="K82" s="31" t="str">
        <f t="shared" si="154"/>
        <v>Sq Ft</v>
      </c>
      <c r="L82" s="33">
        <v>128</v>
      </c>
      <c r="M82" s="33">
        <v>128</v>
      </c>
      <c r="N82" s="35">
        <f t="shared" si="121"/>
        <v>0</v>
      </c>
      <c r="O82" s="33">
        <v>4</v>
      </c>
      <c r="P82" s="33"/>
      <c r="Q82" s="42">
        <f>(400000)/12</f>
        <v>33333.333333333336</v>
      </c>
      <c r="R82" s="43" t="str">
        <f t="shared" si="122"/>
        <v>Rated</v>
      </c>
      <c r="S82" s="33" t="s">
        <v>54</v>
      </c>
      <c r="T82" s="34">
        <v>32</v>
      </c>
      <c r="U82" s="45">
        <v>41.72</v>
      </c>
      <c r="V82" s="46">
        <f t="shared" si="123"/>
        <v>-9.7199999999999989</v>
      </c>
      <c r="W82" s="34"/>
      <c r="X82" s="34">
        <f t="shared" si="124"/>
        <v>0</v>
      </c>
      <c r="Y82" s="34">
        <f t="shared" si="125"/>
        <v>16</v>
      </c>
      <c r="Z82" s="65">
        <f t="shared" si="153"/>
        <v>14.152559523809524</v>
      </c>
      <c r="AA82" s="34">
        <f t="shared" si="126"/>
        <v>9.7199999999999989</v>
      </c>
      <c r="AB82" s="47">
        <v>0</v>
      </c>
      <c r="AC82" s="48" t="str">
        <f t="shared" si="127"/>
        <v>Metered</v>
      </c>
      <c r="AD82" s="34">
        <v>1</v>
      </c>
      <c r="AE82" s="34" t="s">
        <v>62</v>
      </c>
      <c r="AF82" s="49">
        <v>16.5</v>
      </c>
      <c r="AG82" s="34">
        <v>9510.52</v>
      </c>
      <c r="AH82" s="50" t="s">
        <v>55</v>
      </c>
      <c r="AI82" s="51" t="str">
        <f t="shared" si="128"/>
        <v>No of Seats</v>
      </c>
      <c r="AJ82" s="34">
        <v>5</v>
      </c>
      <c r="AK82" s="34">
        <v>5</v>
      </c>
      <c r="AL82" s="34">
        <f t="shared" si="129"/>
        <v>0</v>
      </c>
      <c r="AM82" s="34">
        <v>5</v>
      </c>
      <c r="AN82" s="34"/>
      <c r="AO82" s="42">
        <f>95000/12</f>
        <v>7916.666666666667</v>
      </c>
      <c r="AP82" s="52">
        <f t="shared" si="130"/>
        <v>133333.33333333334</v>
      </c>
      <c r="AQ82" s="52">
        <f t="shared" si="131"/>
        <v>0</v>
      </c>
      <c r="AR82" s="53">
        <f t="shared" si="132"/>
        <v>156923.58000000002</v>
      </c>
      <c r="AS82" s="52">
        <f t="shared" si="133"/>
        <v>39583.333333333336</v>
      </c>
      <c r="AT82" s="54">
        <f>(20000+80000+25000+124000+63000)/12</f>
        <v>26000</v>
      </c>
      <c r="AU82" s="55">
        <f t="shared" si="134"/>
        <v>355840.24666666664</v>
      </c>
      <c r="AV82" s="55"/>
      <c r="AW82" s="67" t="s">
        <v>112</v>
      </c>
      <c r="AX82" s="68">
        <v>43169</v>
      </c>
      <c r="AY82" s="69"/>
      <c r="AZ82" s="68"/>
      <c r="BA82" s="89"/>
      <c r="BB82" s="5"/>
      <c r="BC82" s="29">
        <f t="shared" si="135"/>
        <v>83400.057812499988</v>
      </c>
      <c r="BD82" s="29">
        <f t="shared" si="136"/>
        <v>22240.015416666665</v>
      </c>
      <c r="BE82" s="25">
        <f t="shared" si="137"/>
        <v>2014.5038933538235</v>
      </c>
      <c r="BF82" s="25">
        <f t="shared" si="137"/>
        <v>2014.5038933538235</v>
      </c>
      <c r="BG82" s="25">
        <f t="shared" si="138"/>
        <v>3089.7511208333326</v>
      </c>
      <c r="BH82" s="29"/>
      <c r="BI82" s="26">
        <f t="shared" si="139"/>
        <v>290256.91333333333</v>
      </c>
      <c r="BJ82" s="26">
        <f t="shared" si="140"/>
        <v>133333.33333333331</v>
      </c>
      <c r="BK82" s="26">
        <f>IF(H82="Bundled",MIN(Y82*$AG$1*(1+#REF!),BI82),AR82)</f>
        <v>156923.58000000002</v>
      </c>
      <c r="BL82" s="27">
        <f t="shared" si="141"/>
        <v>258024.85103967215</v>
      </c>
      <c r="BM82" s="27">
        <f t="shared" si="142"/>
        <v>258024.85103967215</v>
      </c>
      <c r="BN82" s="27">
        <f t="shared" si="143"/>
        <v>248158.11539999998</v>
      </c>
      <c r="BO82" s="27">
        <f t="shared" si="144"/>
        <v>32232.062293661176</v>
      </c>
      <c r="BP82" s="27" t="e">
        <f>+#REF!*Y82</f>
        <v>#REF!</v>
      </c>
      <c r="BQ82" s="27" t="e">
        <f t="shared" si="145"/>
        <v>#REF!</v>
      </c>
      <c r="BR82" s="27">
        <f t="shared" si="146"/>
        <v>-101101.27103967214</v>
      </c>
      <c r="BS82" s="27" t="e">
        <f t="shared" si="147"/>
        <v>#REF!</v>
      </c>
      <c r="BT82" s="27">
        <f t="shared" si="148"/>
        <v>16</v>
      </c>
      <c r="BU82" s="27">
        <f t="shared" si="149"/>
        <v>2014.5038933538235</v>
      </c>
      <c r="BV82" s="27">
        <f t="shared" si="150"/>
        <v>-101101.27103967214</v>
      </c>
      <c r="BW82" s="27" t="e">
        <f>IF(H82="Bundled",+(BG82-#REF!)*Y82,(AP82+AQ82)-Y82*#REF!)</f>
        <v>#REF!</v>
      </c>
      <c r="BX82" s="27" t="e">
        <f t="shared" si="151"/>
        <v>#REF!</v>
      </c>
      <c r="BY82" s="27">
        <f t="shared" si="152"/>
        <v>-6318.8294399795086</v>
      </c>
      <c r="BZ82" s="27" t="e">
        <f t="shared" si="152"/>
        <v>#REF!</v>
      </c>
      <c r="CA82" s="27" t="e">
        <f t="shared" si="152"/>
        <v>#REF!</v>
      </c>
    </row>
    <row r="83" spans="1:79" s="16" customFormat="1" x14ac:dyDescent="0.3">
      <c r="A83" s="199" t="s">
        <v>247</v>
      </c>
      <c r="B83" s="507"/>
      <c r="C83" s="132" t="s">
        <v>328</v>
      </c>
      <c r="D83" s="132" t="s">
        <v>405</v>
      </c>
      <c r="E83" s="132"/>
      <c r="F83" s="132"/>
      <c r="G83" s="33" t="s">
        <v>56</v>
      </c>
      <c r="H83" s="34" t="s">
        <v>57</v>
      </c>
      <c r="I83" s="33" t="s">
        <v>3</v>
      </c>
      <c r="J83" s="33" t="s">
        <v>53</v>
      </c>
      <c r="K83" s="31" t="str">
        <f t="shared" si="154"/>
        <v>Sq Ft</v>
      </c>
      <c r="L83" s="33">
        <v>64</v>
      </c>
      <c r="M83" s="33">
        <v>64</v>
      </c>
      <c r="N83" s="35">
        <f t="shared" si="121"/>
        <v>0</v>
      </c>
      <c r="O83" s="33">
        <v>2</v>
      </c>
      <c r="P83" s="33"/>
      <c r="Q83" s="42">
        <f>(400000)/12</f>
        <v>33333.333333333336</v>
      </c>
      <c r="R83" s="43" t="str">
        <f t="shared" si="122"/>
        <v>Subscribed</v>
      </c>
      <c r="S83" s="33" t="s">
        <v>58</v>
      </c>
      <c r="T83" s="34">
        <v>5</v>
      </c>
      <c r="U83" s="66">
        <f>Z83</f>
        <v>4.9006696428571432</v>
      </c>
      <c r="V83" s="46">
        <f t="shared" si="123"/>
        <v>9.9330357142856762E-2</v>
      </c>
      <c r="W83" s="34"/>
      <c r="X83" s="34">
        <f t="shared" si="124"/>
        <v>9.9330357142856762E-2</v>
      </c>
      <c r="Y83" s="34">
        <f t="shared" si="125"/>
        <v>5</v>
      </c>
      <c r="Z83" s="65">
        <f t="shared" si="153"/>
        <v>4.9006696428571432</v>
      </c>
      <c r="AA83" s="34">
        <f t="shared" si="126"/>
        <v>0</v>
      </c>
      <c r="AB83" s="47">
        <v>0</v>
      </c>
      <c r="AC83" s="48" t="str">
        <f t="shared" si="127"/>
        <v>Metered</v>
      </c>
      <c r="AD83" s="34">
        <v>1</v>
      </c>
      <c r="AE83" s="34" t="s">
        <v>62</v>
      </c>
      <c r="AF83" s="49">
        <v>19.5</v>
      </c>
      <c r="AG83" s="34">
        <v>3293.25</v>
      </c>
      <c r="AH83" s="50"/>
      <c r="AI83" s="51"/>
      <c r="AJ83" s="34"/>
      <c r="AK83" s="34"/>
      <c r="AL83" s="34">
        <f t="shared" si="129"/>
        <v>0</v>
      </c>
      <c r="AM83" s="34"/>
      <c r="AN83" s="34"/>
      <c r="AO83" s="42"/>
      <c r="AP83" s="52">
        <f t="shared" si="130"/>
        <v>66666.666666666672</v>
      </c>
      <c r="AQ83" s="52">
        <f t="shared" si="131"/>
        <v>0</v>
      </c>
      <c r="AR83" s="53">
        <f t="shared" si="132"/>
        <v>64218.375</v>
      </c>
      <c r="AS83" s="52">
        <f t="shared" si="133"/>
        <v>0</v>
      </c>
      <c r="AT83" s="54">
        <v>0</v>
      </c>
      <c r="AU83" s="55">
        <f t="shared" si="134"/>
        <v>130885.04166666667</v>
      </c>
      <c r="AV83" s="55"/>
      <c r="AW83" s="67">
        <v>121001447</v>
      </c>
      <c r="AX83" s="68">
        <v>43169</v>
      </c>
      <c r="AY83" s="69"/>
      <c r="AZ83" s="68"/>
      <c r="BA83" s="89"/>
      <c r="BB83" s="5"/>
      <c r="BC83" s="29">
        <f t="shared" si="135"/>
        <v>61352.36328125</v>
      </c>
      <c r="BD83" s="29">
        <f t="shared" si="136"/>
        <v>26177.008333333335</v>
      </c>
      <c r="BE83" s="25">
        <f t="shared" si="137"/>
        <v>8307.5261034153027</v>
      </c>
      <c r="BF83" s="25">
        <f t="shared" si="137"/>
        <v>8307.5261034153027</v>
      </c>
      <c r="BG83" s="25">
        <f t="shared" si="138"/>
        <v>9956.3511208333366</v>
      </c>
      <c r="BH83" s="29"/>
      <c r="BI83" s="26">
        <f t="shared" si="139"/>
        <v>130885.04166666667</v>
      </c>
      <c r="BJ83" s="26">
        <f t="shared" si="140"/>
        <v>66666.666666666672</v>
      </c>
      <c r="BK83" s="26">
        <f>IF(H83="Bundled",MIN(Y83*$AG$1*(1+#REF!),BI83),AR83)</f>
        <v>64218.375</v>
      </c>
      <c r="BL83" s="27">
        <f t="shared" si="141"/>
        <v>89347.41114959016</v>
      </c>
      <c r="BM83" s="27">
        <f t="shared" si="142"/>
        <v>89347.41114959016</v>
      </c>
      <c r="BN83" s="27">
        <f t="shared" si="143"/>
        <v>77549.411062499988</v>
      </c>
      <c r="BO83" s="27">
        <f t="shared" si="144"/>
        <v>41537.630517076512</v>
      </c>
      <c r="BP83" s="27" t="e">
        <f>+#REF!*Y83</f>
        <v>#REF!</v>
      </c>
      <c r="BQ83" s="27" t="e">
        <f t="shared" si="145"/>
        <v>#REF!</v>
      </c>
      <c r="BR83" s="27">
        <f t="shared" si="146"/>
        <v>-25129.03614959016</v>
      </c>
      <c r="BS83" s="27" t="e">
        <f t="shared" si="147"/>
        <v>#REF!</v>
      </c>
      <c r="BT83" s="27">
        <f t="shared" si="148"/>
        <v>5</v>
      </c>
      <c r="BU83" s="27">
        <f t="shared" si="149"/>
        <v>8307.5261034153027</v>
      </c>
      <c r="BV83" s="27">
        <f t="shared" si="150"/>
        <v>-25129.03614959016</v>
      </c>
      <c r="BW83" s="27" t="e">
        <f>IF(H83="Bundled",+(BG83-#REF!)*Y83,(AP83+AQ83)-Y83*#REF!)</f>
        <v>#REF!</v>
      </c>
      <c r="BX83" s="27" t="e">
        <f t="shared" si="151"/>
        <v>#REF!</v>
      </c>
      <c r="BY83" s="27">
        <f t="shared" si="152"/>
        <v>-5025.8072299180321</v>
      </c>
      <c r="BZ83" s="27" t="e">
        <f t="shared" si="152"/>
        <v>#REF!</v>
      </c>
      <c r="CA83" s="27" t="e">
        <f t="shared" si="152"/>
        <v>#REF!</v>
      </c>
    </row>
    <row r="84" spans="1:79" s="16" customFormat="1" x14ac:dyDescent="0.3">
      <c r="A84" s="199" t="s">
        <v>247</v>
      </c>
      <c r="B84" s="44" t="s">
        <v>433</v>
      </c>
      <c r="C84" s="132" t="s">
        <v>328</v>
      </c>
      <c r="D84" s="132" t="s">
        <v>405</v>
      </c>
      <c r="E84" s="132"/>
      <c r="F84" s="132"/>
      <c r="G84" s="33" t="s">
        <v>56</v>
      </c>
      <c r="H84" s="34" t="s">
        <v>57</v>
      </c>
      <c r="I84" s="33" t="s">
        <v>8</v>
      </c>
      <c r="J84" s="33" t="s">
        <v>61</v>
      </c>
      <c r="K84" s="31" t="str">
        <f t="shared" si="154"/>
        <v>No of Racks</v>
      </c>
      <c r="L84" s="33">
        <v>1</v>
      </c>
      <c r="M84" s="33">
        <v>1</v>
      </c>
      <c r="N84" s="35">
        <f t="shared" si="121"/>
        <v>0</v>
      </c>
      <c r="O84" s="33">
        <v>1</v>
      </c>
      <c r="P84" s="33"/>
      <c r="Q84" s="42"/>
      <c r="R84" s="43" t="s">
        <v>56</v>
      </c>
      <c r="S84" s="33" t="s">
        <v>58</v>
      </c>
      <c r="T84" s="34">
        <v>4</v>
      </c>
      <c r="U84" s="66">
        <f>Z84</f>
        <v>5.9017857142857144</v>
      </c>
      <c r="V84" s="46">
        <f t="shared" si="123"/>
        <v>-1.9017857142857144</v>
      </c>
      <c r="W84" s="34"/>
      <c r="X84" s="34">
        <f t="shared" si="124"/>
        <v>0</v>
      </c>
      <c r="Y84" s="34">
        <f t="shared" si="125"/>
        <v>4</v>
      </c>
      <c r="Z84" s="65">
        <f t="shared" si="153"/>
        <v>5.9017857142857144</v>
      </c>
      <c r="AA84" s="34">
        <f t="shared" si="126"/>
        <v>1.9017857142857144</v>
      </c>
      <c r="AB84" s="47"/>
      <c r="AC84" s="48" t="str">
        <f t="shared" si="127"/>
        <v>Metered</v>
      </c>
      <c r="AD84" s="34"/>
      <c r="AE84" s="34"/>
      <c r="AF84" s="49"/>
      <c r="AG84" s="34">
        <v>3966</v>
      </c>
      <c r="AH84" s="50"/>
      <c r="AI84" s="51"/>
      <c r="AJ84" s="34"/>
      <c r="AK84" s="34"/>
      <c r="AL84" s="34"/>
      <c r="AM84" s="34"/>
      <c r="AN84" s="34"/>
      <c r="AO84" s="42"/>
      <c r="AP84" s="52"/>
      <c r="AQ84" s="52"/>
      <c r="AR84" s="53"/>
      <c r="AS84" s="52"/>
      <c r="AT84" s="54"/>
      <c r="AU84" s="55"/>
      <c r="AV84" s="55"/>
      <c r="AW84" s="67"/>
      <c r="AX84" s="68"/>
      <c r="AY84" s="69"/>
      <c r="AZ84" s="68"/>
      <c r="BA84" s="89"/>
      <c r="BB84" s="5"/>
      <c r="BC84" s="59"/>
      <c r="BD84" s="59"/>
      <c r="BE84" s="59"/>
      <c r="BF84" s="59"/>
      <c r="BG84" s="59"/>
      <c r="BH84" s="59"/>
      <c r="BI84" s="60"/>
      <c r="BJ84" s="60"/>
      <c r="BK84" s="60"/>
      <c r="BL84" s="61">
        <f t="shared" si="141"/>
        <v>107599.43296721313</v>
      </c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</row>
    <row r="85" spans="1:79" s="16" customFormat="1" ht="26" x14ac:dyDescent="0.3">
      <c r="A85" s="199" t="s">
        <v>247</v>
      </c>
      <c r="B85" s="44" t="s">
        <v>158</v>
      </c>
      <c r="C85" s="32" t="s">
        <v>332</v>
      </c>
      <c r="D85" s="32" t="s">
        <v>404</v>
      </c>
      <c r="E85" s="32"/>
      <c r="F85" s="32"/>
      <c r="G85" s="33" t="s">
        <v>56</v>
      </c>
      <c r="H85" s="34" t="s">
        <v>57</v>
      </c>
      <c r="I85" s="33" t="s">
        <v>8</v>
      </c>
      <c r="J85" s="33" t="s">
        <v>61</v>
      </c>
      <c r="K85" s="31" t="str">
        <f t="shared" si="154"/>
        <v>No of Racks</v>
      </c>
      <c r="L85" s="33">
        <v>5</v>
      </c>
      <c r="M85" s="33">
        <v>5</v>
      </c>
      <c r="N85" s="35">
        <f t="shared" si="121"/>
        <v>0</v>
      </c>
      <c r="O85" s="33">
        <v>5</v>
      </c>
      <c r="P85" s="33"/>
      <c r="Q85" s="42">
        <f>(133940+259400)/12</f>
        <v>32778.333333333336</v>
      </c>
      <c r="R85" s="43" t="str">
        <f t="shared" ref="R85:R104" si="155">G85</f>
        <v>Subscribed</v>
      </c>
      <c r="S85" s="33" t="s">
        <v>58</v>
      </c>
      <c r="T85" s="34">
        <v>17.5</v>
      </c>
      <c r="U85" s="66">
        <f>Z85</f>
        <v>16.265193452380952</v>
      </c>
      <c r="V85" s="46">
        <f t="shared" si="123"/>
        <v>1.2348065476190477</v>
      </c>
      <c r="W85" s="34"/>
      <c r="X85" s="34">
        <f t="shared" si="124"/>
        <v>1.2348065476190477</v>
      </c>
      <c r="Y85" s="34">
        <f t="shared" si="125"/>
        <v>17.5</v>
      </c>
      <c r="Z85" s="65">
        <f t="shared" si="153"/>
        <v>16.265193452380952</v>
      </c>
      <c r="AA85" s="34">
        <f t="shared" si="126"/>
        <v>0</v>
      </c>
      <c r="AB85" s="47">
        <f>90000/12</f>
        <v>7500</v>
      </c>
      <c r="AC85" s="48" t="str">
        <f t="shared" si="127"/>
        <v>Metered</v>
      </c>
      <c r="AD85" s="34">
        <v>1</v>
      </c>
      <c r="AE85" s="34" t="s">
        <v>62</v>
      </c>
      <c r="AF85" s="49">
        <f>1.7*10.2</f>
        <v>17.34</v>
      </c>
      <c r="AG85" s="34">
        <v>10930.21</v>
      </c>
      <c r="AH85" s="50"/>
      <c r="AI85" s="51" t="str">
        <f>IF(AH85="No of Seats","No of Seats",(IF(AH85="Space","Sq Ft","")))</f>
        <v/>
      </c>
      <c r="AJ85" s="34"/>
      <c r="AK85" s="34"/>
      <c r="AL85" s="34">
        <f>AJ85-AK85</f>
        <v>0</v>
      </c>
      <c r="AM85" s="34"/>
      <c r="AN85" s="34"/>
      <c r="AO85" s="42"/>
      <c r="AP85" s="52">
        <f t="shared" ref="AP85:AP104" si="156">Q85*O85</f>
        <v>163891.66666666669</v>
      </c>
      <c r="AQ85" s="52">
        <f t="shared" ref="AQ85:AQ104" si="157">AB85*AA85</f>
        <v>0</v>
      </c>
      <c r="AR85" s="53">
        <f t="shared" ref="AR85:AR104" si="158">AG85*AF85*AD85</f>
        <v>189529.84139999998</v>
      </c>
      <c r="AS85" s="52">
        <f t="shared" ref="AS85:AS104" si="159">AO85*AM85</f>
        <v>0</v>
      </c>
      <c r="AT85" s="54">
        <f>(60000)/12</f>
        <v>5000</v>
      </c>
      <c r="AU85" s="55">
        <f t="shared" ref="AU85:AU104" si="160">SUBTOTAL(9,AP85:AT85)</f>
        <v>358421.50806666666</v>
      </c>
      <c r="AV85" s="55"/>
      <c r="AW85" s="67">
        <v>721006088</v>
      </c>
      <c r="AX85" s="68">
        <v>43181</v>
      </c>
      <c r="AY85" s="69">
        <v>3</v>
      </c>
      <c r="AZ85" s="68">
        <v>44276</v>
      </c>
      <c r="BA85" s="89"/>
      <c r="BB85" s="5"/>
      <c r="BC85" s="29">
        <f t="shared" ref="BC85:BC104" si="161">IF(I85="Rack",AU85/L85,0)+IF(I85="U Space",AU85*40/L85,0)+IF(I85="Space",AU85*30/L85,0)</f>
        <v>71684.301613333329</v>
      </c>
      <c r="BD85" s="29">
        <f t="shared" ref="BD85:BD104" si="162">+AU85/Y85</f>
        <v>20481.229032380954</v>
      </c>
      <c r="BE85" s="25">
        <f t="shared" ref="BE85:BE104" si="163">+($AP85+$AQ85+$AR85-BL85)/$Y85</f>
        <v>3250.2745159547244</v>
      </c>
      <c r="BF85" s="25">
        <f t="shared" ref="BF85:BF104" si="164">+($AP85+$AQ85+$AR85-BM85)/$Y85</f>
        <v>3250.2745159547244</v>
      </c>
      <c r="BG85" s="25">
        <f t="shared" ref="BG85:BG104" si="165">+($AP85+$AQ85+IF(H85="Bundled",0,Y85*0.85*AD85*AF85*30.5*24)-BN85)/$Y85</f>
        <v>4644.3038827380997</v>
      </c>
      <c r="BH85" s="29"/>
      <c r="BI85" s="26">
        <f t="shared" ref="BI85:BI104" si="166">+AP85+AQ85+AR85</f>
        <v>353421.50806666666</v>
      </c>
      <c r="BJ85" s="26">
        <f t="shared" ref="BJ85:BJ104" si="167">+BI85-BK85</f>
        <v>163891.66666666669</v>
      </c>
      <c r="BK85" s="26">
        <f>IF(H85="Bundled",MIN(Y85*$AG$1*(1+#REF!),BI85),AR85)</f>
        <v>189529.84139999998</v>
      </c>
      <c r="BL85" s="27">
        <f t="shared" si="141"/>
        <v>296541.70403745899</v>
      </c>
      <c r="BM85" s="27">
        <f t="shared" ref="BM85:BM104" si="168">IF($AG85&gt;0,$AG85*$AD$1*$AF$1*(1+$AI$1*(20/$AF$1)/732),+$AG$1*(Z85+X85))</f>
        <v>296541.70403745899</v>
      </c>
      <c r="BN85" s="27">
        <f t="shared" ref="BN85:BN104" si="169">IF(H85="Bundled",$AG$1*Y85,$AG$1*Y85*0.85)</f>
        <v>271422.93871874997</v>
      </c>
      <c r="BO85" s="27">
        <f t="shared" ref="BO85:BO104" si="170">+BE85*Y85</f>
        <v>56879.804029207677</v>
      </c>
      <c r="BP85" s="27" t="e">
        <f>+#REF!*Y85</f>
        <v>#REF!</v>
      </c>
      <c r="BQ85" s="27" t="e">
        <f t="shared" ref="BQ85:BQ104" si="171">+BJ85-BP85</f>
        <v>#REF!</v>
      </c>
      <c r="BR85" s="27">
        <f t="shared" ref="BR85:BR104" si="172">+BK85-BL85</f>
        <v>-107011.86263745901</v>
      </c>
      <c r="BS85" s="27" t="e">
        <f t="shared" ref="BS85:BS104" si="173">+BQ85+BR85</f>
        <v>#REF!</v>
      </c>
      <c r="BT85" s="27">
        <f t="shared" ref="BT85:BT104" si="174">+Y85</f>
        <v>17.5</v>
      </c>
      <c r="BU85" s="27">
        <f t="shared" ref="BU85:BU104" si="175">+BE85</f>
        <v>3250.2745159547244</v>
      </c>
      <c r="BV85" s="27">
        <f t="shared" ref="BV85:BV104" si="176">IF(H85="Bundled",BN85-BL85,AR85-BL85)</f>
        <v>-107011.86263745901</v>
      </c>
      <c r="BW85" s="27" t="e">
        <f>IF(H85="Bundled",+(BG85-#REF!)*Y85,(AP85+AQ85)-Y85*#REF!)</f>
        <v>#REF!</v>
      </c>
      <c r="BX85" s="27" t="e">
        <f t="shared" ref="BX85:BX104" si="177">+BV85+BW85</f>
        <v>#REF!</v>
      </c>
      <c r="BY85" s="27">
        <f t="shared" ref="BY85:BY104" si="178">+BV85/$BT85</f>
        <v>-6114.9635792833724</v>
      </c>
      <c r="BZ85" s="27" t="e">
        <f t="shared" ref="BZ85:BZ104" si="179">+BW85/$BT85</f>
        <v>#REF!</v>
      </c>
      <c r="CA85" s="27" t="e">
        <f t="shared" ref="CA85:CA104" si="180">+BX85/$BT85</f>
        <v>#REF!</v>
      </c>
    </row>
    <row r="86" spans="1:79" s="16" customFormat="1" x14ac:dyDescent="0.3">
      <c r="A86" s="199" t="s">
        <v>247</v>
      </c>
      <c r="B86" s="44" t="s">
        <v>481</v>
      </c>
      <c r="C86" s="32" t="s">
        <v>319</v>
      </c>
      <c r="D86" s="32" t="s">
        <v>405</v>
      </c>
      <c r="E86" s="32"/>
      <c r="F86" s="32"/>
      <c r="G86" s="33" t="s">
        <v>56</v>
      </c>
      <c r="H86" s="34" t="s">
        <v>57</v>
      </c>
      <c r="I86" s="33" t="s">
        <v>3</v>
      </c>
      <c r="J86" s="33" t="s">
        <v>53</v>
      </c>
      <c r="K86" s="31" t="str">
        <f t="shared" si="154"/>
        <v>Sq Ft</v>
      </c>
      <c r="L86" s="33">
        <v>288</v>
      </c>
      <c r="M86" s="33">
        <v>288</v>
      </c>
      <c r="N86" s="35">
        <f t="shared" si="121"/>
        <v>0</v>
      </c>
      <c r="O86" s="33">
        <v>12</v>
      </c>
      <c r="P86" s="33"/>
      <c r="Q86" s="42">
        <f>(130000)/12</f>
        <v>10833.333333333334</v>
      </c>
      <c r="R86" s="43" t="str">
        <f t="shared" si="155"/>
        <v>Subscribed</v>
      </c>
      <c r="S86" s="33" t="s">
        <v>58</v>
      </c>
      <c r="T86" s="34">
        <v>36</v>
      </c>
      <c r="U86" s="66">
        <f>Z86</f>
        <v>17.010372023809524</v>
      </c>
      <c r="V86" s="46">
        <f t="shared" si="123"/>
        <v>18.989627976190476</v>
      </c>
      <c r="W86" s="34"/>
      <c r="X86" s="34">
        <f t="shared" si="124"/>
        <v>18.989627976190476</v>
      </c>
      <c r="Y86" s="34">
        <f t="shared" si="125"/>
        <v>36</v>
      </c>
      <c r="Z86" s="65">
        <f t="shared" si="153"/>
        <v>17.010372023809524</v>
      </c>
      <c r="AA86" s="34">
        <f t="shared" si="126"/>
        <v>0</v>
      </c>
      <c r="AB86" s="47">
        <f>90000/12</f>
        <v>7500</v>
      </c>
      <c r="AC86" s="48" t="str">
        <f t="shared" si="127"/>
        <v>Metered</v>
      </c>
      <c r="AD86" s="34">
        <v>1.7</v>
      </c>
      <c r="AE86" s="34" t="s">
        <v>59</v>
      </c>
      <c r="AF86" s="49">
        <v>9.5299999999999994</v>
      </c>
      <c r="AG86" s="158">
        <v>11430.97</v>
      </c>
      <c r="AH86" s="50"/>
      <c r="AI86" s="51" t="str">
        <f>IF(AH86="No of Seats","No of Seats",(IF(AH86="Space","Sq Ft","")))</f>
        <v/>
      </c>
      <c r="AJ86" s="34"/>
      <c r="AK86" s="34"/>
      <c r="AL86" s="34">
        <f>AJ86-AK86</f>
        <v>0</v>
      </c>
      <c r="AM86" s="34"/>
      <c r="AN86" s="34"/>
      <c r="AO86" s="42"/>
      <c r="AP86" s="52">
        <f t="shared" si="156"/>
        <v>130000</v>
      </c>
      <c r="AQ86" s="52">
        <f t="shared" si="157"/>
        <v>0</v>
      </c>
      <c r="AR86" s="53">
        <f t="shared" si="158"/>
        <v>185193.14496999996</v>
      </c>
      <c r="AS86" s="52">
        <f t="shared" si="159"/>
        <v>0</v>
      </c>
      <c r="AT86" s="54">
        <f>(112000)/12</f>
        <v>9333.3333333333339</v>
      </c>
      <c r="AU86" s="55">
        <f t="shared" si="160"/>
        <v>324526.47830333328</v>
      </c>
      <c r="AV86" s="55"/>
      <c r="AW86" s="67">
        <v>721006426</v>
      </c>
      <c r="AX86" s="68">
        <v>43296</v>
      </c>
      <c r="AY86" s="69">
        <v>3</v>
      </c>
      <c r="AZ86" s="68">
        <v>44391</v>
      </c>
      <c r="BA86" s="89"/>
      <c r="BB86" s="5"/>
      <c r="BC86" s="29">
        <f t="shared" si="161"/>
        <v>33804.84148993055</v>
      </c>
      <c r="BD86" s="29">
        <f t="shared" si="162"/>
        <v>9014.6243973148139</v>
      </c>
      <c r="BE86" s="25">
        <f t="shared" si="163"/>
        <v>140.71078252504392</v>
      </c>
      <c r="BF86" s="25">
        <f t="shared" si="164"/>
        <v>140.71078252504392</v>
      </c>
      <c r="BG86" s="25">
        <f t="shared" si="165"/>
        <v>-1818.5089013888874</v>
      </c>
      <c r="BH86" s="29"/>
      <c r="BI86" s="26">
        <f t="shared" si="166"/>
        <v>315193.14496999996</v>
      </c>
      <c r="BJ86" s="26">
        <f t="shared" si="167"/>
        <v>130000</v>
      </c>
      <c r="BK86" s="26">
        <f>IF(H86="Bundled",MIN(Y86*$AG$1*(1+#REF!),BI86),AR86)</f>
        <v>185193.14496999996</v>
      </c>
      <c r="BL86" s="27">
        <f t="shared" si="141"/>
        <v>310127.55679909838</v>
      </c>
      <c r="BM86" s="27">
        <f t="shared" si="168"/>
        <v>310127.55679909838</v>
      </c>
      <c r="BN86" s="27">
        <f t="shared" si="169"/>
        <v>558355.75964999991</v>
      </c>
      <c r="BO86" s="27">
        <f t="shared" si="170"/>
        <v>5065.5881709015812</v>
      </c>
      <c r="BP86" s="27" t="e">
        <f>+#REF!*Y86</f>
        <v>#REF!</v>
      </c>
      <c r="BQ86" s="27" t="e">
        <f t="shared" si="171"/>
        <v>#REF!</v>
      </c>
      <c r="BR86" s="27">
        <f t="shared" si="172"/>
        <v>-124934.41182909842</v>
      </c>
      <c r="BS86" s="27" t="e">
        <f t="shared" si="173"/>
        <v>#REF!</v>
      </c>
      <c r="BT86" s="27">
        <f t="shared" si="174"/>
        <v>36</v>
      </c>
      <c r="BU86" s="27">
        <f t="shared" si="175"/>
        <v>140.71078252504392</v>
      </c>
      <c r="BV86" s="27">
        <f t="shared" si="176"/>
        <v>-124934.41182909842</v>
      </c>
      <c r="BW86" s="27" t="e">
        <f>IF(H86="Bundled",+(BG86-#REF!)*Y86,(AP86+AQ86)-Y86*#REF!)</f>
        <v>#REF!</v>
      </c>
      <c r="BX86" s="27" t="e">
        <f t="shared" si="177"/>
        <v>#REF!</v>
      </c>
      <c r="BY86" s="27">
        <f t="shared" si="178"/>
        <v>-3470.4003285860672</v>
      </c>
      <c r="BZ86" s="27" t="e">
        <f t="shared" si="179"/>
        <v>#REF!</v>
      </c>
      <c r="CA86" s="27" t="e">
        <f t="shared" si="180"/>
        <v>#REF!</v>
      </c>
    </row>
    <row r="87" spans="1:79" s="16" customFormat="1" ht="26" x14ac:dyDescent="0.3">
      <c r="A87" s="199" t="s">
        <v>247</v>
      </c>
      <c r="B87" s="44" t="s">
        <v>572</v>
      </c>
      <c r="C87" s="32" t="s">
        <v>320</v>
      </c>
      <c r="D87" s="32" t="s">
        <v>405</v>
      </c>
      <c r="E87" s="32"/>
      <c r="F87" s="32"/>
      <c r="G87" s="33" t="s">
        <v>56</v>
      </c>
      <c r="H87" s="34" t="s">
        <v>52</v>
      </c>
      <c r="I87" s="33" t="s">
        <v>8</v>
      </c>
      <c r="J87" s="33" t="s">
        <v>61</v>
      </c>
      <c r="K87" s="31" t="str">
        <f t="shared" si="154"/>
        <v>No of Racks</v>
      </c>
      <c r="L87" s="33">
        <v>2</v>
      </c>
      <c r="M87" s="33">
        <v>2</v>
      </c>
      <c r="N87" s="35">
        <f t="shared" si="121"/>
        <v>0</v>
      </c>
      <c r="O87" s="33">
        <v>2</v>
      </c>
      <c r="P87" s="33"/>
      <c r="Q87" s="42">
        <f>(896*70)</f>
        <v>62720</v>
      </c>
      <c r="R87" s="43" t="str">
        <f t="shared" si="155"/>
        <v>Subscribed</v>
      </c>
      <c r="S87" s="33" t="s">
        <v>58</v>
      </c>
      <c r="T87" s="34">
        <v>10</v>
      </c>
      <c r="U87" s="66">
        <f>Z87</f>
        <v>9.7372023809523807</v>
      </c>
      <c r="V87" s="46">
        <f t="shared" si="123"/>
        <v>0.26279761904761934</v>
      </c>
      <c r="W87" s="34"/>
      <c r="X87" s="34">
        <f t="shared" si="124"/>
        <v>0.26279761904761934</v>
      </c>
      <c r="Y87" s="34">
        <f t="shared" si="125"/>
        <v>10</v>
      </c>
      <c r="Z87" s="65">
        <f t="shared" si="153"/>
        <v>9.7372023809523807</v>
      </c>
      <c r="AA87" s="34">
        <f t="shared" si="126"/>
        <v>0</v>
      </c>
      <c r="AB87" s="47">
        <f>90000/12</f>
        <v>7500</v>
      </c>
      <c r="AC87" s="48" t="str">
        <f t="shared" si="127"/>
        <v>Bundled</v>
      </c>
      <c r="AD87" s="34">
        <v>1</v>
      </c>
      <c r="AE87" s="34" t="s">
        <v>62</v>
      </c>
      <c r="AF87" s="49">
        <v>0</v>
      </c>
      <c r="AG87" s="34">
        <v>6543.4</v>
      </c>
      <c r="AH87" s="50"/>
      <c r="AI87" s="51" t="str">
        <f>IF(AH87="No of Seats","No of Seats",(IF(AH87="Space","Sq Ft","")))</f>
        <v/>
      </c>
      <c r="AJ87" s="34"/>
      <c r="AK87" s="34"/>
      <c r="AL87" s="34">
        <f>AJ87-AK87</f>
        <v>0</v>
      </c>
      <c r="AM87" s="34"/>
      <c r="AN87" s="34"/>
      <c r="AO87" s="42"/>
      <c r="AP87" s="52">
        <f t="shared" si="156"/>
        <v>125440</v>
      </c>
      <c r="AQ87" s="52">
        <f t="shared" si="157"/>
        <v>0</v>
      </c>
      <c r="AR87" s="52">
        <f t="shared" si="158"/>
        <v>0</v>
      </c>
      <c r="AS87" s="52">
        <f t="shared" si="159"/>
        <v>0</v>
      </c>
      <c r="AT87" s="52">
        <f>(0)/12</f>
        <v>0</v>
      </c>
      <c r="AU87" s="55">
        <f t="shared" si="160"/>
        <v>125440</v>
      </c>
      <c r="AV87" s="55"/>
      <c r="AW87" s="67" t="s">
        <v>126</v>
      </c>
      <c r="AX87" s="159" t="s">
        <v>127</v>
      </c>
      <c r="AY87" s="69"/>
      <c r="AZ87" s="68"/>
      <c r="BA87" s="89"/>
      <c r="BB87" s="5"/>
      <c r="BC87" s="29">
        <f t="shared" si="161"/>
        <v>62720</v>
      </c>
      <c r="BD87" s="29">
        <f t="shared" si="162"/>
        <v>12544</v>
      </c>
      <c r="BE87" s="25">
        <f t="shared" si="163"/>
        <v>-5208.5499162295073</v>
      </c>
      <c r="BF87" s="25">
        <f t="shared" si="164"/>
        <v>-5208.5499162295073</v>
      </c>
      <c r="BG87" s="25">
        <f t="shared" si="165"/>
        <v>-5702.9202499999983</v>
      </c>
      <c r="BH87" s="29"/>
      <c r="BI87" s="26">
        <f t="shared" si="166"/>
        <v>125440</v>
      </c>
      <c r="BJ87" s="26" t="e">
        <f t="shared" si="167"/>
        <v>#REF!</v>
      </c>
      <c r="BK87" s="26" t="e">
        <f>IF(H87="Bundled",MIN(Y87*$AG$1*(1+#REF!),BI87),AR87)</f>
        <v>#REF!</v>
      </c>
      <c r="BL87" s="27">
        <f t="shared" si="141"/>
        <v>177525.49916229508</v>
      </c>
      <c r="BM87" s="27">
        <f t="shared" si="168"/>
        <v>177525.49916229508</v>
      </c>
      <c r="BN87" s="27">
        <f t="shared" si="169"/>
        <v>182469.20249999998</v>
      </c>
      <c r="BO87" s="27">
        <f t="shared" si="170"/>
        <v>-52085.499162295077</v>
      </c>
      <c r="BP87" s="27" t="e">
        <f>+#REF!*Y87</f>
        <v>#REF!</v>
      </c>
      <c r="BQ87" s="27" t="e">
        <f t="shared" si="171"/>
        <v>#REF!</v>
      </c>
      <c r="BR87" s="27" t="e">
        <f t="shared" si="172"/>
        <v>#REF!</v>
      </c>
      <c r="BS87" s="27" t="e">
        <f t="shared" si="173"/>
        <v>#REF!</v>
      </c>
      <c r="BT87" s="27">
        <f t="shared" si="174"/>
        <v>10</v>
      </c>
      <c r="BU87" s="27">
        <f t="shared" si="175"/>
        <v>-5208.5499162295073</v>
      </c>
      <c r="BV87" s="27">
        <f t="shared" si="176"/>
        <v>4943.7033377049083</v>
      </c>
      <c r="BW87" s="27" t="e">
        <f>IF(H87="Bundled",+(BG87-#REF!)*Y87,(AP87+AQ87)-Y87*#REF!)</f>
        <v>#REF!</v>
      </c>
      <c r="BX87" s="27" t="e">
        <f t="shared" si="177"/>
        <v>#REF!</v>
      </c>
      <c r="BY87" s="27">
        <f t="shared" si="178"/>
        <v>494.37033377049084</v>
      </c>
      <c r="BZ87" s="27" t="e">
        <f t="shared" si="179"/>
        <v>#REF!</v>
      </c>
      <c r="CA87" s="27" t="e">
        <f t="shared" si="180"/>
        <v>#REF!</v>
      </c>
    </row>
    <row r="88" spans="1:79" s="16" customFormat="1" x14ac:dyDescent="0.3">
      <c r="A88" s="199" t="s">
        <v>247</v>
      </c>
      <c r="B88" s="44" t="s">
        <v>454</v>
      </c>
      <c r="C88" s="132" t="s">
        <v>113</v>
      </c>
      <c r="D88" s="132" t="s">
        <v>404</v>
      </c>
      <c r="E88" s="132"/>
      <c r="F88" s="132"/>
      <c r="G88" s="33" t="s">
        <v>11</v>
      </c>
      <c r="H88" s="34" t="s">
        <v>52</v>
      </c>
      <c r="I88" s="33" t="s">
        <v>8</v>
      </c>
      <c r="J88" s="33" t="s">
        <v>61</v>
      </c>
      <c r="K88" s="31" t="str">
        <f t="shared" si="154"/>
        <v>No of Racks</v>
      </c>
      <c r="L88" s="33">
        <v>7</v>
      </c>
      <c r="M88" s="33">
        <v>7</v>
      </c>
      <c r="N88" s="35">
        <v>0</v>
      </c>
      <c r="O88" s="33">
        <v>0</v>
      </c>
      <c r="P88" s="33"/>
      <c r="Q88" s="42">
        <f>(0)/12</f>
        <v>0</v>
      </c>
      <c r="R88" s="43" t="str">
        <f t="shared" si="155"/>
        <v>Rated</v>
      </c>
      <c r="S88" s="33" t="s">
        <v>54</v>
      </c>
      <c r="T88" s="34">
        <v>21</v>
      </c>
      <c r="U88" s="45">
        <v>10</v>
      </c>
      <c r="V88" s="46">
        <f t="shared" si="123"/>
        <v>11</v>
      </c>
      <c r="W88" s="34"/>
      <c r="X88" s="34">
        <f t="shared" si="124"/>
        <v>5.5</v>
      </c>
      <c r="Y88" s="34">
        <f t="shared" si="125"/>
        <v>10.5</v>
      </c>
      <c r="Z88" s="65">
        <v>16</v>
      </c>
      <c r="AA88" s="34">
        <f t="shared" si="126"/>
        <v>0</v>
      </c>
      <c r="AB88" s="47">
        <v>0</v>
      </c>
      <c r="AC88" s="48" t="str">
        <f t="shared" si="127"/>
        <v>Bundled</v>
      </c>
      <c r="AD88" s="34"/>
      <c r="AE88" s="34"/>
      <c r="AF88" s="49"/>
      <c r="AG88" s="34"/>
      <c r="AH88" s="50"/>
      <c r="AI88" s="51"/>
      <c r="AJ88" s="34"/>
      <c r="AK88" s="34"/>
      <c r="AL88" s="34">
        <f>AJ88-AK88</f>
        <v>0</v>
      </c>
      <c r="AM88" s="34"/>
      <c r="AN88" s="34"/>
      <c r="AO88" s="42">
        <f>(0)/12</f>
        <v>0</v>
      </c>
      <c r="AP88" s="52">
        <f t="shared" si="156"/>
        <v>0</v>
      </c>
      <c r="AQ88" s="52">
        <f t="shared" si="157"/>
        <v>0</v>
      </c>
      <c r="AR88" s="53">
        <f t="shared" si="158"/>
        <v>0</v>
      </c>
      <c r="AS88" s="52">
        <f t="shared" si="159"/>
        <v>0</v>
      </c>
      <c r="AT88" s="54">
        <f>0/12</f>
        <v>0</v>
      </c>
      <c r="AU88" s="55">
        <f t="shared" si="160"/>
        <v>0</v>
      </c>
      <c r="AV88" s="55"/>
      <c r="AW88" s="67" t="s">
        <v>5</v>
      </c>
      <c r="AX88" s="68"/>
      <c r="AY88" s="69"/>
      <c r="AZ88" s="68"/>
      <c r="BA88" s="89"/>
      <c r="BB88" s="5"/>
      <c r="BC88" s="29">
        <f t="shared" si="161"/>
        <v>0</v>
      </c>
      <c r="BD88" s="29">
        <f t="shared" si="162"/>
        <v>0</v>
      </c>
      <c r="BE88" s="25">
        <f t="shared" si="163"/>
        <v>-27804.830857142857</v>
      </c>
      <c r="BF88" s="25">
        <f t="shared" si="164"/>
        <v>-37362.741464285711</v>
      </c>
      <c r="BG88" s="25">
        <f t="shared" si="165"/>
        <v>-18246.920249999999</v>
      </c>
      <c r="BH88" s="29"/>
      <c r="BI88" s="26">
        <f t="shared" si="166"/>
        <v>0</v>
      </c>
      <c r="BJ88" s="26" t="e">
        <f t="shared" si="167"/>
        <v>#REF!</v>
      </c>
      <c r="BK88" s="26" t="e">
        <f>IF(H88="Bundled",MIN(Y88*$AG$1*(1+#REF!),BI88),AR88)</f>
        <v>#REF!</v>
      </c>
      <c r="BL88" s="27">
        <f t="shared" si="141"/>
        <v>291950.72399999999</v>
      </c>
      <c r="BM88" s="27">
        <f t="shared" si="168"/>
        <v>392308.78537499998</v>
      </c>
      <c r="BN88" s="27">
        <f t="shared" si="169"/>
        <v>191592.662625</v>
      </c>
      <c r="BO88" s="27">
        <f t="shared" si="170"/>
        <v>-291950.72399999999</v>
      </c>
      <c r="BP88" s="27" t="e">
        <f>+#REF!*Y88</f>
        <v>#REF!</v>
      </c>
      <c r="BQ88" s="27" t="e">
        <f t="shared" si="171"/>
        <v>#REF!</v>
      </c>
      <c r="BR88" s="27" t="e">
        <f t="shared" si="172"/>
        <v>#REF!</v>
      </c>
      <c r="BS88" s="27" t="e">
        <f t="shared" si="173"/>
        <v>#REF!</v>
      </c>
      <c r="BT88" s="27">
        <f t="shared" si="174"/>
        <v>10.5</v>
      </c>
      <c r="BU88" s="27">
        <f t="shared" si="175"/>
        <v>-27804.830857142857</v>
      </c>
      <c r="BV88" s="27">
        <f t="shared" si="176"/>
        <v>-100358.06137499999</v>
      </c>
      <c r="BW88" s="27" t="e">
        <f>IF(H88="Bundled",+(BG88-#REF!)*Y88,(AP88+AQ88)-Y88*#REF!)</f>
        <v>#REF!</v>
      </c>
      <c r="BX88" s="27" t="e">
        <f t="shared" si="177"/>
        <v>#REF!</v>
      </c>
      <c r="BY88" s="27">
        <f t="shared" si="178"/>
        <v>-9557.910607142856</v>
      </c>
      <c r="BZ88" s="27" t="e">
        <f t="shared" si="179"/>
        <v>#REF!</v>
      </c>
      <c r="CA88" s="27" t="e">
        <f t="shared" si="180"/>
        <v>#REF!</v>
      </c>
    </row>
    <row r="89" spans="1:79" s="16" customFormat="1" ht="39" x14ac:dyDescent="0.3">
      <c r="A89" s="199" t="s">
        <v>247</v>
      </c>
      <c r="B89" s="44" t="s">
        <v>463</v>
      </c>
      <c r="C89" s="32" t="s">
        <v>503</v>
      </c>
      <c r="D89" s="32" t="s">
        <v>405</v>
      </c>
      <c r="E89" s="34">
        <v>2</v>
      </c>
      <c r="F89" s="34"/>
      <c r="G89" s="33" t="s">
        <v>11</v>
      </c>
      <c r="H89" s="34" t="s">
        <v>52</v>
      </c>
      <c r="I89" s="496" t="s">
        <v>3</v>
      </c>
      <c r="J89" s="33" t="s">
        <v>53</v>
      </c>
      <c r="K89" s="31" t="str">
        <f t="shared" si="154"/>
        <v>Sq Ft</v>
      </c>
      <c r="L89" s="496">
        <v>320</v>
      </c>
      <c r="M89" s="496">
        <v>320</v>
      </c>
      <c r="N89" s="35">
        <f t="shared" ref="N89:N117" si="181">L89-M89</f>
        <v>0</v>
      </c>
      <c r="O89" s="33">
        <v>1</v>
      </c>
      <c r="P89" s="33"/>
      <c r="Q89" s="42">
        <f>((552500+552500+552500+552500+552500+376000)/6)/12</f>
        <v>43590.277777777774</v>
      </c>
      <c r="R89" s="43" t="str">
        <f t="shared" si="155"/>
        <v>Rated</v>
      </c>
      <c r="S89" s="33" t="s">
        <v>54</v>
      </c>
      <c r="T89" s="34">
        <v>6</v>
      </c>
      <c r="U89" s="45">
        <v>5.63</v>
      </c>
      <c r="V89" s="46">
        <f t="shared" si="123"/>
        <v>0.37000000000000011</v>
      </c>
      <c r="W89" s="34"/>
      <c r="X89" s="34">
        <f t="shared" si="124"/>
        <v>0.18500000000000005</v>
      </c>
      <c r="Y89" s="34">
        <f t="shared" si="125"/>
        <v>3</v>
      </c>
      <c r="Z89" s="481">
        <v>20.43</v>
      </c>
      <c r="AA89" s="34">
        <f t="shared" si="126"/>
        <v>0</v>
      </c>
      <c r="AB89" s="47">
        <f>90000/12</f>
        <v>7500</v>
      </c>
      <c r="AC89" s="48" t="str">
        <f t="shared" si="127"/>
        <v>Bundled</v>
      </c>
      <c r="AD89" s="34"/>
      <c r="AE89" s="34"/>
      <c r="AF89" s="49"/>
      <c r="AG89" s="34"/>
      <c r="AH89" s="50" t="s">
        <v>55</v>
      </c>
      <c r="AI89" s="51" t="str">
        <f>IF(AH89="No of Seats","No of Seats",(IF(AH89="Space","Sq Ft","")))</f>
        <v>No of Seats</v>
      </c>
      <c r="AJ89" s="34">
        <v>2</v>
      </c>
      <c r="AK89" s="34">
        <v>2</v>
      </c>
      <c r="AL89" s="34">
        <f>AJ89-AK89</f>
        <v>0</v>
      </c>
      <c r="AM89" s="34">
        <v>2</v>
      </c>
      <c r="AN89" s="34"/>
      <c r="AO89" s="42">
        <f>(65000)/12</f>
        <v>5416.666666666667</v>
      </c>
      <c r="AP89" s="52">
        <f t="shared" si="156"/>
        <v>43590.277777777774</v>
      </c>
      <c r="AQ89" s="52">
        <f t="shared" si="157"/>
        <v>0</v>
      </c>
      <c r="AR89" s="53">
        <f t="shared" si="158"/>
        <v>0</v>
      </c>
      <c r="AS89" s="52">
        <f t="shared" si="159"/>
        <v>10833.333333333334</v>
      </c>
      <c r="AT89" s="54">
        <f>(5100+5100+5100+40000+150000)/12</f>
        <v>17108.333333333332</v>
      </c>
      <c r="AU89" s="55">
        <f t="shared" si="160"/>
        <v>71531.944444444438</v>
      </c>
      <c r="AV89" s="55"/>
      <c r="AW89" s="67" t="s">
        <v>116</v>
      </c>
      <c r="AX89" s="159" t="s">
        <v>128</v>
      </c>
      <c r="AY89" s="69">
        <v>7</v>
      </c>
      <c r="AZ89" s="68"/>
      <c r="BA89" s="89"/>
      <c r="BB89" s="5"/>
      <c r="BC89" s="29">
        <f t="shared" si="161"/>
        <v>6706.1197916666661</v>
      </c>
      <c r="BD89" s="29">
        <f t="shared" si="162"/>
        <v>23843.981481481478</v>
      </c>
      <c r="BE89" s="25">
        <f t="shared" si="163"/>
        <v>-109731.43430990742</v>
      </c>
      <c r="BF89" s="25">
        <f t="shared" si="164"/>
        <v>-110856.6610586574</v>
      </c>
      <c r="BG89" s="25">
        <f t="shared" si="165"/>
        <v>-3716.8276574074093</v>
      </c>
      <c r="BH89" s="29"/>
      <c r="BI89" s="26">
        <f t="shared" si="166"/>
        <v>43590.277777777774</v>
      </c>
      <c r="BJ89" s="26" t="e">
        <f t="shared" si="167"/>
        <v>#REF!</v>
      </c>
      <c r="BK89" s="26" t="e">
        <f>IF(H89="Bundled",MIN(Y89*$AG$1*(1+#REF!),BI89),AR89)</f>
        <v>#REF!</v>
      </c>
      <c r="BL89" s="27">
        <f t="shared" si="141"/>
        <v>372784.58070749999</v>
      </c>
      <c r="BM89" s="27">
        <f t="shared" si="168"/>
        <v>376160.26095374994</v>
      </c>
      <c r="BN89" s="27">
        <f t="shared" si="169"/>
        <v>54740.760750000001</v>
      </c>
      <c r="BO89" s="27">
        <f t="shared" si="170"/>
        <v>-329194.30292972224</v>
      </c>
      <c r="BP89" s="27" t="e">
        <f>+#REF!*Y89</f>
        <v>#REF!</v>
      </c>
      <c r="BQ89" s="27" t="e">
        <f t="shared" si="171"/>
        <v>#REF!</v>
      </c>
      <c r="BR89" s="27" t="e">
        <f t="shared" si="172"/>
        <v>#REF!</v>
      </c>
      <c r="BS89" s="27" t="e">
        <f t="shared" si="173"/>
        <v>#REF!</v>
      </c>
      <c r="BT89" s="27">
        <f t="shared" si="174"/>
        <v>3</v>
      </c>
      <c r="BU89" s="27">
        <f t="shared" si="175"/>
        <v>-109731.43430990742</v>
      </c>
      <c r="BV89" s="27">
        <f t="shared" si="176"/>
        <v>-318043.81995749997</v>
      </c>
      <c r="BW89" s="27" t="e">
        <f>IF(H89="Bundled",+(BG89-#REF!)*Y89,(AP89+AQ89)-Y89*#REF!)</f>
        <v>#REF!</v>
      </c>
      <c r="BX89" s="27" t="e">
        <f t="shared" si="177"/>
        <v>#REF!</v>
      </c>
      <c r="BY89" s="27">
        <f t="shared" si="178"/>
        <v>-106014.60665249999</v>
      </c>
      <c r="BZ89" s="27" t="e">
        <f t="shared" si="179"/>
        <v>#REF!</v>
      </c>
      <c r="CA89" s="27" t="e">
        <f t="shared" si="180"/>
        <v>#REF!</v>
      </c>
    </row>
    <row r="90" spans="1:79" s="16" customFormat="1" ht="39" x14ac:dyDescent="0.3">
      <c r="A90" s="199" t="s">
        <v>247</v>
      </c>
      <c r="B90" s="44" t="s">
        <v>464</v>
      </c>
      <c r="C90" s="32" t="s">
        <v>504</v>
      </c>
      <c r="D90" s="32" t="s">
        <v>405</v>
      </c>
      <c r="E90" s="32"/>
      <c r="F90" s="32"/>
      <c r="G90" s="33" t="s">
        <v>11</v>
      </c>
      <c r="H90" s="34" t="s">
        <v>52</v>
      </c>
      <c r="I90" s="497"/>
      <c r="J90" s="33" t="s">
        <v>53</v>
      </c>
      <c r="K90" s="31" t="s">
        <v>479</v>
      </c>
      <c r="L90" s="497"/>
      <c r="M90" s="497"/>
      <c r="N90" s="35">
        <f t="shared" si="181"/>
        <v>0</v>
      </c>
      <c r="O90" s="33">
        <v>3</v>
      </c>
      <c r="P90" s="33"/>
      <c r="Q90" s="42">
        <f t="shared" ref="Q90:Q91" si="182">((552500+552500+552500+552500+552500+376000)/6)/12</f>
        <v>43590.277777777774</v>
      </c>
      <c r="R90" s="43" t="str">
        <f t="shared" si="155"/>
        <v>Rated</v>
      </c>
      <c r="S90" s="33" t="s">
        <v>54</v>
      </c>
      <c r="T90" s="34">
        <v>15</v>
      </c>
      <c r="U90" s="45">
        <f>13.69+11.92+8.1+9.63</f>
        <v>43.34</v>
      </c>
      <c r="V90" s="46">
        <f t="shared" si="123"/>
        <v>-28.340000000000003</v>
      </c>
      <c r="W90" s="34"/>
      <c r="X90" s="34">
        <f t="shared" si="124"/>
        <v>0</v>
      </c>
      <c r="Y90" s="34">
        <f t="shared" si="125"/>
        <v>7.5</v>
      </c>
      <c r="Z90" s="481"/>
      <c r="AA90" s="34">
        <f t="shared" si="126"/>
        <v>28.340000000000003</v>
      </c>
      <c r="AB90" s="47">
        <f t="shared" ref="AB90:AB91" si="183">90000/12</f>
        <v>7500</v>
      </c>
      <c r="AC90" s="48" t="str">
        <f t="shared" si="127"/>
        <v>Bundled</v>
      </c>
      <c r="AD90" s="34"/>
      <c r="AE90" s="34"/>
      <c r="AF90" s="49"/>
      <c r="AG90" s="34"/>
      <c r="AH90" s="50"/>
      <c r="AI90" s="51"/>
      <c r="AJ90" s="34"/>
      <c r="AK90" s="34"/>
      <c r="AL90" s="34"/>
      <c r="AM90" s="34"/>
      <c r="AN90" s="34"/>
      <c r="AO90" s="42">
        <f t="shared" ref="AO90:AO91" si="184">(65000)/12</f>
        <v>5416.666666666667</v>
      </c>
      <c r="AP90" s="52">
        <f t="shared" si="156"/>
        <v>130770.83333333331</v>
      </c>
      <c r="AQ90" s="52">
        <f t="shared" si="157"/>
        <v>212550.00000000003</v>
      </c>
      <c r="AR90" s="53">
        <f t="shared" si="158"/>
        <v>0</v>
      </c>
      <c r="AS90" s="52">
        <f t="shared" si="159"/>
        <v>0</v>
      </c>
      <c r="AT90" s="54">
        <f t="shared" ref="AT90:AT91" si="185">(5100+5100+5100+40000+150000)/12</f>
        <v>17108.333333333332</v>
      </c>
      <c r="AU90" s="55">
        <f t="shared" si="160"/>
        <v>360429.16666666669</v>
      </c>
      <c r="AV90" s="55"/>
      <c r="AW90" s="67" t="s">
        <v>116</v>
      </c>
      <c r="AX90" s="159" t="s">
        <v>128</v>
      </c>
      <c r="AY90" s="69">
        <v>7</v>
      </c>
      <c r="AZ90" s="68"/>
      <c r="BA90" s="89"/>
      <c r="BB90" s="5"/>
      <c r="BC90" s="29">
        <f t="shared" si="161"/>
        <v>0</v>
      </c>
      <c r="BD90" s="29">
        <f t="shared" si="162"/>
        <v>48057.222222222226</v>
      </c>
      <c r="BE90" s="25">
        <f t="shared" si="163"/>
        <v>45776.111111111117</v>
      </c>
      <c r="BF90" s="25">
        <f t="shared" si="164"/>
        <v>45776.111111111117</v>
      </c>
      <c r="BG90" s="25">
        <f t="shared" si="165"/>
        <v>27529.190861111118</v>
      </c>
      <c r="BH90" s="29"/>
      <c r="BI90" s="26">
        <f t="shared" si="166"/>
        <v>343320.83333333337</v>
      </c>
      <c r="BJ90" s="26" t="e">
        <f t="shared" si="167"/>
        <v>#REF!</v>
      </c>
      <c r="BK90" s="26" t="e">
        <f>IF(H90="Bundled",MIN(Y90*$AG$1*(1+#REF!),BI90),AR90)</f>
        <v>#REF!</v>
      </c>
      <c r="BL90" s="27">
        <f t="shared" si="141"/>
        <v>0</v>
      </c>
      <c r="BM90" s="27">
        <f t="shared" si="168"/>
        <v>0</v>
      </c>
      <c r="BN90" s="27">
        <f t="shared" si="169"/>
        <v>136851.90187499998</v>
      </c>
      <c r="BO90" s="27">
        <f t="shared" si="170"/>
        <v>343320.83333333337</v>
      </c>
      <c r="BP90" s="27" t="e">
        <f>+#REF!*Y90</f>
        <v>#REF!</v>
      </c>
      <c r="BQ90" s="27" t="e">
        <f t="shared" si="171"/>
        <v>#REF!</v>
      </c>
      <c r="BR90" s="27" t="e">
        <f t="shared" si="172"/>
        <v>#REF!</v>
      </c>
      <c r="BS90" s="27" t="e">
        <f t="shared" si="173"/>
        <v>#REF!</v>
      </c>
      <c r="BT90" s="27">
        <f t="shared" si="174"/>
        <v>7.5</v>
      </c>
      <c r="BU90" s="27">
        <f t="shared" si="175"/>
        <v>45776.111111111117</v>
      </c>
      <c r="BV90" s="27">
        <f t="shared" si="176"/>
        <v>136851.90187499998</v>
      </c>
      <c r="BW90" s="27" t="e">
        <f>IF(H90="Bundled",+(BG90-#REF!)*Y90,(AP90+AQ90)-Y90*#REF!)</f>
        <v>#REF!</v>
      </c>
      <c r="BX90" s="27" t="e">
        <f t="shared" si="177"/>
        <v>#REF!</v>
      </c>
      <c r="BY90" s="27">
        <f t="shared" si="178"/>
        <v>18246.920249999999</v>
      </c>
      <c r="BZ90" s="27" t="e">
        <f t="shared" si="179"/>
        <v>#REF!</v>
      </c>
      <c r="CA90" s="27" t="e">
        <f t="shared" si="180"/>
        <v>#REF!</v>
      </c>
    </row>
    <row r="91" spans="1:79" s="16" customFormat="1" ht="39" x14ac:dyDescent="0.3">
      <c r="A91" s="199" t="s">
        <v>247</v>
      </c>
      <c r="B91" s="44" t="s">
        <v>465</v>
      </c>
      <c r="C91" s="32" t="s">
        <v>505</v>
      </c>
      <c r="D91" s="32" t="s">
        <v>405</v>
      </c>
      <c r="E91" s="32"/>
      <c r="F91" s="32"/>
      <c r="G91" s="33" t="s">
        <v>11</v>
      </c>
      <c r="H91" s="34" t="s">
        <v>52</v>
      </c>
      <c r="I91" s="498"/>
      <c r="J91" s="33" t="s">
        <v>53</v>
      </c>
      <c r="K91" s="31" t="s">
        <v>479</v>
      </c>
      <c r="L91" s="498"/>
      <c r="M91" s="498"/>
      <c r="N91" s="35">
        <f t="shared" si="181"/>
        <v>0</v>
      </c>
      <c r="O91" s="33">
        <v>2</v>
      </c>
      <c r="P91" s="33"/>
      <c r="Q91" s="42">
        <f t="shared" si="182"/>
        <v>43590.277777777774</v>
      </c>
      <c r="R91" s="43" t="str">
        <f t="shared" si="155"/>
        <v>Rated</v>
      </c>
      <c r="S91" s="33" t="s">
        <v>54</v>
      </c>
      <c r="T91" s="34">
        <v>12</v>
      </c>
      <c r="U91" s="45">
        <f>8.49+5.64</f>
        <v>14.129999999999999</v>
      </c>
      <c r="V91" s="46">
        <f t="shared" si="123"/>
        <v>-2.129999999999999</v>
      </c>
      <c r="W91" s="34"/>
      <c r="X91" s="34">
        <f t="shared" si="124"/>
        <v>0</v>
      </c>
      <c r="Y91" s="34">
        <f t="shared" si="125"/>
        <v>6</v>
      </c>
      <c r="Z91" s="481"/>
      <c r="AA91" s="34">
        <f t="shared" si="126"/>
        <v>2.129999999999999</v>
      </c>
      <c r="AB91" s="47">
        <f t="shared" si="183"/>
        <v>7500</v>
      </c>
      <c r="AC91" s="48" t="str">
        <f t="shared" si="127"/>
        <v>Bundled</v>
      </c>
      <c r="AD91" s="34"/>
      <c r="AE91" s="34"/>
      <c r="AF91" s="49"/>
      <c r="AG91" s="34"/>
      <c r="AH91" s="50"/>
      <c r="AI91" s="51" t="str">
        <f>IF(AH91="No of Seats","No of Seats",(IF(AH91="Space","Sq Ft","")))</f>
        <v/>
      </c>
      <c r="AJ91" s="34"/>
      <c r="AK91" s="34"/>
      <c r="AL91" s="34"/>
      <c r="AM91" s="34"/>
      <c r="AN91" s="34"/>
      <c r="AO91" s="42">
        <f t="shared" si="184"/>
        <v>5416.666666666667</v>
      </c>
      <c r="AP91" s="52">
        <f t="shared" si="156"/>
        <v>87180.555555555547</v>
      </c>
      <c r="AQ91" s="52">
        <f t="shared" si="157"/>
        <v>15974.999999999993</v>
      </c>
      <c r="AR91" s="53">
        <f t="shared" si="158"/>
        <v>0</v>
      </c>
      <c r="AS91" s="52">
        <f t="shared" si="159"/>
        <v>0</v>
      </c>
      <c r="AT91" s="54">
        <f t="shared" si="185"/>
        <v>17108.333333333332</v>
      </c>
      <c r="AU91" s="55">
        <f t="shared" si="160"/>
        <v>120263.88888888886</v>
      </c>
      <c r="AV91" s="55"/>
      <c r="AW91" s="67" t="s">
        <v>116</v>
      </c>
      <c r="AX91" s="159" t="s">
        <v>128</v>
      </c>
      <c r="AY91" s="69">
        <v>7</v>
      </c>
      <c r="AZ91" s="68"/>
      <c r="BA91" s="89"/>
      <c r="BB91" s="5"/>
      <c r="BC91" s="29">
        <f t="shared" si="161"/>
        <v>0</v>
      </c>
      <c r="BD91" s="29">
        <f t="shared" si="162"/>
        <v>20043.981481481478</v>
      </c>
      <c r="BE91" s="25">
        <f t="shared" si="163"/>
        <v>17192.592592592588</v>
      </c>
      <c r="BF91" s="25">
        <f t="shared" si="164"/>
        <v>17192.592592592588</v>
      </c>
      <c r="BG91" s="25">
        <f t="shared" si="165"/>
        <v>-1054.3276574074116</v>
      </c>
      <c r="BH91" s="29"/>
      <c r="BI91" s="26">
        <f t="shared" si="166"/>
        <v>103155.55555555553</v>
      </c>
      <c r="BJ91" s="26" t="e">
        <f t="shared" si="167"/>
        <v>#REF!</v>
      </c>
      <c r="BK91" s="26" t="e">
        <f>IF(H91="Bundled",MIN(Y91*$AG$1*(1+#REF!),BI91),AR91)</f>
        <v>#REF!</v>
      </c>
      <c r="BL91" s="27">
        <f t="shared" si="141"/>
        <v>0</v>
      </c>
      <c r="BM91" s="27">
        <f t="shared" si="168"/>
        <v>0</v>
      </c>
      <c r="BN91" s="27">
        <f t="shared" si="169"/>
        <v>109481.5215</v>
      </c>
      <c r="BO91" s="27">
        <f t="shared" si="170"/>
        <v>103155.55555555553</v>
      </c>
      <c r="BP91" s="27" t="e">
        <f>+#REF!*Y91</f>
        <v>#REF!</v>
      </c>
      <c r="BQ91" s="27" t="e">
        <f t="shared" si="171"/>
        <v>#REF!</v>
      </c>
      <c r="BR91" s="27" t="e">
        <f t="shared" si="172"/>
        <v>#REF!</v>
      </c>
      <c r="BS91" s="27" t="e">
        <f t="shared" si="173"/>
        <v>#REF!</v>
      </c>
      <c r="BT91" s="27">
        <f t="shared" si="174"/>
        <v>6</v>
      </c>
      <c r="BU91" s="27">
        <f t="shared" si="175"/>
        <v>17192.592592592588</v>
      </c>
      <c r="BV91" s="27">
        <f t="shared" si="176"/>
        <v>109481.5215</v>
      </c>
      <c r="BW91" s="27" t="e">
        <f>IF(H91="Bundled",+(BG91-#REF!)*Y91,(AP91+AQ91)-Y91*#REF!)</f>
        <v>#REF!</v>
      </c>
      <c r="BX91" s="27" t="e">
        <f t="shared" si="177"/>
        <v>#REF!</v>
      </c>
      <c r="BY91" s="27">
        <f t="shared" si="178"/>
        <v>18246.920249999999</v>
      </c>
      <c r="BZ91" s="27" t="e">
        <f t="shared" si="179"/>
        <v>#REF!</v>
      </c>
      <c r="CA91" s="27" t="e">
        <f t="shared" si="180"/>
        <v>#REF!</v>
      </c>
    </row>
    <row r="92" spans="1:79" s="16" customFormat="1" x14ac:dyDescent="0.3">
      <c r="A92" s="199" t="s">
        <v>247</v>
      </c>
      <c r="B92" s="44" t="s">
        <v>156</v>
      </c>
      <c r="C92" s="32" t="s">
        <v>385</v>
      </c>
      <c r="D92" s="32" t="s">
        <v>405</v>
      </c>
      <c r="E92" s="32"/>
      <c r="F92" s="32"/>
      <c r="G92" s="33" t="s">
        <v>56</v>
      </c>
      <c r="H92" s="34" t="s">
        <v>57</v>
      </c>
      <c r="I92" s="33" t="s">
        <v>8</v>
      </c>
      <c r="J92" s="33" t="s">
        <v>61</v>
      </c>
      <c r="K92" s="31" t="str">
        <f t="shared" ref="K92:K121" si="186">IF(I92="Rack","No of Racks",(IF(I92="Space","Sq Ft","U Space")))</f>
        <v>No of Racks</v>
      </c>
      <c r="L92" s="33">
        <v>3</v>
      </c>
      <c r="M92" s="33">
        <v>3</v>
      </c>
      <c r="N92" s="35">
        <f t="shared" si="181"/>
        <v>0</v>
      </c>
      <c r="O92" s="33">
        <v>3</v>
      </c>
      <c r="P92" s="33"/>
      <c r="Q92" s="42">
        <f>(240000)/12</f>
        <v>20000</v>
      </c>
      <c r="R92" s="43" t="str">
        <f t="shared" si="155"/>
        <v>Subscribed</v>
      </c>
      <c r="S92" s="33" t="s">
        <v>58</v>
      </c>
      <c r="T92" s="34">
        <v>9</v>
      </c>
      <c r="U92" s="66">
        <f t="shared" ref="U92:U99" si="187">Z92</f>
        <v>3.7886607142857147</v>
      </c>
      <c r="V92" s="46">
        <f t="shared" si="123"/>
        <v>5.2113392857142848</v>
      </c>
      <c r="W92" s="34"/>
      <c r="X92" s="34">
        <f t="shared" si="124"/>
        <v>5.2113392857142848</v>
      </c>
      <c r="Y92" s="34">
        <f t="shared" si="125"/>
        <v>9</v>
      </c>
      <c r="Z92" s="65">
        <f>AG92/28/24</f>
        <v>3.7886607142857147</v>
      </c>
      <c r="AA92" s="34">
        <f t="shared" si="126"/>
        <v>0</v>
      </c>
      <c r="AB92" s="47">
        <f>80000/12</f>
        <v>6666.666666666667</v>
      </c>
      <c r="AC92" s="48" t="str">
        <f t="shared" si="127"/>
        <v>Metered</v>
      </c>
      <c r="AD92" s="34">
        <v>1</v>
      </c>
      <c r="AE92" s="34" t="s">
        <v>62</v>
      </c>
      <c r="AF92" s="49">
        <v>18</v>
      </c>
      <c r="AG92" s="34">
        <v>2545.98</v>
      </c>
      <c r="AH92" s="50"/>
      <c r="AI92" s="51"/>
      <c r="AJ92" s="34"/>
      <c r="AK92" s="34"/>
      <c r="AL92" s="34">
        <f t="shared" ref="AL92:AL104" si="188">AJ92-AK92</f>
        <v>0</v>
      </c>
      <c r="AM92" s="34"/>
      <c r="AN92" s="34"/>
      <c r="AO92" s="42">
        <f t="shared" ref="AO92:AO112" si="189">(0)/12</f>
        <v>0</v>
      </c>
      <c r="AP92" s="52">
        <f t="shared" si="156"/>
        <v>60000</v>
      </c>
      <c r="AQ92" s="52">
        <f t="shared" si="157"/>
        <v>0</v>
      </c>
      <c r="AR92" s="53">
        <f t="shared" si="158"/>
        <v>45827.64</v>
      </c>
      <c r="AS92" s="52">
        <f t="shared" si="159"/>
        <v>0</v>
      </c>
      <c r="AT92" s="54">
        <f>(25000+180000)/12</f>
        <v>17083.333333333332</v>
      </c>
      <c r="AU92" s="55">
        <f t="shared" si="160"/>
        <v>122910.97333333333</v>
      </c>
      <c r="AV92" s="55"/>
      <c r="AW92" s="67">
        <v>721007401</v>
      </c>
      <c r="AX92" s="68">
        <v>43573</v>
      </c>
      <c r="AY92" s="69">
        <v>1</v>
      </c>
      <c r="AZ92" s="68">
        <v>43938</v>
      </c>
      <c r="BA92" s="89"/>
      <c r="BB92" s="5"/>
      <c r="BC92" s="29">
        <f t="shared" si="161"/>
        <v>40970.324444444443</v>
      </c>
      <c r="BD92" s="29">
        <f t="shared" si="162"/>
        <v>13656.774814814815</v>
      </c>
      <c r="BE92" s="25">
        <f t="shared" si="163"/>
        <v>4083.7792316393443</v>
      </c>
      <c r="BF92" s="25">
        <f t="shared" si="164"/>
        <v>4083.7792316393443</v>
      </c>
      <c r="BG92" s="25">
        <f t="shared" si="165"/>
        <v>2356.3844541666685</v>
      </c>
      <c r="BH92" s="29"/>
      <c r="BI92" s="26">
        <f t="shared" si="166"/>
        <v>105827.64</v>
      </c>
      <c r="BJ92" s="26">
        <f t="shared" si="167"/>
        <v>60000</v>
      </c>
      <c r="BK92" s="26">
        <f>IF(H92="Bundled",MIN(Y92*$AG$1*(1+#REF!),BI92),AR92)</f>
        <v>45827.64</v>
      </c>
      <c r="BL92" s="27">
        <f t="shared" si="141"/>
        <v>69073.626915245899</v>
      </c>
      <c r="BM92" s="27">
        <f t="shared" si="168"/>
        <v>69073.626915245899</v>
      </c>
      <c r="BN92" s="27">
        <f t="shared" si="169"/>
        <v>139588.93991249998</v>
      </c>
      <c r="BO92" s="27">
        <f t="shared" si="170"/>
        <v>36754.0130847541</v>
      </c>
      <c r="BP92" s="27" t="e">
        <f>+#REF!*Y92</f>
        <v>#REF!</v>
      </c>
      <c r="BQ92" s="27" t="e">
        <f t="shared" si="171"/>
        <v>#REF!</v>
      </c>
      <c r="BR92" s="27">
        <f t="shared" si="172"/>
        <v>-23245.9869152459</v>
      </c>
      <c r="BS92" s="27" t="e">
        <f t="shared" si="173"/>
        <v>#REF!</v>
      </c>
      <c r="BT92" s="27">
        <f t="shared" si="174"/>
        <v>9</v>
      </c>
      <c r="BU92" s="27">
        <f t="shared" si="175"/>
        <v>4083.7792316393443</v>
      </c>
      <c r="BV92" s="27">
        <f t="shared" si="176"/>
        <v>-23245.9869152459</v>
      </c>
      <c r="BW92" s="27" t="e">
        <f>IF(H92="Bundled",+(BG92-#REF!)*Y92,(AP92+AQ92)-Y92*#REF!)</f>
        <v>#REF!</v>
      </c>
      <c r="BX92" s="27" t="e">
        <f t="shared" si="177"/>
        <v>#REF!</v>
      </c>
      <c r="BY92" s="27">
        <f t="shared" si="178"/>
        <v>-2582.8874350273222</v>
      </c>
      <c r="BZ92" s="27" t="e">
        <f t="shared" si="179"/>
        <v>#REF!</v>
      </c>
      <c r="CA92" s="27" t="e">
        <f t="shared" si="180"/>
        <v>#REF!</v>
      </c>
    </row>
    <row r="93" spans="1:79" s="16" customFormat="1" x14ac:dyDescent="0.3">
      <c r="A93" s="199" t="s">
        <v>247</v>
      </c>
      <c r="B93" s="44" t="s">
        <v>462</v>
      </c>
      <c r="C93" s="132" t="s">
        <v>310</v>
      </c>
      <c r="D93" s="132" t="s">
        <v>405</v>
      </c>
      <c r="E93" s="132"/>
      <c r="F93" s="132"/>
      <c r="G93" s="33" t="s">
        <v>56</v>
      </c>
      <c r="H93" s="34" t="s">
        <v>57</v>
      </c>
      <c r="I93" s="33" t="s">
        <v>3</v>
      </c>
      <c r="J93" s="33" t="s">
        <v>53</v>
      </c>
      <c r="K93" s="31" t="str">
        <f t="shared" si="186"/>
        <v>Sq Ft</v>
      </c>
      <c r="L93" s="33">
        <v>1120</v>
      </c>
      <c r="M93" s="33">
        <v>1120</v>
      </c>
      <c r="N93" s="35">
        <f t="shared" si="181"/>
        <v>0</v>
      </c>
      <c r="O93" s="33">
        <v>60</v>
      </c>
      <c r="P93" s="33"/>
      <c r="Q93" s="156">
        <v>592</v>
      </c>
      <c r="R93" s="43" t="str">
        <f t="shared" si="155"/>
        <v>Subscribed</v>
      </c>
      <c r="S93" s="33" t="s">
        <v>58</v>
      </c>
      <c r="T93" s="34">
        <v>420</v>
      </c>
      <c r="U93" s="66">
        <f t="shared" si="187"/>
        <v>75.903125000000003</v>
      </c>
      <c r="V93" s="46">
        <f t="shared" si="123"/>
        <v>344.09687500000001</v>
      </c>
      <c r="W93" s="34"/>
      <c r="X93" s="34">
        <f t="shared" si="124"/>
        <v>344.09687500000001</v>
      </c>
      <c r="Y93" s="34">
        <f t="shared" si="125"/>
        <v>420</v>
      </c>
      <c r="Z93" s="65">
        <f t="shared" ref="Z93:Z104" si="190">AG93/28/24</f>
        <v>75.903125000000003</v>
      </c>
      <c r="AA93" s="34">
        <f t="shared" si="126"/>
        <v>0</v>
      </c>
      <c r="AB93" s="47">
        <v>0</v>
      </c>
      <c r="AC93" s="48" t="str">
        <f t="shared" si="127"/>
        <v>Metered</v>
      </c>
      <c r="AD93" s="34">
        <v>1.7</v>
      </c>
      <c r="AE93" s="34" t="s">
        <v>59</v>
      </c>
      <c r="AF93" s="49">
        <v>10.88</v>
      </c>
      <c r="AG93" s="34">
        <v>51006.9</v>
      </c>
      <c r="AH93" s="50"/>
      <c r="AI93" s="51"/>
      <c r="AJ93" s="34"/>
      <c r="AK93" s="34"/>
      <c r="AL93" s="34">
        <f t="shared" si="188"/>
        <v>0</v>
      </c>
      <c r="AM93" s="34"/>
      <c r="AN93" s="34"/>
      <c r="AO93" s="42">
        <f t="shared" si="189"/>
        <v>0</v>
      </c>
      <c r="AP93" s="156">
        <f t="shared" si="156"/>
        <v>35520</v>
      </c>
      <c r="AQ93" s="52">
        <f t="shared" si="157"/>
        <v>0</v>
      </c>
      <c r="AR93" s="53">
        <f t="shared" si="158"/>
        <v>943423.62239999999</v>
      </c>
      <c r="AS93" s="52">
        <f t="shared" si="159"/>
        <v>0</v>
      </c>
      <c r="AT93" s="54">
        <f>0/12</f>
        <v>0</v>
      </c>
      <c r="AU93" s="55">
        <f t="shared" si="160"/>
        <v>978943.62239999999</v>
      </c>
      <c r="AV93" s="55"/>
      <c r="AW93" s="67">
        <v>121000371</v>
      </c>
      <c r="AX93" s="68">
        <v>43612</v>
      </c>
      <c r="AY93" s="69"/>
      <c r="AZ93" s="68"/>
      <c r="BA93" s="89"/>
      <c r="BB93" s="5"/>
      <c r="BC93" s="29">
        <f t="shared" si="161"/>
        <v>26221.70417142857</v>
      </c>
      <c r="BD93" s="29">
        <f t="shared" si="162"/>
        <v>2330.8181485714285</v>
      </c>
      <c r="BE93" s="25">
        <f t="shared" si="163"/>
        <v>-964.04144212529286</v>
      </c>
      <c r="BF93" s="25">
        <f t="shared" si="164"/>
        <v>-964.04144212529286</v>
      </c>
      <c r="BG93" s="25">
        <f t="shared" si="165"/>
        <v>-3917.0995839285711</v>
      </c>
      <c r="BH93" s="29"/>
      <c r="BI93" s="26">
        <f t="shared" si="166"/>
        <v>978943.62239999999</v>
      </c>
      <c r="BJ93" s="26">
        <f t="shared" si="167"/>
        <v>35520</v>
      </c>
      <c r="BK93" s="26">
        <f>IF(H93="Bundled",MIN(Y93*$AG$1*(1+#REF!),BI93),AR93)</f>
        <v>943423.62239999999</v>
      </c>
      <c r="BL93" s="27">
        <f t="shared" si="141"/>
        <v>1383841.028092623</v>
      </c>
      <c r="BM93" s="27">
        <f t="shared" si="168"/>
        <v>1383841.028092623</v>
      </c>
      <c r="BN93" s="27">
        <f t="shared" si="169"/>
        <v>6514150.5292499997</v>
      </c>
      <c r="BO93" s="27">
        <f t="shared" si="170"/>
        <v>-404897.405692623</v>
      </c>
      <c r="BP93" s="27" t="e">
        <f>+#REF!*Y93</f>
        <v>#REF!</v>
      </c>
      <c r="BQ93" s="27" t="e">
        <f t="shared" si="171"/>
        <v>#REF!</v>
      </c>
      <c r="BR93" s="27">
        <f t="shared" si="172"/>
        <v>-440417.405692623</v>
      </c>
      <c r="BS93" s="27" t="e">
        <f t="shared" si="173"/>
        <v>#REF!</v>
      </c>
      <c r="BT93" s="27">
        <f t="shared" si="174"/>
        <v>420</v>
      </c>
      <c r="BU93" s="27">
        <f t="shared" si="175"/>
        <v>-964.04144212529286</v>
      </c>
      <c r="BV93" s="27">
        <f t="shared" si="176"/>
        <v>-440417.405692623</v>
      </c>
      <c r="BW93" s="27" t="e">
        <f>IF(H93="Bundled",+(BG93-#REF!)*Y93,(AP93+AQ93)-Y93*#REF!)</f>
        <v>#REF!</v>
      </c>
      <c r="BX93" s="27" t="e">
        <f t="shared" si="177"/>
        <v>#REF!</v>
      </c>
      <c r="BY93" s="27">
        <f t="shared" si="178"/>
        <v>-1048.6128706967215</v>
      </c>
      <c r="BZ93" s="27" t="e">
        <f t="shared" si="179"/>
        <v>#REF!</v>
      </c>
      <c r="CA93" s="27" t="e">
        <f t="shared" si="180"/>
        <v>#REF!</v>
      </c>
    </row>
    <row r="94" spans="1:79" s="16" customFormat="1" x14ac:dyDescent="0.3">
      <c r="A94" s="199" t="s">
        <v>247</v>
      </c>
      <c r="B94" s="44" t="s">
        <v>213</v>
      </c>
      <c r="C94" s="132" t="s">
        <v>384</v>
      </c>
      <c r="D94" s="132" t="s">
        <v>405</v>
      </c>
      <c r="E94" s="132"/>
      <c r="F94" s="132"/>
      <c r="G94" s="33" t="s">
        <v>56</v>
      </c>
      <c r="H94" s="34" t="s">
        <v>57</v>
      </c>
      <c r="I94" s="33" t="s">
        <v>3</v>
      </c>
      <c r="J94" s="33" t="s">
        <v>53</v>
      </c>
      <c r="K94" s="31" t="str">
        <f t="shared" si="186"/>
        <v>Sq Ft</v>
      </c>
      <c r="L94" s="33">
        <v>1100</v>
      </c>
      <c r="M94" s="33">
        <v>1100</v>
      </c>
      <c r="N94" s="35">
        <f t="shared" si="181"/>
        <v>0</v>
      </c>
      <c r="O94" s="33">
        <v>1100</v>
      </c>
      <c r="P94" s="33"/>
      <c r="Q94" s="42">
        <f>1625000/1100</f>
        <v>1477.2727272727273</v>
      </c>
      <c r="R94" s="43" t="str">
        <f t="shared" si="155"/>
        <v>Subscribed</v>
      </c>
      <c r="S94" s="33" t="s">
        <v>58</v>
      </c>
      <c r="T94" s="34">
        <v>250</v>
      </c>
      <c r="U94" s="66">
        <f t="shared" si="187"/>
        <v>163.24037202380953</v>
      </c>
      <c r="V94" s="46">
        <f t="shared" si="123"/>
        <v>86.759627976190473</v>
      </c>
      <c r="W94" s="34"/>
      <c r="X94" s="34">
        <f t="shared" si="124"/>
        <v>86.759627976190473</v>
      </c>
      <c r="Y94" s="34">
        <f t="shared" si="125"/>
        <v>250</v>
      </c>
      <c r="Z94" s="65">
        <f t="shared" si="190"/>
        <v>163.24037202380953</v>
      </c>
      <c r="AA94" s="34">
        <f t="shared" si="126"/>
        <v>0</v>
      </c>
      <c r="AB94" s="47">
        <v>0</v>
      </c>
      <c r="AC94" s="48" t="str">
        <f t="shared" si="127"/>
        <v>Metered</v>
      </c>
      <c r="AD94" s="34">
        <v>1.7</v>
      </c>
      <c r="AE94" s="34" t="s">
        <v>59</v>
      </c>
      <c r="AF94" s="49">
        <v>10.88</v>
      </c>
      <c r="AG94" s="34">
        <v>109697.53</v>
      </c>
      <c r="AH94" s="50"/>
      <c r="AI94" s="51"/>
      <c r="AJ94" s="34"/>
      <c r="AK94" s="34"/>
      <c r="AL94" s="34">
        <f t="shared" si="188"/>
        <v>0</v>
      </c>
      <c r="AM94" s="34"/>
      <c r="AN94" s="34"/>
      <c r="AO94" s="42">
        <f t="shared" si="189"/>
        <v>0</v>
      </c>
      <c r="AP94" s="52">
        <f t="shared" si="156"/>
        <v>1625000</v>
      </c>
      <c r="AQ94" s="52">
        <f t="shared" si="157"/>
        <v>0</v>
      </c>
      <c r="AR94" s="53">
        <f t="shared" si="158"/>
        <v>2028965.5148800001</v>
      </c>
      <c r="AS94" s="52">
        <f t="shared" si="159"/>
        <v>0</v>
      </c>
      <c r="AT94" s="54">
        <f>0/12</f>
        <v>0</v>
      </c>
      <c r="AU94" s="55">
        <f t="shared" si="160"/>
        <v>3653965.5148800001</v>
      </c>
      <c r="AV94" s="55"/>
      <c r="AW94" s="67">
        <v>721007336</v>
      </c>
      <c r="AX94" s="68">
        <v>43647</v>
      </c>
      <c r="AY94" s="69"/>
      <c r="AZ94" s="68"/>
      <c r="BA94" s="89"/>
      <c r="BB94" s="5"/>
      <c r="BC94" s="29">
        <f t="shared" si="161"/>
        <v>99653.604951272733</v>
      </c>
      <c r="BD94" s="29">
        <f t="shared" si="162"/>
        <v>14615.862059520001</v>
      </c>
      <c r="BE94" s="25">
        <f t="shared" si="163"/>
        <v>2711.2810954213123</v>
      </c>
      <c r="BF94" s="25">
        <f t="shared" si="164"/>
        <v>2711.2810954213123</v>
      </c>
      <c r="BG94" s="25">
        <f t="shared" si="165"/>
        <v>2498.3289874999987</v>
      </c>
      <c r="BH94" s="29"/>
      <c r="BI94" s="26">
        <f t="shared" si="166"/>
        <v>3653965.5148800001</v>
      </c>
      <c r="BJ94" s="26">
        <f t="shared" si="167"/>
        <v>1625000</v>
      </c>
      <c r="BK94" s="26">
        <f>IF(H94="Bundled",MIN(Y94*$AG$1*(1+#REF!),BI94),AR94)</f>
        <v>2028965.5148800001</v>
      </c>
      <c r="BL94" s="27">
        <f t="shared" si="141"/>
        <v>2976145.2410246721</v>
      </c>
      <c r="BM94" s="27">
        <f t="shared" si="168"/>
        <v>2976145.2410246721</v>
      </c>
      <c r="BN94" s="27">
        <f t="shared" si="169"/>
        <v>3877470.5531250001</v>
      </c>
      <c r="BO94" s="27">
        <f t="shared" si="170"/>
        <v>677820.27385532809</v>
      </c>
      <c r="BP94" s="27" t="e">
        <f>+#REF!*Y94</f>
        <v>#REF!</v>
      </c>
      <c r="BQ94" s="27" t="e">
        <f t="shared" si="171"/>
        <v>#REF!</v>
      </c>
      <c r="BR94" s="27">
        <f t="shared" si="172"/>
        <v>-947179.72614467191</v>
      </c>
      <c r="BS94" s="27" t="e">
        <f t="shared" si="173"/>
        <v>#REF!</v>
      </c>
      <c r="BT94" s="27">
        <f t="shared" si="174"/>
        <v>250</v>
      </c>
      <c r="BU94" s="27">
        <f t="shared" si="175"/>
        <v>2711.2810954213123</v>
      </c>
      <c r="BV94" s="27">
        <f t="shared" si="176"/>
        <v>-947179.72614467191</v>
      </c>
      <c r="BW94" s="27" t="e">
        <f>IF(H94="Bundled",+(BG94-#REF!)*Y94,(AP94+AQ94)-Y94*#REF!)</f>
        <v>#REF!</v>
      </c>
      <c r="BX94" s="27" t="e">
        <f t="shared" si="177"/>
        <v>#REF!</v>
      </c>
      <c r="BY94" s="27">
        <f t="shared" si="178"/>
        <v>-3788.7189045786877</v>
      </c>
      <c r="BZ94" s="27" t="e">
        <f t="shared" si="179"/>
        <v>#REF!</v>
      </c>
      <c r="CA94" s="27" t="e">
        <f t="shared" si="180"/>
        <v>#REF!</v>
      </c>
    </row>
    <row r="95" spans="1:79" s="16" customFormat="1" x14ac:dyDescent="0.3">
      <c r="A95" s="199" t="s">
        <v>247</v>
      </c>
      <c r="B95" s="44" t="s">
        <v>214</v>
      </c>
      <c r="C95" s="132" t="s">
        <v>521</v>
      </c>
      <c r="D95" s="132" t="s">
        <v>405</v>
      </c>
      <c r="E95" s="132"/>
      <c r="F95" s="132"/>
      <c r="G95" s="33" t="s">
        <v>56</v>
      </c>
      <c r="H95" s="34" t="s">
        <v>57</v>
      </c>
      <c r="I95" s="33" t="s">
        <v>3</v>
      </c>
      <c r="J95" s="33" t="s">
        <v>53</v>
      </c>
      <c r="K95" s="31" t="str">
        <f t="shared" si="186"/>
        <v>Sq Ft</v>
      </c>
      <c r="L95" s="33">
        <v>1050</v>
      </c>
      <c r="M95" s="33">
        <v>1050</v>
      </c>
      <c r="N95" s="35">
        <f t="shared" si="181"/>
        <v>0</v>
      </c>
      <c r="O95" s="33">
        <v>1050</v>
      </c>
      <c r="P95" s="33"/>
      <c r="Q95" s="42">
        <f>406250/1050</f>
        <v>386.90476190476193</v>
      </c>
      <c r="R95" s="43" t="str">
        <f t="shared" si="155"/>
        <v>Subscribed</v>
      </c>
      <c r="S95" s="33" t="s">
        <v>58</v>
      </c>
      <c r="T95" s="34">
        <v>250</v>
      </c>
      <c r="U95" s="66">
        <f t="shared" si="187"/>
        <v>5.0595238095238093</v>
      </c>
      <c r="V95" s="46">
        <f t="shared" si="123"/>
        <v>244.9404761904762</v>
      </c>
      <c r="W95" s="34"/>
      <c r="X95" s="34">
        <f t="shared" si="124"/>
        <v>244.9404761904762</v>
      </c>
      <c r="Y95" s="34">
        <f t="shared" si="125"/>
        <v>250</v>
      </c>
      <c r="Z95" s="65">
        <f t="shared" si="190"/>
        <v>5.0595238095238093</v>
      </c>
      <c r="AA95" s="34">
        <f t="shared" si="126"/>
        <v>0</v>
      </c>
      <c r="AB95" s="47">
        <v>0</v>
      </c>
      <c r="AC95" s="48" t="str">
        <f t="shared" si="127"/>
        <v>Metered</v>
      </c>
      <c r="AD95" s="34">
        <v>1.7</v>
      </c>
      <c r="AE95" s="34" t="s">
        <v>59</v>
      </c>
      <c r="AF95" s="49">
        <v>10.19</v>
      </c>
      <c r="AG95" s="34">
        <v>3400</v>
      </c>
      <c r="AH95" s="50"/>
      <c r="AI95" s="51"/>
      <c r="AJ95" s="34"/>
      <c r="AK95" s="34"/>
      <c r="AL95" s="34">
        <f t="shared" si="188"/>
        <v>0</v>
      </c>
      <c r="AM95" s="34"/>
      <c r="AN95" s="34"/>
      <c r="AO95" s="42">
        <f t="shared" si="189"/>
        <v>0</v>
      </c>
      <c r="AP95" s="52">
        <f t="shared" si="156"/>
        <v>406250</v>
      </c>
      <c r="AQ95" s="52">
        <f t="shared" si="157"/>
        <v>0</v>
      </c>
      <c r="AR95" s="53">
        <f t="shared" si="158"/>
        <v>58898.2</v>
      </c>
      <c r="AS95" s="52">
        <f t="shared" si="159"/>
        <v>0</v>
      </c>
      <c r="AT95" s="54">
        <f>0/12</f>
        <v>0</v>
      </c>
      <c r="AU95" s="55">
        <f t="shared" si="160"/>
        <v>465148.2</v>
      </c>
      <c r="AV95" s="55"/>
      <c r="AW95" s="67"/>
      <c r="AX95" s="68"/>
      <c r="AY95" s="69"/>
      <c r="AZ95" s="68"/>
      <c r="BA95" s="89"/>
      <c r="BB95" s="5"/>
      <c r="BC95" s="29">
        <f t="shared" si="161"/>
        <v>13289.948571428571</v>
      </c>
      <c r="BD95" s="29">
        <f t="shared" si="162"/>
        <v>1860.5928000000001</v>
      </c>
      <c r="BE95" s="25">
        <f t="shared" si="163"/>
        <v>1491.6184459016392</v>
      </c>
      <c r="BF95" s="25">
        <f t="shared" si="164"/>
        <v>1491.6184459016392</v>
      </c>
      <c r="BG95" s="25">
        <f t="shared" si="165"/>
        <v>-3106.5116125000009</v>
      </c>
      <c r="BH95" s="29"/>
      <c r="BI95" s="26">
        <f t="shared" si="166"/>
        <v>465148.2</v>
      </c>
      <c r="BJ95" s="26">
        <f t="shared" si="167"/>
        <v>406250</v>
      </c>
      <c r="BK95" s="26">
        <f>IF(H95="Bundled",MIN(Y95*$AG$1*(1+#REF!),BI95),AR95)</f>
        <v>58898.2</v>
      </c>
      <c r="BL95" s="27">
        <f t="shared" si="141"/>
        <v>92243.588524590159</v>
      </c>
      <c r="BM95" s="27">
        <f t="shared" si="168"/>
        <v>92243.588524590159</v>
      </c>
      <c r="BN95" s="27">
        <f t="shared" si="169"/>
        <v>3877470.5531250001</v>
      </c>
      <c r="BO95" s="27">
        <f t="shared" si="170"/>
        <v>372904.61147540982</v>
      </c>
      <c r="BP95" s="27" t="e">
        <f>+#REF!*Y95</f>
        <v>#REF!</v>
      </c>
      <c r="BQ95" s="27" t="e">
        <f t="shared" si="171"/>
        <v>#REF!</v>
      </c>
      <c r="BR95" s="27">
        <f t="shared" si="172"/>
        <v>-33345.388524590162</v>
      </c>
      <c r="BS95" s="27" t="e">
        <f t="shared" si="173"/>
        <v>#REF!</v>
      </c>
      <c r="BT95" s="27">
        <f t="shared" si="174"/>
        <v>250</v>
      </c>
      <c r="BU95" s="27">
        <f t="shared" si="175"/>
        <v>1491.6184459016392</v>
      </c>
      <c r="BV95" s="27">
        <f t="shared" si="176"/>
        <v>-33345.388524590162</v>
      </c>
      <c r="BW95" s="27" t="e">
        <f>IF(H95="Bundled",+(BG95-#REF!)*Y95,(AP95+AQ95)-Y95*#REF!)</f>
        <v>#REF!</v>
      </c>
      <c r="BX95" s="27" t="e">
        <f t="shared" si="177"/>
        <v>#REF!</v>
      </c>
      <c r="BY95" s="27">
        <f t="shared" si="178"/>
        <v>-133.38155409836065</v>
      </c>
      <c r="BZ95" s="27" t="e">
        <f t="shared" si="179"/>
        <v>#REF!</v>
      </c>
      <c r="CA95" s="27" t="e">
        <f t="shared" si="180"/>
        <v>#REF!</v>
      </c>
    </row>
    <row r="96" spans="1:79" s="16" customFormat="1" ht="26" x14ac:dyDescent="0.3">
      <c r="A96" s="199" t="s">
        <v>247</v>
      </c>
      <c r="B96" s="44" t="s">
        <v>461</v>
      </c>
      <c r="C96" s="132" t="s">
        <v>309</v>
      </c>
      <c r="D96" s="132" t="s">
        <v>405</v>
      </c>
      <c r="E96" s="132"/>
      <c r="F96" s="132"/>
      <c r="G96" s="33" t="s">
        <v>56</v>
      </c>
      <c r="H96" s="34" t="s">
        <v>57</v>
      </c>
      <c r="I96" s="33" t="s">
        <v>3</v>
      </c>
      <c r="J96" s="33" t="s">
        <v>53</v>
      </c>
      <c r="K96" s="31" t="str">
        <f t="shared" si="186"/>
        <v>Sq Ft</v>
      </c>
      <c r="L96" s="33">
        <v>704</v>
      </c>
      <c r="M96" s="33">
        <v>704</v>
      </c>
      <c r="N96" s="35">
        <f t="shared" si="181"/>
        <v>0</v>
      </c>
      <c r="O96" s="33">
        <v>25</v>
      </c>
      <c r="P96" s="33"/>
      <c r="Q96" s="42">
        <v>41700</v>
      </c>
      <c r="R96" s="43" t="str">
        <f t="shared" si="155"/>
        <v>Subscribed</v>
      </c>
      <c r="S96" s="33" t="s">
        <v>58</v>
      </c>
      <c r="T96" s="34">
        <v>150</v>
      </c>
      <c r="U96" s="66">
        <f t="shared" si="187"/>
        <v>103.89538690476189</v>
      </c>
      <c r="V96" s="46">
        <f t="shared" si="123"/>
        <v>46.104613095238108</v>
      </c>
      <c r="W96" s="34"/>
      <c r="X96" s="34">
        <f t="shared" si="124"/>
        <v>46.104613095238108</v>
      </c>
      <c r="Y96" s="34">
        <f t="shared" si="125"/>
        <v>150</v>
      </c>
      <c r="Z96" s="65">
        <f t="shared" si="190"/>
        <v>103.89538690476189</v>
      </c>
      <c r="AA96" s="34">
        <f t="shared" si="126"/>
        <v>0</v>
      </c>
      <c r="AB96" s="47">
        <v>0</v>
      </c>
      <c r="AC96" s="48" t="str">
        <f t="shared" si="127"/>
        <v>Metered</v>
      </c>
      <c r="AD96" s="34">
        <v>1.7</v>
      </c>
      <c r="AE96" s="34" t="s">
        <v>59</v>
      </c>
      <c r="AF96" s="49">
        <v>9.3000000000000007</v>
      </c>
      <c r="AG96" s="34">
        <v>69817.7</v>
      </c>
      <c r="AH96" s="50"/>
      <c r="AI96" s="51"/>
      <c r="AJ96" s="34"/>
      <c r="AK96" s="34"/>
      <c r="AL96" s="34">
        <f t="shared" si="188"/>
        <v>0</v>
      </c>
      <c r="AM96" s="34"/>
      <c r="AN96" s="34"/>
      <c r="AO96" s="42">
        <f t="shared" si="189"/>
        <v>0</v>
      </c>
      <c r="AP96" s="52">
        <f t="shared" si="156"/>
        <v>1042500</v>
      </c>
      <c r="AQ96" s="52">
        <f t="shared" si="157"/>
        <v>0</v>
      </c>
      <c r="AR96" s="53">
        <f t="shared" si="158"/>
        <v>1103817.8370000001</v>
      </c>
      <c r="AS96" s="52">
        <f t="shared" si="159"/>
        <v>0</v>
      </c>
      <c r="AT96" s="54">
        <f>0/12</f>
        <v>0</v>
      </c>
      <c r="AU96" s="55">
        <f t="shared" si="160"/>
        <v>2146317.8370000003</v>
      </c>
      <c r="AV96" s="55"/>
      <c r="AW96" s="67" t="s">
        <v>123</v>
      </c>
      <c r="AX96" s="68">
        <v>43850</v>
      </c>
      <c r="AY96" s="69"/>
      <c r="AZ96" s="68"/>
      <c r="BA96" s="89"/>
      <c r="BB96" s="5"/>
      <c r="BC96" s="29">
        <f t="shared" si="161"/>
        <v>91462.407826704555</v>
      </c>
      <c r="BD96" s="29">
        <f t="shared" si="162"/>
        <v>14308.785580000002</v>
      </c>
      <c r="BE96" s="25">
        <f t="shared" si="163"/>
        <v>1680.8734416994546</v>
      </c>
      <c r="BF96" s="25">
        <f t="shared" si="164"/>
        <v>1680.8734416994546</v>
      </c>
      <c r="BG96" s="25">
        <f t="shared" si="165"/>
        <v>1277.0997874999978</v>
      </c>
      <c r="BH96" s="29"/>
      <c r="BI96" s="26">
        <f t="shared" si="166"/>
        <v>2146317.8370000003</v>
      </c>
      <c r="BJ96" s="26">
        <f t="shared" si="167"/>
        <v>1042500.0000000002</v>
      </c>
      <c r="BK96" s="26">
        <f>IF(H96="Bundled",MIN(Y96*$AG$1*(1+#REF!),BI96),AR96)</f>
        <v>1103817.8370000001</v>
      </c>
      <c r="BL96" s="27">
        <f t="shared" si="141"/>
        <v>1894186.8207450821</v>
      </c>
      <c r="BM96" s="27">
        <f t="shared" si="168"/>
        <v>1894186.8207450821</v>
      </c>
      <c r="BN96" s="27">
        <f t="shared" si="169"/>
        <v>2326482.3318750001</v>
      </c>
      <c r="BO96" s="27">
        <f t="shared" si="170"/>
        <v>252131.01625491818</v>
      </c>
      <c r="BP96" s="27" t="e">
        <f>+#REF!*Y96</f>
        <v>#REF!</v>
      </c>
      <c r="BQ96" s="27" t="e">
        <f t="shared" si="171"/>
        <v>#REF!</v>
      </c>
      <c r="BR96" s="27">
        <f t="shared" si="172"/>
        <v>-790368.98374508205</v>
      </c>
      <c r="BS96" s="27" t="e">
        <f t="shared" si="173"/>
        <v>#REF!</v>
      </c>
      <c r="BT96" s="27">
        <f t="shared" si="174"/>
        <v>150</v>
      </c>
      <c r="BU96" s="27">
        <f t="shared" si="175"/>
        <v>1680.8734416994546</v>
      </c>
      <c r="BV96" s="27">
        <f t="shared" si="176"/>
        <v>-790368.98374508205</v>
      </c>
      <c r="BW96" s="27" t="e">
        <f>IF(H96="Bundled",+(BG96-#REF!)*Y96,(AP96+AQ96)-Y96*#REF!)</f>
        <v>#REF!</v>
      </c>
      <c r="BX96" s="27" t="e">
        <f t="shared" si="177"/>
        <v>#REF!</v>
      </c>
      <c r="BY96" s="27">
        <f t="shared" si="178"/>
        <v>-5269.126558300547</v>
      </c>
      <c r="BZ96" s="27" t="e">
        <f t="shared" si="179"/>
        <v>#REF!</v>
      </c>
      <c r="CA96" s="27" t="e">
        <f t="shared" si="180"/>
        <v>#REF!</v>
      </c>
    </row>
    <row r="97" spans="1:79" s="16" customFormat="1" x14ac:dyDescent="0.3">
      <c r="A97" s="199" t="s">
        <v>247</v>
      </c>
      <c r="B97" s="44" t="s">
        <v>460</v>
      </c>
      <c r="C97" s="132" t="s">
        <v>309</v>
      </c>
      <c r="D97" s="132" t="s">
        <v>405</v>
      </c>
      <c r="E97" s="132"/>
      <c r="F97" s="132"/>
      <c r="G97" s="33" t="s">
        <v>56</v>
      </c>
      <c r="H97" s="34" t="s">
        <v>57</v>
      </c>
      <c r="I97" s="33" t="s">
        <v>3</v>
      </c>
      <c r="J97" s="33" t="s">
        <v>53</v>
      </c>
      <c r="K97" s="31" t="str">
        <f t="shared" si="186"/>
        <v>Sq Ft</v>
      </c>
      <c r="L97" s="33">
        <v>352</v>
      </c>
      <c r="M97" s="33">
        <v>352</v>
      </c>
      <c r="N97" s="35">
        <f t="shared" si="181"/>
        <v>0</v>
      </c>
      <c r="O97" s="33">
        <v>10</v>
      </c>
      <c r="P97" s="33"/>
      <c r="Q97" s="42">
        <f>(0)/12</f>
        <v>0</v>
      </c>
      <c r="R97" s="43" t="str">
        <f t="shared" si="155"/>
        <v>Subscribed</v>
      </c>
      <c r="S97" s="33" t="s">
        <v>58</v>
      </c>
      <c r="T97" s="34">
        <v>60</v>
      </c>
      <c r="U97" s="66">
        <f t="shared" si="187"/>
        <v>33.923764880952383</v>
      </c>
      <c r="V97" s="46">
        <f t="shared" si="123"/>
        <v>26.076235119047617</v>
      </c>
      <c r="W97" s="34"/>
      <c r="X97" s="34">
        <f t="shared" si="124"/>
        <v>26.076235119047617</v>
      </c>
      <c r="Y97" s="34">
        <f t="shared" si="125"/>
        <v>60</v>
      </c>
      <c r="Z97" s="65">
        <f t="shared" si="190"/>
        <v>33.923764880952383</v>
      </c>
      <c r="AA97" s="34">
        <f t="shared" si="126"/>
        <v>0</v>
      </c>
      <c r="AB97" s="47">
        <v>0</v>
      </c>
      <c r="AC97" s="48" t="str">
        <f t="shared" si="127"/>
        <v>Metered</v>
      </c>
      <c r="AD97" s="34">
        <v>1.7</v>
      </c>
      <c r="AE97" s="34" t="s">
        <v>59</v>
      </c>
      <c r="AF97" s="49">
        <v>9.3000000000000007</v>
      </c>
      <c r="AG97" s="34">
        <v>22796.77</v>
      </c>
      <c r="AH97" s="50"/>
      <c r="AI97" s="51"/>
      <c r="AJ97" s="34"/>
      <c r="AK97" s="34"/>
      <c r="AL97" s="34">
        <f t="shared" si="188"/>
        <v>0</v>
      </c>
      <c r="AM97" s="34"/>
      <c r="AN97" s="34"/>
      <c r="AO97" s="42">
        <f t="shared" si="189"/>
        <v>0</v>
      </c>
      <c r="AP97" s="52">
        <f t="shared" si="156"/>
        <v>0</v>
      </c>
      <c r="AQ97" s="52">
        <f t="shared" si="157"/>
        <v>0</v>
      </c>
      <c r="AR97" s="53">
        <f t="shared" si="158"/>
        <v>360416.93369999999</v>
      </c>
      <c r="AS97" s="52">
        <f t="shared" si="159"/>
        <v>0</v>
      </c>
      <c r="AT97" s="54">
        <f>0/12</f>
        <v>0</v>
      </c>
      <c r="AU97" s="55">
        <f t="shared" si="160"/>
        <v>360416.93369999999</v>
      </c>
      <c r="AV97" s="55"/>
      <c r="AW97" s="67"/>
      <c r="AX97" s="68"/>
      <c r="AY97" s="69"/>
      <c r="AZ97" s="68"/>
      <c r="BA97" s="89"/>
      <c r="BB97" s="5"/>
      <c r="BC97" s="29">
        <f t="shared" si="161"/>
        <v>30717.352303977274</v>
      </c>
      <c r="BD97" s="29">
        <f t="shared" si="162"/>
        <v>6006.9488949999995</v>
      </c>
      <c r="BE97" s="25">
        <f t="shared" si="163"/>
        <v>-4301.1681224986341</v>
      </c>
      <c r="BF97" s="25">
        <f t="shared" si="164"/>
        <v>-4301.1681224986341</v>
      </c>
      <c r="BG97" s="25">
        <f t="shared" si="165"/>
        <v>-5672.9002124999961</v>
      </c>
      <c r="BH97" s="29"/>
      <c r="BI97" s="26">
        <f t="shared" si="166"/>
        <v>360416.93369999999</v>
      </c>
      <c r="BJ97" s="26">
        <f t="shared" si="167"/>
        <v>0</v>
      </c>
      <c r="BK97" s="26">
        <f>IF(H97="Bundled",MIN(Y97*$AG$1*(1+#REF!),BI97),AR97)</f>
        <v>360416.93369999999</v>
      </c>
      <c r="BL97" s="27">
        <f t="shared" si="141"/>
        <v>618487.02104991802</v>
      </c>
      <c r="BM97" s="27">
        <f t="shared" si="168"/>
        <v>618487.02104991802</v>
      </c>
      <c r="BN97" s="27">
        <f t="shared" si="169"/>
        <v>930592.9327499998</v>
      </c>
      <c r="BO97" s="27">
        <f t="shared" si="170"/>
        <v>-258070.08734991806</v>
      </c>
      <c r="BP97" s="27" t="e">
        <f>+#REF!*Y97</f>
        <v>#REF!</v>
      </c>
      <c r="BQ97" s="27" t="e">
        <f t="shared" si="171"/>
        <v>#REF!</v>
      </c>
      <c r="BR97" s="27">
        <f t="shared" si="172"/>
        <v>-258070.08734991803</v>
      </c>
      <c r="BS97" s="27" t="e">
        <f t="shared" si="173"/>
        <v>#REF!</v>
      </c>
      <c r="BT97" s="27">
        <f t="shared" si="174"/>
        <v>60</v>
      </c>
      <c r="BU97" s="27">
        <f t="shared" si="175"/>
        <v>-4301.1681224986341</v>
      </c>
      <c r="BV97" s="27">
        <f t="shared" si="176"/>
        <v>-258070.08734991803</v>
      </c>
      <c r="BW97" s="27" t="e">
        <f>IF(H97="Bundled",+(BG97-#REF!)*Y97,(AP97+AQ97)-Y97*#REF!)</f>
        <v>#REF!</v>
      </c>
      <c r="BX97" s="27" t="e">
        <f t="shared" si="177"/>
        <v>#REF!</v>
      </c>
      <c r="BY97" s="27">
        <f t="shared" si="178"/>
        <v>-4301.1681224986341</v>
      </c>
      <c r="BZ97" s="27" t="e">
        <f t="shared" si="179"/>
        <v>#REF!</v>
      </c>
      <c r="CA97" s="27" t="e">
        <f t="shared" si="180"/>
        <v>#REF!</v>
      </c>
    </row>
    <row r="98" spans="1:79" s="16" customFormat="1" ht="26" x14ac:dyDescent="0.3">
      <c r="A98" s="199" t="s">
        <v>247</v>
      </c>
      <c r="B98" s="44" t="s">
        <v>155</v>
      </c>
      <c r="C98" s="132" t="s">
        <v>516</v>
      </c>
      <c r="D98" s="132" t="s">
        <v>404</v>
      </c>
      <c r="E98" s="132"/>
      <c r="F98" s="132"/>
      <c r="G98" s="33" t="s">
        <v>56</v>
      </c>
      <c r="H98" s="34" t="s">
        <v>52</v>
      </c>
      <c r="I98" s="33" t="s">
        <v>8</v>
      </c>
      <c r="J98" s="33" t="s">
        <v>61</v>
      </c>
      <c r="K98" s="31" t="str">
        <f t="shared" si="186"/>
        <v>No of Racks</v>
      </c>
      <c r="L98" s="33">
        <v>2</v>
      </c>
      <c r="M98" s="33">
        <v>2</v>
      </c>
      <c r="N98" s="35">
        <f t="shared" si="181"/>
        <v>0</v>
      </c>
      <c r="O98" s="33">
        <v>2</v>
      </c>
      <c r="P98" s="33"/>
      <c r="Q98" s="42">
        <f>(1550*70)</f>
        <v>108500</v>
      </c>
      <c r="R98" s="43" t="str">
        <f t="shared" si="155"/>
        <v>Subscribed</v>
      </c>
      <c r="S98" s="33" t="s">
        <v>58</v>
      </c>
      <c r="T98" s="34">
        <v>12</v>
      </c>
      <c r="U98" s="66">
        <f t="shared" si="187"/>
        <v>10.894255952380952</v>
      </c>
      <c r="V98" s="46">
        <f t="shared" si="123"/>
        <v>1.1057440476190479</v>
      </c>
      <c r="W98" s="34"/>
      <c r="X98" s="34">
        <f t="shared" si="124"/>
        <v>1.1057440476190479</v>
      </c>
      <c r="Y98" s="34">
        <f t="shared" si="125"/>
        <v>12</v>
      </c>
      <c r="Z98" s="65">
        <f t="shared" si="190"/>
        <v>10.894255952380952</v>
      </c>
      <c r="AA98" s="34">
        <f t="shared" si="126"/>
        <v>0</v>
      </c>
      <c r="AB98" s="47">
        <f>0/12</f>
        <v>0</v>
      </c>
      <c r="AC98" s="48" t="str">
        <f t="shared" si="127"/>
        <v>Bundled</v>
      </c>
      <c r="AD98" s="34">
        <v>1</v>
      </c>
      <c r="AE98" s="34" t="s">
        <v>62</v>
      </c>
      <c r="AF98" s="49">
        <v>0</v>
      </c>
      <c r="AG98" s="34">
        <v>7320.94</v>
      </c>
      <c r="AH98" s="50"/>
      <c r="AI98" s="51"/>
      <c r="AJ98" s="34"/>
      <c r="AK98" s="34"/>
      <c r="AL98" s="34">
        <f t="shared" si="188"/>
        <v>0</v>
      </c>
      <c r="AM98" s="34"/>
      <c r="AN98" s="34"/>
      <c r="AO98" s="42">
        <f t="shared" si="189"/>
        <v>0</v>
      </c>
      <c r="AP98" s="52">
        <f t="shared" si="156"/>
        <v>217000</v>
      </c>
      <c r="AQ98" s="52">
        <f t="shared" si="157"/>
        <v>0</v>
      </c>
      <c r="AR98" s="53">
        <f t="shared" si="158"/>
        <v>0</v>
      </c>
      <c r="AS98" s="52">
        <f t="shared" si="159"/>
        <v>0</v>
      </c>
      <c r="AT98" s="54">
        <f>((600+750)*70)/12</f>
        <v>7875</v>
      </c>
      <c r="AU98" s="55">
        <f t="shared" si="160"/>
        <v>224875</v>
      </c>
      <c r="AV98" s="55"/>
      <c r="AW98" s="67" t="s">
        <v>125</v>
      </c>
      <c r="AX98" s="68">
        <v>43910</v>
      </c>
      <c r="AY98" s="69"/>
      <c r="AZ98" s="68"/>
      <c r="BA98" s="89"/>
      <c r="BB98" s="5"/>
      <c r="BC98" s="29">
        <f t="shared" si="161"/>
        <v>112437.5</v>
      </c>
      <c r="BD98" s="29">
        <f t="shared" si="162"/>
        <v>18739.583333333332</v>
      </c>
      <c r="BE98" s="25">
        <f t="shared" si="163"/>
        <v>1531.6231134016391</v>
      </c>
      <c r="BF98" s="25">
        <f t="shared" si="164"/>
        <v>1531.6231134016391</v>
      </c>
      <c r="BG98" s="25">
        <f t="shared" si="165"/>
        <v>-163.58691666666709</v>
      </c>
      <c r="BH98" s="29"/>
      <c r="BI98" s="26">
        <f t="shared" si="166"/>
        <v>217000</v>
      </c>
      <c r="BJ98" s="26" t="e">
        <f t="shared" si="167"/>
        <v>#REF!</v>
      </c>
      <c r="BK98" s="26" t="e">
        <f>IF(H98="Bundled",MIN(Y98*$AG$1*(1+#REF!),BI98),AR98)</f>
        <v>#REF!</v>
      </c>
      <c r="BL98" s="27">
        <f t="shared" si="141"/>
        <v>198620.52263918033</v>
      </c>
      <c r="BM98" s="27">
        <f t="shared" si="168"/>
        <v>198620.52263918033</v>
      </c>
      <c r="BN98" s="27">
        <f t="shared" si="169"/>
        <v>218963.04300000001</v>
      </c>
      <c r="BO98" s="27">
        <f t="shared" si="170"/>
        <v>18379.47736081967</v>
      </c>
      <c r="BP98" s="27" t="e">
        <f>+#REF!*Y98</f>
        <v>#REF!</v>
      </c>
      <c r="BQ98" s="27" t="e">
        <f t="shared" si="171"/>
        <v>#REF!</v>
      </c>
      <c r="BR98" s="27" t="e">
        <f t="shared" si="172"/>
        <v>#REF!</v>
      </c>
      <c r="BS98" s="27" t="e">
        <f t="shared" si="173"/>
        <v>#REF!</v>
      </c>
      <c r="BT98" s="27">
        <f t="shared" si="174"/>
        <v>12</v>
      </c>
      <c r="BU98" s="27">
        <f t="shared" si="175"/>
        <v>1531.6231134016391</v>
      </c>
      <c r="BV98" s="27">
        <f t="shared" si="176"/>
        <v>20342.520360819675</v>
      </c>
      <c r="BW98" s="27" t="e">
        <f>IF(H98="Bundled",+(BG98-#REF!)*Y98,(AP98+AQ98)-Y98*#REF!)</f>
        <v>#REF!</v>
      </c>
      <c r="BX98" s="27" t="e">
        <f t="shared" si="177"/>
        <v>#REF!</v>
      </c>
      <c r="BY98" s="27">
        <f t="shared" si="178"/>
        <v>1695.2100300683062</v>
      </c>
      <c r="BZ98" s="27" t="e">
        <f t="shared" si="179"/>
        <v>#REF!</v>
      </c>
      <c r="CA98" s="27" t="e">
        <f t="shared" si="180"/>
        <v>#REF!</v>
      </c>
    </row>
    <row r="99" spans="1:79" s="16" customFormat="1" ht="26" x14ac:dyDescent="0.3">
      <c r="A99" s="199" t="s">
        <v>247</v>
      </c>
      <c r="B99" s="44" t="s">
        <v>153</v>
      </c>
      <c r="C99" s="132" t="s">
        <v>335</v>
      </c>
      <c r="D99" s="132" t="s">
        <v>404</v>
      </c>
      <c r="E99" s="132"/>
      <c r="F99" s="132"/>
      <c r="G99" s="33" t="s">
        <v>56</v>
      </c>
      <c r="H99" s="34" t="s">
        <v>57</v>
      </c>
      <c r="I99" s="33" t="s">
        <v>8</v>
      </c>
      <c r="J99" s="33" t="s">
        <v>61</v>
      </c>
      <c r="K99" s="31" t="str">
        <f t="shared" si="186"/>
        <v>No of Racks</v>
      </c>
      <c r="L99" s="33">
        <v>5</v>
      </c>
      <c r="M99" s="33">
        <v>5</v>
      </c>
      <c r="N99" s="35">
        <f t="shared" si="181"/>
        <v>0</v>
      </c>
      <c r="O99" s="33">
        <v>5</v>
      </c>
      <c r="P99" s="33"/>
      <c r="Q99" s="42">
        <f>61344</f>
        <v>61344</v>
      </c>
      <c r="R99" s="43" t="str">
        <f t="shared" si="155"/>
        <v>Subscribed</v>
      </c>
      <c r="S99" s="33" t="s">
        <v>58</v>
      </c>
      <c r="T99" s="34">
        <v>40</v>
      </c>
      <c r="U99" s="66">
        <f t="shared" si="187"/>
        <v>29.170758928571431</v>
      </c>
      <c r="V99" s="46">
        <f t="shared" si="123"/>
        <v>10.829241071428569</v>
      </c>
      <c r="W99" s="34"/>
      <c r="X99" s="34">
        <f t="shared" si="124"/>
        <v>10.829241071428569</v>
      </c>
      <c r="Y99" s="34">
        <f t="shared" si="125"/>
        <v>40</v>
      </c>
      <c r="Z99" s="65">
        <f t="shared" si="190"/>
        <v>29.170758928571431</v>
      </c>
      <c r="AA99" s="34">
        <f t="shared" si="126"/>
        <v>0</v>
      </c>
      <c r="AB99" s="47">
        <f>0/12</f>
        <v>0</v>
      </c>
      <c r="AC99" s="48" t="str">
        <f t="shared" si="127"/>
        <v>Metered</v>
      </c>
      <c r="AD99" s="34">
        <v>1</v>
      </c>
      <c r="AE99" s="34" t="s">
        <v>62</v>
      </c>
      <c r="AF99" s="49">
        <v>18.38</v>
      </c>
      <c r="AG99" s="34">
        <v>19602.75</v>
      </c>
      <c r="AH99" s="50"/>
      <c r="AI99" s="51"/>
      <c r="AJ99" s="34"/>
      <c r="AK99" s="34"/>
      <c r="AL99" s="34">
        <f t="shared" si="188"/>
        <v>0</v>
      </c>
      <c r="AM99" s="34"/>
      <c r="AN99" s="34"/>
      <c r="AO99" s="42">
        <f t="shared" si="189"/>
        <v>0</v>
      </c>
      <c r="AP99" s="52">
        <f t="shared" si="156"/>
        <v>306720</v>
      </c>
      <c r="AQ99" s="52">
        <f t="shared" si="157"/>
        <v>0</v>
      </c>
      <c r="AR99" s="53">
        <f t="shared" si="158"/>
        <v>360298.54499999998</v>
      </c>
      <c r="AS99" s="52">
        <f t="shared" si="159"/>
        <v>0</v>
      </c>
      <c r="AT99" s="54">
        <f>(536760+39874)/12</f>
        <v>48052.833333333336</v>
      </c>
      <c r="AU99" s="55">
        <f t="shared" si="160"/>
        <v>715071.3783333333</v>
      </c>
      <c r="AV99" s="55"/>
      <c r="AW99" s="67" t="s">
        <v>122</v>
      </c>
      <c r="AX99" s="68">
        <v>43812</v>
      </c>
      <c r="AY99" s="69"/>
      <c r="AZ99" s="68"/>
      <c r="BA99" s="89"/>
      <c r="BB99" s="5"/>
      <c r="BC99" s="29">
        <f t="shared" si="161"/>
        <v>143014.27566666665</v>
      </c>
      <c r="BD99" s="29">
        <f t="shared" si="162"/>
        <v>17876.784458333332</v>
      </c>
      <c r="BE99" s="25">
        <f t="shared" si="163"/>
        <v>3379.6694709528674</v>
      </c>
      <c r="BF99" s="25">
        <f t="shared" si="164"/>
        <v>3379.6694709528674</v>
      </c>
      <c r="BG99" s="25">
        <f t="shared" si="165"/>
        <v>3594.1537875000008</v>
      </c>
      <c r="BH99" s="29"/>
      <c r="BI99" s="26">
        <f t="shared" si="166"/>
        <v>667018.54499999993</v>
      </c>
      <c r="BJ99" s="26">
        <f t="shared" si="167"/>
        <v>306719.99999999994</v>
      </c>
      <c r="BK99" s="26">
        <f>IF(H99="Bundled",MIN(Y99*$AG$1*(1+#REF!),BI99),AR99)</f>
        <v>360298.54499999998</v>
      </c>
      <c r="BL99" s="27">
        <f t="shared" si="141"/>
        <v>531831.76616188523</v>
      </c>
      <c r="BM99" s="27">
        <f t="shared" si="168"/>
        <v>531831.76616188523</v>
      </c>
      <c r="BN99" s="27">
        <f t="shared" si="169"/>
        <v>620395.28849999991</v>
      </c>
      <c r="BO99" s="27">
        <f t="shared" si="170"/>
        <v>135186.7788381147</v>
      </c>
      <c r="BP99" s="27" t="e">
        <f>+#REF!*Y99</f>
        <v>#REF!</v>
      </c>
      <c r="BQ99" s="27" t="e">
        <f t="shared" si="171"/>
        <v>#REF!</v>
      </c>
      <c r="BR99" s="27">
        <f t="shared" si="172"/>
        <v>-171533.22116188525</v>
      </c>
      <c r="BS99" s="27" t="e">
        <f t="shared" si="173"/>
        <v>#REF!</v>
      </c>
      <c r="BT99" s="27">
        <f t="shared" si="174"/>
        <v>40</v>
      </c>
      <c r="BU99" s="27">
        <f t="shared" si="175"/>
        <v>3379.6694709528674</v>
      </c>
      <c r="BV99" s="27">
        <f t="shared" si="176"/>
        <v>-171533.22116188525</v>
      </c>
      <c r="BW99" s="27" t="e">
        <f>IF(H99="Bundled",+(BG99-#REF!)*Y99,(AP99+AQ99)-Y99*#REF!)</f>
        <v>#REF!</v>
      </c>
      <c r="BX99" s="27" t="e">
        <f t="shared" si="177"/>
        <v>#REF!</v>
      </c>
      <c r="BY99" s="27">
        <f t="shared" si="178"/>
        <v>-4288.3305290471308</v>
      </c>
      <c r="BZ99" s="27" t="e">
        <f t="shared" si="179"/>
        <v>#REF!</v>
      </c>
      <c r="CA99" s="27" t="e">
        <f t="shared" si="180"/>
        <v>#REF!</v>
      </c>
    </row>
    <row r="100" spans="1:79" s="16" customFormat="1" x14ac:dyDescent="0.3">
      <c r="A100" s="199" t="s">
        <v>247</v>
      </c>
      <c r="B100" s="44" t="s">
        <v>147</v>
      </c>
      <c r="C100" s="32" t="s">
        <v>120</v>
      </c>
      <c r="D100" s="32" t="s">
        <v>405</v>
      </c>
      <c r="E100" s="32"/>
      <c r="F100" s="32"/>
      <c r="G100" s="33" t="s">
        <v>11</v>
      </c>
      <c r="H100" s="34" t="s">
        <v>52</v>
      </c>
      <c r="I100" s="33" t="s">
        <v>8</v>
      </c>
      <c r="J100" s="33" t="s">
        <v>61</v>
      </c>
      <c r="K100" s="31" t="str">
        <f t="shared" si="186"/>
        <v>No of Racks</v>
      </c>
      <c r="L100" s="33">
        <v>1</v>
      </c>
      <c r="M100" s="33">
        <v>1</v>
      </c>
      <c r="N100" s="35">
        <f t="shared" si="181"/>
        <v>0</v>
      </c>
      <c r="O100" s="33">
        <v>1</v>
      </c>
      <c r="P100" s="33"/>
      <c r="Q100" s="42">
        <f>(420000)/12</f>
        <v>35000</v>
      </c>
      <c r="R100" s="43" t="str">
        <f t="shared" si="155"/>
        <v>Rated</v>
      </c>
      <c r="S100" s="33" t="s">
        <v>54</v>
      </c>
      <c r="T100" s="34">
        <v>3</v>
      </c>
      <c r="U100" s="45">
        <v>6.38</v>
      </c>
      <c r="V100" s="46">
        <f t="shared" si="123"/>
        <v>-3.38</v>
      </c>
      <c r="W100" s="34"/>
      <c r="X100" s="34">
        <f t="shared" si="124"/>
        <v>0</v>
      </c>
      <c r="Y100" s="34">
        <f t="shared" si="125"/>
        <v>1.5</v>
      </c>
      <c r="Z100" s="65">
        <f t="shared" si="190"/>
        <v>2.2955654761904758</v>
      </c>
      <c r="AA100" s="34">
        <f t="shared" si="126"/>
        <v>3.38</v>
      </c>
      <c r="AB100" s="47">
        <f>90000/12</f>
        <v>7500</v>
      </c>
      <c r="AC100" s="48" t="str">
        <f t="shared" si="127"/>
        <v>Bundled</v>
      </c>
      <c r="AD100" s="34"/>
      <c r="AE100" s="34"/>
      <c r="AF100" s="49"/>
      <c r="AG100" s="34">
        <v>1542.62</v>
      </c>
      <c r="AH100" s="50"/>
      <c r="AI100" s="51"/>
      <c r="AJ100" s="34"/>
      <c r="AK100" s="34"/>
      <c r="AL100" s="34">
        <f t="shared" si="188"/>
        <v>0</v>
      </c>
      <c r="AM100" s="34"/>
      <c r="AN100" s="34"/>
      <c r="AO100" s="42">
        <f t="shared" si="189"/>
        <v>0</v>
      </c>
      <c r="AP100" s="52">
        <f t="shared" si="156"/>
        <v>35000</v>
      </c>
      <c r="AQ100" s="52">
        <f t="shared" si="157"/>
        <v>25350</v>
      </c>
      <c r="AR100" s="53">
        <f t="shared" si="158"/>
        <v>0</v>
      </c>
      <c r="AS100" s="52">
        <f t="shared" si="159"/>
        <v>0</v>
      </c>
      <c r="AT100" s="54">
        <f>(30000+5000)/12</f>
        <v>2916.6666666666665</v>
      </c>
      <c r="AU100" s="55">
        <f t="shared" si="160"/>
        <v>63266.666666666664</v>
      </c>
      <c r="AV100" s="55"/>
      <c r="AW100" s="67">
        <v>121000866</v>
      </c>
      <c r="AX100" s="68">
        <v>43885</v>
      </c>
      <c r="AY100" s="69">
        <v>1</v>
      </c>
      <c r="AZ100" s="68">
        <v>44250</v>
      </c>
      <c r="BA100" s="89"/>
      <c r="BB100" s="5"/>
      <c r="BC100" s="29">
        <f t="shared" si="161"/>
        <v>63266.666666666664</v>
      </c>
      <c r="BD100" s="29">
        <f t="shared" si="162"/>
        <v>42177.777777777774</v>
      </c>
      <c r="BE100" s="25">
        <f t="shared" si="163"/>
        <v>12331.999111803283</v>
      </c>
      <c r="BF100" s="25">
        <f t="shared" si="164"/>
        <v>12331.999111803283</v>
      </c>
      <c r="BG100" s="25">
        <f t="shared" si="165"/>
        <v>21986.413083333333</v>
      </c>
      <c r="BH100" s="29"/>
      <c r="BI100" s="26">
        <f t="shared" si="166"/>
        <v>60350</v>
      </c>
      <c r="BJ100" s="26" t="e">
        <f t="shared" si="167"/>
        <v>#REF!</v>
      </c>
      <c r="BK100" s="26" t="e">
        <f>IF(H100="Bundled",MIN(Y100*$AG$1*(1+#REF!),BI100),AR100)</f>
        <v>#REF!</v>
      </c>
      <c r="BL100" s="27">
        <f t="shared" si="141"/>
        <v>41852.001332295076</v>
      </c>
      <c r="BM100" s="27">
        <f t="shared" si="168"/>
        <v>41852.001332295076</v>
      </c>
      <c r="BN100" s="27">
        <f t="shared" si="169"/>
        <v>27370.380375000001</v>
      </c>
      <c r="BO100" s="27">
        <f t="shared" si="170"/>
        <v>18497.998667704924</v>
      </c>
      <c r="BP100" s="27" t="e">
        <f>+#REF!*Y100</f>
        <v>#REF!</v>
      </c>
      <c r="BQ100" s="27" t="e">
        <f t="shared" si="171"/>
        <v>#REF!</v>
      </c>
      <c r="BR100" s="27" t="e">
        <f t="shared" si="172"/>
        <v>#REF!</v>
      </c>
      <c r="BS100" s="27" t="e">
        <f t="shared" si="173"/>
        <v>#REF!</v>
      </c>
      <c r="BT100" s="27">
        <f t="shared" si="174"/>
        <v>1.5</v>
      </c>
      <c r="BU100" s="27">
        <f t="shared" si="175"/>
        <v>12331.999111803283</v>
      </c>
      <c r="BV100" s="27">
        <f t="shared" si="176"/>
        <v>-14481.620957295076</v>
      </c>
      <c r="BW100" s="27" t="e">
        <f>IF(H100="Bundled",+(BG100-#REF!)*Y100,(AP100+AQ100)-Y100*#REF!)</f>
        <v>#REF!</v>
      </c>
      <c r="BX100" s="27" t="e">
        <f t="shared" si="177"/>
        <v>#REF!</v>
      </c>
      <c r="BY100" s="27">
        <f t="shared" si="178"/>
        <v>-9654.4139715300498</v>
      </c>
      <c r="BZ100" s="27" t="e">
        <f t="shared" si="179"/>
        <v>#REF!</v>
      </c>
      <c r="CA100" s="27" t="e">
        <f t="shared" si="180"/>
        <v>#REF!</v>
      </c>
    </row>
    <row r="101" spans="1:79" s="16" customFormat="1" x14ac:dyDescent="0.3">
      <c r="A101" s="199" t="s">
        <v>247</v>
      </c>
      <c r="B101" s="44" t="s">
        <v>536</v>
      </c>
      <c r="C101" s="32" t="s">
        <v>537</v>
      </c>
      <c r="D101" s="32" t="s">
        <v>404</v>
      </c>
      <c r="E101" s="32"/>
      <c r="F101" s="32"/>
      <c r="G101" s="33" t="s">
        <v>56</v>
      </c>
      <c r="H101" s="34" t="s">
        <v>52</v>
      </c>
      <c r="I101" s="33" t="s">
        <v>8</v>
      </c>
      <c r="J101" s="33" t="s">
        <v>61</v>
      </c>
      <c r="K101" s="31" t="str">
        <f t="shared" si="186"/>
        <v>No of Racks</v>
      </c>
      <c r="L101" s="33">
        <v>2</v>
      </c>
      <c r="M101" s="33">
        <v>2</v>
      </c>
      <c r="N101" s="35">
        <f t="shared" si="181"/>
        <v>0</v>
      </c>
      <c r="O101" s="33">
        <v>2</v>
      </c>
      <c r="P101" s="33"/>
      <c r="Q101" s="42"/>
      <c r="R101" s="43" t="str">
        <f t="shared" si="155"/>
        <v>Subscribed</v>
      </c>
      <c r="S101" s="33" t="s">
        <v>54</v>
      </c>
      <c r="T101" s="34">
        <v>8</v>
      </c>
      <c r="U101" s="66">
        <f>Z101</f>
        <v>7.554598214285714</v>
      </c>
      <c r="V101" s="46">
        <f t="shared" si="123"/>
        <v>0.44540178571428601</v>
      </c>
      <c r="W101" s="34"/>
      <c r="X101" s="34">
        <f t="shared" si="124"/>
        <v>0.44540178571428601</v>
      </c>
      <c r="Y101" s="34">
        <f t="shared" si="125"/>
        <v>8</v>
      </c>
      <c r="Z101" s="65">
        <f t="shared" si="190"/>
        <v>7.554598214285714</v>
      </c>
      <c r="AA101" s="34"/>
      <c r="AB101" s="47">
        <f>90000/12</f>
        <v>7500</v>
      </c>
      <c r="AC101" s="48" t="str">
        <f t="shared" si="127"/>
        <v>Bundled</v>
      </c>
      <c r="AD101" s="34"/>
      <c r="AE101" s="34"/>
      <c r="AF101" s="49"/>
      <c r="AG101" s="34">
        <v>5076.6899999999996</v>
      </c>
      <c r="AH101" s="50"/>
      <c r="AI101" s="51"/>
      <c r="AJ101" s="34"/>
      <c r="AK101" s="34"/>
      <c r="AL101" s="34">
        <f t="shared" si="188"/>
        <v>0</v>
      </c>
      <c r="AM101" s="34"/>
      <c r="AN101" s="34"/>
      <c r="AO101" s="42">
        <f t="shared" si="189"/>
        <v>0</v>
      </c>
      <c r="AP101" s="52">
        <f t="shared" si="156"/>
        <v>0</v>
      </c>
      <c r="AQ101" s="52">
        <f t="shared" si="157"/>
        <v>0</v>
      </c>
      <c r="AR101" s="53">
        <f t="shared" si="158"/>
        <v>0</v>
      </c>
      <c r="AS101" s="52">
        <f t="shared" si="159"/>
        <v>0</v>
      </c>
      <c r="AT101" s="54">
        <f>(30000+5000)/12</f>
        <v>2916.6666666666665</v>
      </c>
      <c r="AU101" s="55">
        <f t="shared" si="160"/>
        <v>2916.6666666666665</v>
      </c>
      <c r="AV101" s="55"/>
      <c r="AW101" s="67">
        <v>121000866</v>
      </c>
      <c r="AX101" s="68">
        <v>43885</v>
      </c>
      <c r="AY101" s="69">
        <v>1</v>
      </c>
      <c r="AZ101" s="68">
        <v>44250</v>
      </c>
      <c r="BA101" s="89"/>
      <c r="BB101" s="5"/>
      <c r="BC101" s="29">
        <f t="shared" si="161"/>
        <v>1458.3333333333333</v>
      </c>
      <c r="BD101" s="29">
        <f t="shared" si="162"/>
        <v>364.58333333333331</v>
      </c>
      <c r="BE101" s="25">
        <f t="shared" si="163"/>
        <v>-17216.621449518443</v>
      </c>
      <c r="BF101" s="25">
        <f t="shared" si="164"/>
        <v>-17216.621449518443</v>
      </c>
      <c r="BG101" s="25">
        <f t="shared" si="165"/>
        <v>-18246.920249999999</v>
      </c>
      <c r="BH101" s="29"/>
      <c r="BI101" s="26">
        <f t="shared" si="166"/>
        <v>0</v>
      </c>
      <c r="BJ101" s="26" t="e">
        <f t="shared" si="167"/>
        <v>#REF!</v>
      </c>
      <c r="BK101" s="26" t="e">
        <f>IF(H101="Bundled",MIN(Y101*$AG$1*(1+#REF!),BI101),AR101)</f>
        <v>#REF!</v>
      </c>
      <c r="BL101" s="27">
        <f t="shared" si="141"/>
        <v>137732.97159614754</v>
      </c>
      <c r="BM101" s="27">
        <f t="shared" si="168"/>
        <v>137732.97159614754</v>
      </c>
      <c r="BN101" s="27">
        <f t="shared" si="169"/>
        <v>145975.36199999999</v>
      </c>
      <c r="BO101" s="27">
        <f t="shared" si="170"/>
        <v>-137732.97159614754</v>
      </c>
      <c r="BP101" s="27" t="e">
        <f>+#REF!*Y101</f>
        <v>#REF!</v>
      </c>
      <c r="BQ101" s="27" t="e">
        <f t="shared" si="171"/>
        <v>#REF!</v>
      </c>
      <c r="BR101" s="27" t="e">
        <f t="shared" si="172"/>
        <v>#REF!</v>
      </c>
      <c r="BS101" s="27" t="e">
        <f t="shared" si="173"/>
        <v>#REF!</v>
      </c>
      <c r="BT101" s="27">
        <f t="shared" si="174"/>
        <v>8</v>
      </c>
      <c r="BU101" s="27">
        <f t="shared" si="175"/>
        <v>-17216.621449518443</v>
      </c>
      <c r="BV101" s="27">
        <f t="shared" si="176"/>
        <v>8242.3904038524488</v>
      </c>
      <c r="BW101" s="27" t="e">
        <f>IF(H101="Bundled",+(BG101-#REF!)*Y101,(AP101+AQ101)-Y101*#REF!)</f>
        <v>#REF!</v>
      </c>
      <c r="BX101" s="27" t="e">
        <f t="shared" si="177"/>
        <v>#REF!</v>
      </c>
      <c r="BY101" s="27">
        <f t="shared" si="178"/>
        <v>1030.2988004815561</v>
      </c>
      <c r="BZ101" s="27" t="e">
        <f t="shared" si="179"/>
        <v>#REF!</v>
      </c>
      <c r="CA101" s="27" t="e">
        <f t="shared" si="180"/>
        <v>#REF!</v>
      </c>
    </row>
    <row r="102" spans="1:79" s="16" customFormat="1" ht="26" x14ac:dyDescent="0.3">
      <c r="A102" s="199" t="s">
        <v>247</v>
      </c>
      <c r="B102" s="44" t="s">
        <v>148</v>
      </c>
      <c r="C102" s="182" t="s">
        <v>361</v>
      </c>
      <c r="D102" s="279" t="s">
        <v>405</v>
      </c>
      <c r="E102" s="279"/>
      <c r="F102" s="279"/>
      <c r="G102" s="33" t="s">
        <v>11</v>
      </c>
      <c r="H102" s="34" t="s">
        <v>52</v>
      </c>
      <c r="I102" s="33" t="s">
        <v>8</v>
      </c>
      <c r="J102" s="33" t="s">
        <v>61</v>
      </c>
      <c r="K102" s="31" t="str">
        <f t="shared" si="186"/>
        <v>No of Racks</v>
      </c>
      <c r="L102" s="33">
        <v>1</v>
      </c>
      <c r="M102" s="33">
        <v>1</v>
      </c>
      <c r="N102" s="35">
        <f t="shared" si="181"/>
        <v>0</v>
      </c>
      <c r="O102" s="33">
        <v>1</v>
      </c>
      <c r="P102" s="33"/>
      <c r="Q102" s="42">
        <f>(785000)/12</f>
        <v>65416.666666666664</v>
      </c>
      <c r="R102" s="43" t="str">
        <f t="shared" si="155"/>
        <v>Rated</v>
      </c>
      <c r="S102" s="33" t="s">
        <v>54</v>
      </c>
      <c r="T102" s="34">
        <v>6</v>
      </c>
      <c r="U102" s="45">
        <v>7.79</v>
      </c>
      <c r="V102" s="46">
        <f t="shared" si="123"/>
        <v>-1.79</v>
      </c>
      <c r="W102" s="34"/>
      <c r="X102" s="34">
        <f t="shared" si="124"/>
        <v>0</v>
      </c>
      <c r="Y102" s="34">
        <f t="shared" si="125"/>
        <v>3</v>
      </c>
      <c r="Z102" s="65">
        <f t="shared" si="190"/>
        <v>2.0413988095238094</v>
      </c>
      <c r="AA102" s="34">
        <f>IF((V102*-1)&gt;0, (V102*-1), 0)</f>
        <v>1.79</v>
      </c>
      <c r="AB102" s="47">
        <f>90000/12</f>
        <v>7500</v>
      </c>
      <c r="AC102" s="48" t="str">
        <f t="shared" si="127"/>
        <v>Bundled</v>
      </c>
      <c r="AD102" s="34"/>
      <c r="AE102" s="34"/>
      <c r="AF102" s="49"/>
      <c r="AG102" s="34">
        <v>1371.82</v>
      </c>
      <c r="AH102" s="50"/>
      <c r="AI102" s="51"/>
      <c r="AJ102" s="34"/>
      <c r="AK102" s="34"/>
      <c r="AL102" s="34">
        <f t="shared" si="188"/>
        <v>0</v>
      </c>
      <c r="AM102" s="34"/>
      <c r="AN102" s="34"/>
      <c r="AO102" s="42">
        <f t="shared" si="189"/>
        <v>0</v>
      </c>
      <c r="AP102" s="52">
        <f t="shared" si="156"/>
        <v>65416.666666666664</v>
      </c>
      <c r="AQ102" s="52">
        <f t="shared" si="157"/>
        <v>13425</v>
      </c>
      <c r="AR102" s="53">
        <f t="shared" si="158"/>
        <v>0</v>
      </c>
      <c r="AS102" s="52">
        <f t="shared" si="159"/>
        <v>0</v>
      </c>
      <c r="AT102" s="54">
        <f>(30000)/12</f>
        <v>2500</v>
      </c>
      <c r="AU102" s="55">
        <f t="shared" si="160"/>
        <v>81341.666666666657</v>
      </c>
      <c r="AV102" s="55"/>
      <c r="AW102" s="67">
        <v>121001006</v>
      </c>
      <c r="AX102" s="68">
        <v>43862</v>
      </c>
      <c r="AY102" s="69">
        <v>3</v>
      </c>
      <c r="AZ102" s="68">
        <v>44957</v>
      </c>
      <c r="BA102" s="89"/>
      <c r="BB102" s="5"/>
      <c r="BC102" s="29">
        <f t="shared" si="161"/>
        <v>81341.666666666657</v>
      </c>
      <c r="BD102" s="29">
        <f t="shared" si="162"/>
        <v>27113.888888888887</v>
      </c>
      <c r="BE102" s="25">
        <f t="shared" si="163"/>
        <v>13874.516378123859</v>
      </c>
      <c r="BF102" s="25">
        <f t="shared" si="164"/>
        <v>13874.516378123859</v>
      </c>
      <c r="BG102" s="25">
        <f t="shared" si="165"/>
        <v>8033.6353055555519</v>
      </c>
      <c r="BH102" s="29"/>
      <c r="BI102" s="26">
        <f t="shared" si="166"/>
        <v>78841.666666666657</v>
      </c>
      <c r="BJ102" s="26" t="e">
        <f t="shared" si="167"/>
        <v>#REF!</v>
      </c>
      <c r="BK102" s="26" t="e">
        <f>IF(H102="Bundled",MIN(Y102*$AG$1*(1+#REF!),BI102),AR102)</f>
        <v>#REF!</v>
      </c>
      <c r="BL102" s="27">
        <f t="shared" si="141"/>
        <v>37218.11753229508</v>
      </c>
      <c r="BM102" s="27">
        <f t="shared" si="168"/>
        <v>37218.11753229508</v>
      </c>
      <c r="BN102" s="27">
        <f t="shared" si="169"/>
        <v>54740.760750000001</v>
      </c>
      <c r="BO102" s="27">
        <f t="shared" si="170"/>
        <v>41623.549134371577</v>
      </c>
      <c r="BP102" s="27" t="e">
        <f>+#REF!*Y102</f>
        <v>#REF!</v>
      </c>
      <c r="BQ102" s="27" t="e">
        <f t="shared" si="171"/>
        <v>#REF!</v>
      </c>
      <c r="BR102" s="27" t="e">
        <f t="shared" si="172"/>
        <v>#REF!</v>
      </c>
      <c r="BS102" s="27" t="e">
        <f t="shared" si="173"/>
        <v>#REF!</v>
      </c>
      <c r="BT102" s="27">
        <f t="shared" si="174"/>
        <v>3</v>
      </c>
      <c r="BU102" s="27">
        <f t="shared" si="175"/>
        <v>13874.516378123859</v>
      </c>
      <c r="BV102" s="27">
        <f t="shared" si="176"/>
        <v>17522.643217704921</v>
      </c>
      <c r="BW102" s="27" t="e">
        <f>IF(H102="Bundled",+(BG102-#REF!)*Y102,(AP102+AQ102)-Y102*#REF!)</f>
        <v>#REF!</v>
      </c>
      <c r="BX102" s="27" t="e">
        <f t="shared" si="177"/>
        <v>#REF!</v>
      </c>
      <c r="BY102" s="27">
        <f t="shared" si="178"/>
        <v>5840.881072568307</v>
      </c>
      <c r="BZ102" s="27" t="e">
        <f t="shared" si="179"/>
        <v>#REF!</v>
      </c>
      <c r="CA102" s="27" t="e">
        <f t="shared" si="180"/>
        <v>#REF!</v>
      </c>
    </row>
    <row r="103" spans="1:79" s="16" customFormat="1" x14ac:dyDescent="0.3">
      <c r="A103" s="199" t="s">
        <v>247</v>
      </c>
      <c r="B103" s="44" t="s">
        <v>149</v>
      </c>
      <c r="C103" s="32" t="s">
        <v>318</v>
      </c>
      <c r="D103" s="32" t="s">
        <v>405</v>
      </c>
      <c r="E103" s="32"/>
      <c r="F103" s="32"/>
      <c r="G103" s="33" t="s">
        <v>56</v>
      </c>
      <c r="H103" s="34" t="s">
        <v>57</v>
      </c>
      <c r="I103" s="33" t="s">
        <v>8</v>
      </c>
      <c r="J103" s="33" t="s">
        <v>61</v>
      </c>
      <c r="K103" s="31" t="str">
        <f t="shared" si="186"/>
        <v>No of Racks</v>
      </c>
      <c r="L103" s="33">
        <v>1</v>
      </c>
      <c r="M103" s="33">
        <v>1</v>
      </c>
      <c r="N103" s="35">
        <f t="shared" si="181"/>
        <v>0</v>
      </c>
      <c r="O103" s="33">
        <v>1</v>
      </c>
      <c r="P103" s="33"/>
      <c r="Q103" s="42">
        <f>(300000)/12</f>
        <v>25000</v>
      </c>
      <c r="R103" s="43" t="str">
        <f t="shared" si="155"/>
        <v>Subscribed</v>
      </c>
      <c r="S103" s="33" t="s">
        <v>58</v>
      </c>
      <c r="T103" s="34">
        <v>3</v>
      </c>
      <c r="U103" s="66">
        <f>Z103</f>
        <v>2.2481994047619049</v>
      </c>
      <c r="V103" s="46">
        <f t="shared" si="123"/>
        <v>0.75180059523809506</v>
      </c>
      <c r="W103" s="34"/>
      <c r="X103" s="34">
        <f t="shared" si="124"/>
        <v>0.75180059523809506</v>
      </c>
      <c r="Y103" s="34">
        <f t="shared" si="125"/>
        <v>3</v>
      </c>
      <c r="Z103" s="65">
        <f t="shared" si="190"/>
        <v>2.2481994047619049</v>
      </c>
      <c r="AA103" s="34">
        <f>IF((V103*-1)&gt;0, (V103*-1), 0)</f>
        <v>0</v>
      </c>
      <c r="AB103" s="47">
        <f>90000/12</f>
        <v>7500</v>
      </c>
      <c r="AC103" s="48" t="str">
        <f t="shared" si="127"/>
        <v>Metered</v>
      </c>
      <c r="AD103" s="34">
        <v>1</v>
      </c>
      <c r="AE103" s="34" t="s">
        <v>62</v>
      </c>
      <c r="AF103" s="49">
        <v>18.5</v>
      </c>
      <c r="AG103" s="34">
        <v>1510.79</v>
      </c>
      <c r="AH103" s="50"/>
      <c r="AI103" s="51"/>
      <c r="AJ103" s="34"/>
      <c r="AK103" s="34"/>
      <c r="AL103" s="34">
        <f t="shared" si="188"/>
        <v>0</v>
      </c>
      <c r="AM103" s="34"/>
      <c r="AN103" s="34"/>
      <c r="AO103" s="42">
        <f t="shared" si="189"/>
        <v>0</v>
      </c>
      <c r="AP103" s="52">
        <f t="shared" si="156"/>
        <v>25000</v>
      </c>
      <c r="AQ103" s="52">
        <f t="shared" si="157"/>
        <v>0</v>
      </c>
      <c r="AR103" s="53">
        <f t="shared" si="158"/>
        <v>27949.614999999998</v>
      </c>
      <c r="AS103" s="52">
        <f t="shared" si="159"/>
        <v>0</v>
      </c>
      <c r="AT103" s="54">
        <f>(15000+160000)/12</f>
        <v>14583.333333333334</v>
      </c>
      <c r="AU103" s="55">
        <f t="shared" si="160"/>
        <v>67532.948333333334</v>
      </c>
      <c r="AV103" s="55"/>
      <c r="AW103" s="67" t="s">
        <v>134</v>
      </c>
      <c r="AX103" s="68">
        <v>44116</v>
      </c>
      <c r="AY103" s="69"/>
      <c r="AZ103" s="68"/>
      <c r="BA103" s="89"/>
      <c r="BB103" s="5"/>
      <c r="BC103" s="29">
        <f t="shared" si="161"/>
        <v>67532.948333333334</v>
      </c>
      <c r="BD103" s="29">
        <f t="shared" si="162"/>
        <v>22510.982777777779</v>
      </c>
      <c r="BE103" s="25">
        <f t="shared" si="163"/>
        <v>3987.0588130327887</v>
      </c>
      <c r="BF103" s="25">
        <f t="shared" si="164"/>
        <v>3987.0588130327887</v>
      </c>
      <c r="BG103" s="25">
        <f t="shared" si="165"/>
        <v>4334.1511208333322</v>
      </c>
      <c r="BH103" s="29"/>
      <c r="BI103" s="26">
        <f t="shared" si="166"/>
        <v>52949.614999999998</v>
      </c>
      <c r="BJ103" s="26">
        <f t="shared" si="167"/>
        <v>25000</v>
      </c>
      <c r="BK103" s="26">
        <f>IF(H103="Bundled",MIN(Y103*$AG$1*(1+#REF!),BI103),AR103)</f>
        <v>27949.614999999998</v>
      </c>
      <c r="BL103" s="27">
        <f t="shared" si="141"/>
        <v>40988.438560901632</v>
      </c>
      <c r="BM103" s="27">
        <f t="shared" si="168"/>
        <v>40988.438560901632</v>
      </c>
      <c r="BN103" s="27">
        <f t="shared" si="169"/>
        <v>46529.646637500002</v>
      </c>
      <c r="BO103" s="27">
        <f t="shared" si="170"/>
        <v>11961.176439098366</v>
      </c>
      <c r="BP103" s="27" t="e">
        <f>+#REF!*Y103</f>
        <v>#REF!</v>
      </c>
      <c r="BQ103" s="27" t="e">
        <f t="shared" si="171"/>
        <v>#REF!</v>
      </c>
      <c r="BR103" s="27">
        <f t="shared" si="172"/>
        <v>-13038.823560901634</v>
      </c>
      <c r="BS103" s="27" t="e">
        <f t="shared" si="173"/>
        <v>#REF!</v>
      </c>
      <c r="BT103" s="27">
        <f t="shared" si="174"/>
        <v>3</v>
      </c>
      <c r="BU103" s="27">
        <f t="shared" si="175"/>
        <v>3987.0588130327887</v>
      </c>
      <c r="BV103" s="27">
        <f t="shared" si="176"/>
        <v>-13038.823560901634</v>
      </c>
      <c r="BW103" s="27" t="e">
        <f>IF(H103="Bundled",+(BG103-#REF!)*Y103,(AP103+AQ103)-Y103*#REF!)</f>
        <v>#REF!</v>
      </c>
      <c r="BX103" s="27" t="e">
        <f t="shared" si="177"/>
        <v>#REF!</v>
      </c>
      <c r="BY103" s="27">
        <f t="shared" si="178"/>
        <v>-4346.2745203005443</v>
      </c>
      <c r="BZ103" s="27" t="e">
        <f t="shared" si="179"/>
        <v>#REF!</v>
      </c>
      <c r="CA103" s="27" t="e">
        <f t="shared" si="180"/>
        <v>#REF!</v>
      </c>
    </row>
    <row r="104" spans="1:79" s="16" customFormat="1" x14ac:dyDescent="0.3">
      <c r="A104" s="199" t="s">
        <v>247</v>
      </c>
      <c r="B104" s="44" t="s">
        <v>150</v>
      </c>
      <c r="C104" s="32" t="s">
        <v>545</v>
      </c>
      <c r="D104" s="32" t="s">
        <v>404</v>
      </c>
      <c r="E104" s="32"/>
      <c r="F104" s="32"/>
      <c r="G104" s="33" t="s">
        <v>56</v>
      </c>
      <c r="H104" s="34" t="s">
        <v>57</v>
      </c>
      <c r="I104" s="33" t="s">
        <v>8</v>
      </c>
      <c r="J104" s="33" t="s">
        <v>61</v>
      </c>
      <c r="K104" s="31" t="str">
        <f t="shared" si="186"/>
        <v>No of Racks</v>
      </c>
      <c r="L104" s="33">
        <v>1</v>
      </c>
      <c r="M104" s="33">
        <v>1</v>
      </c>
      <c r="N104" s="35">
        <f t="shared" si="181"/>
        <v>0</v>
      </c>
      <c r="O104" s="33">
        <v>1</v>
      </c>
      <c r="P104" s="33"/>
      <c r="Q104" s="42">
        <f>(160000)/12</f>
        <v>13333.333333333334</v>
      </c>
      <c r="R104" s="43" t="str">
        <f t="shared" si="155"/>
        <v>Subscribed</v>
      </c>
      <c r="S104" s="33" t="s">
        <v>58</v>
      </c>
      <c r="T104" s="34">
        <v>2</v>
      </c>
      <c r="U104" s="66">
        <f>Z104</f>
        <v>3.4797767857142854</v>
      </c>
      <c r="V104" s="46">
        <f t="shared" si="123"/>
        <v>-1.4797767857142854</v>
      </c>
      <c r="W104" s="34"/>
      <c r="X104" s="34">
        <f t="shared" si="124"/>
        <v>0</v>
      </c>
      <c r="Y104" s="34">
        <f t="shared" si="125"/>
        <v>2</v>
      </c>
      <c r="Z104" s="65">
        <f t="shared" si="190"/>
        <v>3.4797767857142854</v>
      </c>
      <c r="AA104" s="34">
        <f>IF((V104*-1)&gt;0, (V104*-1), 0)</f>
        <v>1.4797767857142854</v>
      </c>
      <c r="AB104" s="47">
        <f>80000/12</f>
        <v>6666.666666666667</v>
      </c>
      <c r="AC104" s="48" t="str">
        <f t="shared" si="127"/>
        <v>Metered</v>
      </c>
      <c r="AD104" s="34">
        <v>1.7</v>
      </c>
      <c r="AE104" s="34" t="s">
        <v>59</v>
      </c>
      <c r="AF104" s="49">
        <v>10.02</v>
      </c>
      <c r="AG104" s="34">
        <v>2338.41</v>
      </c>
      <c r="AH104" s="50"/>
      <c r="AI104" s="51"/>
      <c r="AJ104" s="34"/>
      <c r="AK104" s="34"/>
      <c r="AL104" s="34">
        <f t="shared" si="188"/>
        <v>0</v>
      </c>
      <c r="AM104" s="34"/>
      <c r="AN104" s="34"/>
      <c r="AO104" s="42">
        <f t="shared" si="189"/>
        <v>0</v>
      </c>
      <c r="AP104" s="52">
        <f t="shared" si="156"/>
        <v>13333.333333333334</v>
      </c>
      <c r="AQ104" s="52">
        <f t="shared" si="157"/>
        <v>9865.1785714285688</v>
      </c>
      <c r="AR104" s="53">
        <f t="shared" si="158"/>
        <v>39832.475939999997</v>
      </c>
      <c r="AS104" s="52">
        <f t="shared" si="159"/>
        <v>0</v>
      </c>
      <c r="AT104" s="54">
        <f>130000/12</f>
        <v>10833.333333333334</v>
      </c>
      <c r="AU104" s="55">
        <f t="shared" si="160"/>
        <v>73864.321178095226</v>
      </c>
      <c r="AV104" s="55"/>
      <c r="AW104" s="67">
        <v>121001464</v>
      </c>
      <c r="AX104" s="68"/>
      <c r="AY104" s="69"/>
      <c r="AZ104" s="68"/>
      <c r="BA104" s="89"/>
      <c r="BB104" s="5"/>
      <c r="BC104" s="29">
        <f t="shared" si="161"/>
        <v>73864.321178095226</v>
      </c>
      <c r="BD104" s="29">
        <f t="shared" si="162"/>
        <v>36932.160589047613</v>
      </c>
      <c r="BE104" s="25">
        <f t="shared" si="163"/>
        <v>-205.58399552888659</v>
      </c>
      <c r="BF104" s="25">
        <f t="shared" si="164"/>
        <v>-205.58399552888659</v>
      </c>
      <c r="BG104" s="25">
        <f t="shared" si="165"/>
        <v>6687.9285398809498</v>
      </c>
      <c r="BH104" s="29"/>
      <c r="BI104" s="26">
        <f t="shared" si="166"/>
        <v>63030.987844761898</v>
      </c>
      <c r="BJ104" s="26">
        <f t="shared" si="167"/>
        <v>23198.511904761901</v>
      </c>
      <c r="BK104" s="26">
        <f>IF(H104="Bundled",MIN(Y104*$AG$1*(1+#REF!),BI104),AR104)</f>
        <v>39832.475939999997</v>
      </c>
      <c r="BL104" s="27">
        <f t="shared" si="141"/>
        <v>63442.155835819671</v>
      </c>
      <c r="BM104" s="27">
        <f t="shared" si="168"/>
        <v>63442.155835819671</v>
      </c>
      <c r="BN104" s="27">
        <f t="shared" si="169"/>
        <v>31019.764424999998</v>
      </c>
      <c r="BO104" s="27">
        <f t="shared" si="170"/>
        <v>-411.16799105777318</v>
      </c>
      <c r="BP104" s="27" t="e">
        <f>+#REF!*Y104</f>
        <v>#REF!</v>
      </c>
      <c r="BQ104" s="27" t="e">
        <f t="shared" si="171"/>
        <v>#REF!</v>
      </c>
      <c r="BR104" s="27">
        <f t="shared" si="172"/>
        <v>-23609.679895819674</v>
      </c>
      <c r="BS104" s="27" t="e">
        <f t="shared" si="173"/>
        <v>#REF!</v>
      </c>
      <c r="BT104" s="27">
        <f t="shared" si="174"/>
        <v>2</v>
      </c>
      <c r="BU104" s="27">
        <f t="shared" si="175"/>
        <v>-205.58399552888659</v>
      </c>
      <c r="BV104" s="27">
        <f t="shared" si="176"/>
        <v>-23609.679895819674</v>
      </c>
      <c r="BW104" s="27" t="e">
        <f>IF(H104="Bundled",+(BG104-#REF!)*Y104,(AP104+AQ104)-Y104*#REF!)</f>
        <v>#REF!</v>
      </c>
      <c r="BX104" s="27" t="e">
        <f t="shared" si="177"/>
        <v>#REF!</v>
      </c>
      <c r="BY104" s="27">
        <f t="shared" si="178"/>
        <v>-11804.839947909837</v>
      </c>
      <c r="BZ104" s="27" t="e">
        <f t="shared" si="179"/>
        <v>#REF!</v>
      </c>
      <c r="CA104" s="27" t="e">
        <f t="shared" si="180"/>
        <v>#REF!</v>
      </c>
    </row>
    <row r="105" spans="1:79" s="16" customFormat="1" x14ac:dyDescent="0.3">
      <c r="A105" s="199" t="s">
        <v>247</v>
      </c>
      <c r="B105" s="356" t="s">
        <v>524</v>
      </c>
      <c r="C105" s="356" t="s">
        <v>523</v>
      </c>
      <c r="D105" s="32" t="s">
        <v>404</v>
      </c>
      <c r="E105" s="32"/>
      <c r="F105" s="32"/>
      <c r="G105" s="33" t="s">
        <v>11</v>
      </c>
      <c r="H105" s="34" t="s">
        <v>52</v>
      </c>
      <c r="I105" s="33" t="s">
        <v>8</v>
      </c>
      <c r="J105" s="33" t="s">
        <v>61</v>
      </c>
      <c r="K105" s="31" t="str">
        <f t="shared" si="186"/>
        <v>No of Racks</v>
      </c>
      <c r="L105" s="33">
        <v>1</v>
      </c>
      <c r="M105" s="33">
        <v>1</v>
      </c>
      <c r="N105" s="35">
        <f t="shared" si="181"/>
        <v>0</v>
      </c>
      <c r="O105" s="33">
        <v>1</v>
      </c>
      <c r="P105" s="33"/>
      <c r="Q105" s="42"/>
      <c r="R105" s="43" t="s">
        <v>11</v>
      </c>
      <c r="S105" s="33" t="s">
        <v>54</v>
      </c>
      <c r="T105" s="34">
        <v>3</v>
      </c>
      <c r="U105" s="45">
        <v>2.74</v>
      </c>
      <c r="V105" s="46">
        <f t="shared" si="123"/>
        <v>0.25999999999999979</v>
      </c>
      <c r="W105" s="34"/>
      <c r="X105" s="34">
        <f t="shared" si="124"/>
        <v>0.12999999999999989</v>
      </c>
      <c r="Y105" s="34">
        <f t="shared" si="125"/>
        <v>1.5</v>
      </c>
      <c r="Z105" s="65">
        <v>0.4</v>
      </c>
      <c r="AA105" s="34"/>
      <c r="AB105" s="47"/>
      <c r="AC105" s="48" t="str">
        <f t="shared" si="127"/>
        <v>Bundled</v>
      </c>
      <c r="AD105" s="34"/>
      <c r="AE105" s="34"/>
      <c r="AF105" s="49"/>
      <c r="AG105" s="34"/>
      <c r="AH105" s="50"/>
      <c r="AI105" s="51"/>
      <c r="AJ105" s="34"/>
      <c r="AK105" s="34"/>
      <c r="AL105" s="34"/>
      <c r="AM105" s="34"/>
      <c r="AN105" s="34"/>
      <c r="AO105" s="42"/>
      <c r="AP105" s="52"/>
      <c r="AQ105" s="52"/>
      <c r="AR105" s="53"/>
      <c r="AS105" s="52"/>
      <c r="AT105" s="54"/>
      <c r="AU105" s="55"/>
      <c r="AV105" s="55"/>
      <c r="AW105" s="67"/>
      <c r="AX105" s="68"/>
      <c r="AY105" s="69"/>
      <c r="AZ105" s="68"/>
      <c r="BA105" s="89"/>
      <c r="BB105" s="5"/>
      <c r="BC105" s="59"/>
      <c r="BD105" s="59"/>
      <c r="BE105" s="59"/>
      <c r="BF105" s="59"/>
      <c r="BG105" s="59"/>
      <c r="BH105" s="59"/>
      <c r="BI105" s="60"/>
      <c r="BJ105" s="60"/>
      <c r="BK105" s="60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</row>
    <row r="106" spans="1:79" s="16" customFormat="1" x14ac:dyDescent="0.3">
      <c r="A106" s="508" t="s">
        <v>247</v>
      </c>
      <c r="B106" s="499" t="s">
        <v>525</v>
      </c>
      <c r="C106" s="32" t="s">
        <v>526</v>
      </c>
      <c r="D106" s="32" t="s">
        <v>404</v>
      </c>
      <c r="E106" s="32"/>
      <c r="F106" s="32"/>
      <c r="G106" s="33" t="s">
        <v>11</v>
      </c>
      <c r="H106" s="34" t="s">
        <v>52</v>
      </c>
      <c r="I106" s="33" t="s">
        <v>60</v>
      </c>
      <c r="J106" s="33" t="s">
        <v>61</v>
      </c>
      <c r="K106" s="31" t="str">
        <f t="shared" si="186"/>
        <v>U Space</v>
      </c>
      <c r="L106" s="33">
        <v>21</v>
      </c>
      <c r="M106" s="33">
        <v>21</v>
      </c>
      <c r="N106" s="35">
        <f t="shared" si="181"/>
        <v>0</v>
      </c>
      <c r="O106" s="33">
        <v>21</v>
      </c>
      <c r="P106" s="33"/>
      <c r="Q106" s="42"/>
      <c r="R106" s="43" t="s">
        <v>11</v>
      </c>
      <c r="S106" s="33" t="s">
        <v>54</v>
      </c>
      <c r="T106" s="34">
        <v>2</v>
      </c>
      <c r="U106" s="45">
        <v>0.81</v>
      </c>
      <c r="V106" s="46">
        <f t="shared" si="123"/>
        <v>1.19</v>
      </c>
      <c r="W106" s="34"/>
      <c r="X106" s="34">
        <f t="shared" si="124"/>
        <v>0.59499999999999997</v>
      </c>
      <c r="Y106" s="34">
        <f t="shared" si="125"/>
        <v>1</v>
      </c>
      <c r="Z106" s="493">
        <v>1.04</v>
      </c>
      <c r="AA106" s="34"/>
      <c r="AB106" s="47"/>
      <c r="AC106" s="48" t="str">
        <f t="shared" si="127"/>
        <v>Bundled</v>
      </c>
      <c r="AD106" s="34"/>
      <c r="AE106" s="34"/>
      <c r="AF106" s="49"/>
      <c r="AG106" s="34"/>
      <c r="AH106" s="50"/>
      <c r="AI106" s="51"/>
      <c r="AJ106" s="34"/>
      <c r="AK106" s="34"/>
      <c r="AL106" s="34"/>
      <c r="AM106" s="34"/>
      <c r="AN106" s="34"/>
      <c r="AO106" s="42"/>
      <c r="AP106" s="52"/>
      <c r="AQ106" s="52"/>
      <c r="AR106" s="53"/>
      <c r="AS106" s="52"/>
      <c r="AT106" s="54"/>
      <c r="AU106" s="55"/>
      <c r="AV106" s="55"/>
      <c r="AW106" s="67"/>
      <c r="AX106" s="68"/>
      <c r="AY106" s="69"/>
      <c r="AZ106" s="68"/>
      <c r="BA106" s="89"/>
      <c r="BB106" s="5"/>
      <c r="BC106" s="59"/>
      <c r="BD106" s="59"/>
      <c r="BE106" s="59"/>
      <c r="BF106" s="59"/>
      <c r="BG106" s="59"/>
      <c r="BH106" s="59"/>
      <c r="BI106" s="60"/>
      <c r="BJ106" s="60"/>
      <c r="BK106" s="60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</row>
    <row r="107" spans="1:79" s="16" customFormat="1" x14ac:dyDescent="0.3">
      <c r="A107" s="509"/>
      <c r="B107" s="500"/>
      <c r="C107" s="32" t="s">
        <v>541</v>
      </c>
      <c r="D107" s="32" t="s">
        <v>405</v>
      </c>
      <c r="E107" s="32"/>
      <c r="F107" s="32"/>
      <c r="G107" s="33" t="s">
        <v>11</v>
      </c>
      <c r="H107" s="34" t="s">
        <v>52</v>
      </c>
      <c r="I107" s="33" t="s">
        <v>60</v>
      </c>
      <c r="J107" s="33" t="s">
        <v>61</v>
      </c>
      <c r="K107" s="31" t="str">
        <f t="shared" si="186"/>
        <v>U Space</v>
      </c>
      <c r="L107" s="33">
        <v>10</v>
      </c>
      <c r="M107" s="33">
        <v>10</v>
      </c>
      <c r="N107" s="35">
        <f t="shared" si="181"/>
        <v>0</v>
      </c>
      <c r="O107" s="33">
        <v>10</v>
      </c>
      <c r="P107" s="33"/>
      <c r="Q107" s="42"/>
      <c r="R107" s="43" t="s">
        <v>11</v>
      </c>
      <c r="S107" s="33" t="s">
        <v>54</v>
      </c>
      <c r="T107" s="34">
        <v>1</v>
      </c>
      <c r="U107" s="45">
        <v>1.71</v>
      </c>
      <c r="V107" s="46">
        <f t="shared" si="123"/>
        <v>-0.71</v>
      </c>
      <c r="W107" s="34"/>
      <c r="X107" s="34">
        <f t="shared" si="124"/>
        <v>0</v>
      </c>
      <c r="Y107" s="34">
        <f t="shared" si="125"/>
        <v>0.5</v>
      </c>
      <c r="Z107" s="494"/>
      <c r="AA107" s="34"/>
      <c r="AB107" s="47"/>
      <c r="AC107" s="48" t="str">
        <f t="shared" si="127"/>
        <v>Bundled</v>
      </c>
      <c r="AD107" s="34"/>
      <c r="AE107" s="34"/>
      <c r="AF107" s="49"/>
      <c r="AG107" s="34"/>
      <c r="AH107" s="50"/>
      <c r="AI107" s="51"/>
      <c r="AJ107" s="34"/>
      <c r="AK107" s="34"/>
      <c r="AL107" s="34"/>
      <c r="AM107" s="34"/>
      <c r="AN107" s="34"/>
      <c r="AO107" s="42"/>
      <c r="AP107" s="52"/>
      <c r="AQ107" s="52"/>
      <c r="AR107" s="53"/>
      <c r="AS107" s="52"/>
      <c r="AT107" s="54"/>
      <c r="AU107" s="55"/>
      <c r="AV107" s="55"/>
      <c r="AW107" s="67"/>
      <c r="AX107" s="68"/>
      <c r="AY107" s="69"/>
      <c r="AZ107" s="68"/>
      <c r="BA107" s="89"/>
      <c r="BB107" s="5"/>
      <c r="BC107" s="59"/>
      <c r="BD107" s="59"/>
      <c r="BE107" s="59"/>
      <c r="BF107" s="59"/>
      <c r="BG107" s="59"/>
      <c r="BH107" s="59"/>
      <c r="BI107" s="60"/>
      <c r="BJ107" s="60"/>
      <c r="BK107" s="60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</row>
    <row r="108" spans="1:79" s="16" customFormat="1" x14ac:dyDescent="0.3">
      <c r="A108" s="510"/>
      <c r="B108" s="501"/>
      <c r="C108" s="32" t="s">
        <v>527</v>
      </c>
      <c r="D108" s="32" t="s">
        <v>404</v>
      </c>
      <c r="E108" s="32"/>
      <c r="F108" s="32"/>
      <c r="G108" s="33" t="s">
        <v>11</v>
      </c>
      <c r="H108" s="34" t="s">
        <v>52</v>
      </c>
      <c r="I108" s="33" t="s">
        <v>60</v>
      </c>
      <c r="J108" s="33" t="s">
        <v>61</v>
      </c>
      <c r="K108" s="31" t="str">
        <f t="shared" si="186"/>
        <v>U Space</v>
      </c>
      <c r="L108" s="33">
        <v>10</v>
      </c>
      <c r="M108" s="33">
        <v>10</v>
      </c>
      <c r="N108" s="35">
        <f t="shared" si="181"/>
        <v>0</v>
      </c>
      <c r="O108" s="33">
        <v>10</v>
      </c>
      <c r="P108" s="33"/>
      <c r="Q108" s="42"/>
      <c r="R108" s="43" t="s">
        <v>11</v>
      </c>
      <c r="S108" s="33" t="s">
        <v>54</v>
      </c>
      <c r="T108" s="34">
        <v>1.2</v>
      </c>
      <c r="U108" s="45">
        <v>0.53</v>
      </c>
      <c r="V108" s="46">
        <f t="shared" si="123"/>
        <v>0.66999999999999993</v>
      </c>
      <c r="W108" s="34"/>
      <c r="X108" s="34">
        <f t="shared" si="124"/>
        <v>0.33499999999999996</v>
      </c>
      <c r="Y108" s="34">
        <f t="shared" si="125"/>
        <v>0.6</v>
      </c>
      <c r="Z108" s="495"/>
      <c r="AA108" s="34"/>
      <c r="AB108" s="47"/>
      <c r="AC108" s="48" t="str">
        <f t="shared" si="127"/>
        <v>Bundled</v>
      </c>
      <c r="AD108" s="34"/>
      <c r="AE108" s="34"/>
      <c r="AF108" s="49"/>
      <c r="AG108" s="34"/>
      <c r="AH108" s="50"/>
      <c r="AI108" s="51"/>
      <c r="AJ108" s="34"/>
      <c r="AK108" s="34"/>
      <c r="AL108" s="34"/>
      <c r="AM108" s="34"/>
      <c r="AN108" s="34"/>
      <c r="AO108" s="42"/>
      <c r="AP108" s="52"/>
      <c r="AQ108" s="52"/>
      <c r="AR108" s="53"/>
      <c r="AS108" s="52"/>
      <c r="AT108" s="54"/>
      <c r="AU108" s="55"/>
      <c r="AV108" s="55"/>
      <c r="AW108" s="67"/>
      <c r="AX108" s="68"/>
      <c r="AY108" s="69"/>
      <c r="AZ108" s="68"/>
      <c r="BA108" s="89"/>
      <c r="BB108" s="5"/>
      <c r="BC108" s="59"/>
      <c r="BD108" s="59"/>
      <c r="BE108" s="59"/>
      <c r="BF108" s="59"/>
      <c r="BG108" s="59"/>
      <c r="BH108" s="59"/>
      <c r="BI108" s="60"/>
      <c r="BJ108" s="60"/>
      <c r="BK108" s="60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</row>
    <row r="109" spans="1:79" s="16" customFormat="1" ht="13" customHeight="1" x14ac:dyDescent="0.3">
      <c r="A109" s="199" t="s">
        <v>247</v>
      </c>
      <c r="B109" s="489" t="s">
        <v>142</v>
      </c>
      <c r="C109" s="32" t="s">
        <v>364</v>
      </c>
      <c r="D109" s="132" t="s">
        <v>405</v>
      </c>
      <c r="E109" s="132"/>
      <c r="F109" s="132"/>
      <c r="G109" s="33" t="s">
        <v>11</v>
      </c>
      <c r="H109" s="34" t="s">
        <v>52</v>
      </c>
      <c r="I109" s="33" t="s">
        <v>60</v>
      </c>
      <c r="J109" s="33" t="s">
        <v>61</v>
      </c>
      <c r="K109" s="31" t="str">
        <f t="shared" si="186"/>
        <v>U Space</v>
      </c>
      <c r="L109" s="33">
        <v>4</v>
      </c>
      <c r="M109" s="33">
        <v>4</v>
      </c>
      <c r="N109" s="35">
        <f t="shared" si="181"/>
        <v>0</v>
      </c>
      <c r="O109" s="33">
        <v>4</v>
      </c>
      <c r="P109" s="33"/>
      <c r="Q109" s="42">
        <f>(160000)/12</f>
        <v>13333.333333333334</v>
      </c>
      <c r="R109" s="43" t="str">
        <f>G109</f>
        <v>Rated</v>
      </c>
      <c r="S109" s="33" t="s">
        <v>54</v>
      </c>
      <c r="T109" s="34">
        <v>1</v>
      </c>
      <c r="U109" s="45">
        <v>1.1299999999999999</v>
      </c>
      <c r="V109" s="46">
        <f t="shared" si="123"/>
        <v>-0.12999999999999989</v>
      </c>
      <c r="W109" s="34"/>
      <c r="X109" s="34">
        <f t="shared" si="124"/>
        <v>0</v>
      </c>
      <c r="Y109" s="34">
        <f t="shared" si="125"/>
        <v>0.5</v>
      </c>
      <c r="Z109" s="481">
        <v>1.96</v>
      </c>
      <c r="AA109" s="34">
        <f t="shared" ref="AA109:AA121" si="191">IF((V109*-1)&gt;0, (V109*-1), 0)</f>
        <v>0.12999999999999989</v>
      </c>
      <c r="AB109" s="47">
        <f t="shared" ref="AB109:AB111" si="192">0/12</f>
        <v>0</v>
      </c>
      <c r="AC109" s="48" t="str">
        <f t="shared" si="127"/>
        <v>Bundled</v>
      </c>
      <c r="AD109" s="34"/>
      <c r="AE109" s="34"/>
      <c r="AF109" s="49"/>
      <c r="AG109" s="34"/>
      <c r="AH109" s="50"/>
      <c r="AI109" s="51"/>
      <c r="AJ109" s="34"/>
      <c r="AK109" s="34"/>
      <c r="AL109" s="34">
        <f>AJ109-AK109</f>
        <v>0</v>
      </c>
      <c r="AM109" s="34"/>
      <c r="AN109" s="34"/>
      <c r="AO109" s="42">
        <f t="shared" si="189"/>
        <v>0</v>
      </c>
      <c r="AP109" s="52">
        <f>Q109*O109</f>
        <v>53333.333333333336</v>
      </c>
      <c r="AQ109" s="52">
        <f>AB109*AA109</f>
        <v>0</v>
      </c>
      <c r="AR109" s="53">
        <f>AG109*AF109*AD109</f>
        <v>0</v>
      </c>
      <c r="AS109" s="52">
        <f>AO109*AM109</f>
        <v>0</v>
      </c>
      <c r="AT109" s="54">
        <f>120000/12</f>
        <v>10000</v>
      </c>
      <c r="AU109" s="55">
        <f>SUBTOTAL(9,AP109:AT109)</f>
        <v>63333.333333333336</v>
      </c>
      <c r="AV109" s="55"/>
      <c r="AW109" s="67" t="s">
        <v>135</v>
      </c>
      <c r="AX109" s="68"/>
      <c r="AY109" s="69"/>
      <c r="AZ109" s="68"/>
      <c r="BA109" s="89"/>
      <c r="BB109" s="5"/>
      <c r="BC109" s="29">
        <f>IF(I109="Rack",AU109/L109,0)+IF(I109="U Space",AU109*40/L109,0)+IF(I109="Space",AU109*30/L109,0)</f>
        <v>633333.33333333337</v>
      </c>
      <c r="BD109" s="29">
        <f>+AU109/Y109</f>
        <v>126666.66666666667</v>
      </c>
      <c r="BE109" s="25">
        <f t="shared" ref="BE109:BF112" si="193">+($AP109+$AQ109+$AR109-BL109)/$Y109</f>
        <v>35138.739286666678</v>
      </c>
      <c r="BF109" s="25">
        <f t="shared" si="193"/>
        <v>35138.739286666678</v>
      </c>
      <c r="BG109" s="25">
        <f>+($AP109+$AQ109+IF(H109="Bundled",0,Y109*0.85*AD109*AF109*30.5*24)-BN109)/$Y109</f>
        <v>88419.746416666676</v>
      </c>
      <c r="BH109" s="29"/>
      <c r="BI109" s="26">
        <f>+AP109+AQ109+AR109</f>
        <v>53333.333333333336</v>
      </c>
      <c r="BJ109" s="26" t="e">
        <f>+BI109-BK109</f>
        <v>#REF!</v>
      </c>
      <c r="BK109" s="26" t="e">
        <f>IF(H109="Bundled",MIN(Y109*$AG$1*(1+#REF!),BI109),AR109)</f>
        <v>#REF!</v>
      </c>
      <c r="BL109" s="27">
        <f>IF($AG109&gt;0,$AG109*$AD$1*$AF$1*(1+$AI$1*(20/$AF$1)/732),$AG$1*Z109)</f>
        <v>35763.963689999997</v>
      </c>
      <c r="BM109" s="27">
        <f>IF($AG109&gt;0,$AG109*$AD$1*$AF$1*(1+$AI$1*(20/$AF$1)/732),+$AG$1*(Z109+X109))</f>
        <v>35763.963689999997</v>
      </c>
      <c r="BN109" s="27">
        <f>IF(H109="Bundled",$AG$1*Y109,$AG$1*Y109*0.85)</f>
        <v>9123.4601249999996</v>
      </c>
      <c r="BO109" s="27">
        <f>+BE109*Y109</f>
        <v>17569.369643333339</v>
      </c>
      <c r="BP109" s="27" t="e">
        <f>+#REF!*Y109</f>
        <v>#REF!</v>
      </c>
      <c r="BQ109" s="27" t="e">
        <f>+BJ109-BP109</f>
        <v>#REF!</v>
      </c>
      <c r="BR109" s="27" t="e">
        <f>+BK109-BL109</f>
        <v>#REF!</v>
      </c>
      <c r="BS109" s="27" t="e">
        <f>+BQ109+BR109</f>
        <v>#REF!</v>
      </c>
      <c r="BT109" s="27">
        <f>+Y109</f>
        <v>0.5</v>
      </c>
      <c r="BU109" s="27">
        <f>+BE109</f>
        <v>35138.739286666678</v>
      </c>
      <c r="BV109" s="27">
        <f>IF(H109="Bundled",BN109-BL109,AR109-BL109)</f>
        <v>-26640.503564999999</v>
      </c>
      <c r="BW109" s="27" t="e">
        <f>IF(H109="Bundled",+(BG109-#REF!)*Y109,(AP109+AQ109)-Y109*#REF!)</f>
        <v>#REF!</v>
      </c>
      <c r="BX109" s="27" t="e">
        <f>+BV109+BW109</f>
        <v>#REF!</v>
      </c>
      <c r="BY109" s="27">
        <f t="shared" ref="BY109:CA112" si="194">+BV109/$BT109</f>
        <v>-53281.007129999998</v>
      </c>
      <c r="BZ109" s="27" t="e">
        <f t="shared" si="194"/>
        <v>#REF!</v>
      </c>
      <c r="CA109" s="27" t="e">
        <f t="shared" si="194"/>
        <v>#REF!</v>
      </c>
    </row>
    <row r="110" spans="1:79" s="16" customFormat="1" x14ac:dyDescent="0.3">
      <c r="A110" s="199" t="s">
        <v>247</v>
      </c>
      <c r="B110" s="490"/>
      <c r="C110" s="32" t="s">
        <v>365</v>
      </c>
      <c r="D110" s="132" t="s">
        <v>404</v>
      </c>
      <c r="E110" s="132"/>
      <c r="F110" s="132"/>
      <c r="G110" s="33" t="s">
        <v>11</v>
      </c>
      <c r="H110" s="34" t="s">
        <v>52</v>
      </c>
      <c r="I110" s="33" t="s">
        <v>60</v>
      </c>
      <c r="J110" s="33" t="s">
        <v>61</v>
      </c>
      <c r="K110" s="31" t="str">
        <f t="shared" si="186"/>
        <v>U Space</v>
      </c>
      <c r="L110" s="33">
        <v>4</v>
      </c>
      <c r="M110" s="33">
        <v>4</v>
      </c>
      <c r="N110" s="35">
        <f t="shared" si="181"/>
        <v>0</v>
      </c>
      <c r="O110" s="33">
        <v>4</v>
      </c>
      <c r="P110" s="33"/>
      <c r="Q110" s="42">
        <f>(10000)/12</f>
        <v>833.33333333333337</v>
      </c>
      <c r="R110" s="43" t="str">
        <f>G110</f>
        <v>Rated</v>
      </c>
      <c r="S110" s="33" t="s">
        <v>54</v>
      </c>
      <c r="T110" s="34">
        <v>2</v>
      </c>
      <c r="U110" s="45">
        <v>0.82</v>
      </c>
      <c r="V110" s="46">
        <f t="shared" si="123"/>
        <v>1.1800000000000002</v>
      </c>
      <c r="W110" s="34"/>
      <c r="X110" s="34">
        <f t="shared" si="124"/>
        <v>0.59000000000000008</v>
      </c>
      <c r="Y110" s="34">
        <f t="shared" si="125"/>
        <v>1</v>
      </c>
      <c r="Z110" s="481"/>
      <c r="AA110" s="34">
        <f t="shared" si="191"/>
        <v>0</v>
      </c>
      <c r="AB110" s="47">
        <f t="shared" si="192"/>
        <v>0</v>
      </c>
      <c r="AC110" s="48" t="str">
        <f t="shared" si="127"/>
        <v>Bundled</v>
      </c>
      <c r="AD110" s="34"/>
      <c r="AE110" s="34"/>
      <c r="AF110" s="49"/>
      <c r="AG110" s="34"/>
      <c r="AH110" s="50"/>
      <c r="AI110" s="51"/>
      <c r="AJ110" s="34"/>
      <c r="AK110" s="34"/>
      <c r="AL110" s="34">
        <f>AJ110-AK110</f>
        <v>0</v>
      </c>
      <c r="AM110" s="34"/>
      <c r="AN110" s="34"/>
      <c r="AO110" s="42">
        <f t="shared" si="189"/>
        <v>0</v>
      </c>
      <c r="AP110" s="52">
        <f>Q110*O110</f>
        <v>3333.3333333333335</v>
      </c>
      <c r="AQ110" s="52">
        <f>AB110*AA110</f>
        <v>0</v>
      </c>
      <c r="AR110" s="53">
        <f>AG110*AF110*AD110</f>
        <v>0</v>
      </c>
      <c r="AS110" s="52">
        <f>AO110*AM110</f>
        <v>0</v>
      </c>
      <c r="AT110" s="54">
        <f t="shared" ref="AT110:AT121" si="195">0/12</f>
        <v>0</v>
      </c>
      <c r="AU110" s="55">
        <f>SUBTOTAL(9,AP110:AT110)</f>
        <v>3333.3333333333335</v>
      </c>
      <c r="AV110" s="55"/>
      <c r="AW110" s="67">
        <v>121001747</v>
      </c>
      <c r="AX110" s="68"/>
      <c r="AY110" s="69"/>
      <c r="AZ110" s="68"/>
      <c r="BA110" s="89"/>
      <c r="BB110" s="5"/>
      <c r="BC110" s="29">
        <f>IF(I110="Rack",AU110/L110,0)+IF(I110="U Space",AU110*40/L110,0)+IF(I110="Space",AU110*30/L110,0)</f>
        <v>33333.333333333336</v>
      </c>
      <c r="BD110" s="29">
        <f>+AU110/Y110</f>
        <v>3333.3333333333335</v>
      </c>
      <c r="BE110" s="25">
        <f t="shared" si="193"/>
        <v>3333.3333333333335</v>
      </c>
      <c r="BF110" s="25">
        <f t="shared" si="193"/>
        <v>-7432.3496141666674</v>
      </c>
      <c r="BG110" s="25">
        <f>+($AP110+$AQ110+IF(H110="Bundled",0,Y110*0.85*AD110*AF110*30.5*24)-BN110)/$Y110</f>
        <v>-14913.586916666665</v>
      </c>
      <c r="BH110" s="29"/>
      <c r="BI110" s="26">
        <f>+AP110+AQ110+AR110</f>
        <v>3333.3333333333335</v>
      </c>
      <c r="BJ110" s="26" t="e">
        <f>+BI110-BK110</f>
        <v>#REF!</v>
      </c>
      <c r="BK110" s="26" t="e">
        <f>IF(H110="Bundled",MIN(Y110*$AG$1*(1+#REF!),BI110),AR110)</f>
        <v>#REF!</v>
      </c>
      <c r="BL110" s="27">
        <f>IF($AG110&gt;0,$AG110*$AD$1*$AF$1*(1+$AI$1*(20/$AF$1)/732),$AG$1*Z110)</f>
        <v>0</v>
      </c>
      <c r="BM110" s="27">
        <f>IF($AG110&gt;0,$AG110*$AD$1*$AF$1*(1+$AI$1*(20/$AF$1)/732),+$AG$1*(Z110+X110))</f>
        <v>10765.682947500001</v>
      </c>
      <c r="BN110" s="27">
        <f>IF(H110="Bundled",$AG$1*Y110,$AG$1*Y110*0.85)</f>
        <v>18246.920249999999</v>
      </c>
      <c r="BO110" s="27">
        <f>+BE110*Y110</f>
        <v>3333.3333333333335</v>
      </c>
      <c r="BP110" s="27" t="e">
        <f>+#REF!*Y110</f>
        <v>#REF!</v>
      </c>
      <c r="BQ110" s="27" t="e">
        <f>+BJ110-BP110</f>
        <v>#REF!</v>
      </c>
      <c r="BR110" s="27" t="e">
        <f>+BK110-BL110</f>
        <v>#REF!</v>
      </c>
      <c r="BS110" s="27" t="e">
        <f>+BQ110+BR110</f>
        <v>#REF!</v>
      </c>
      <c r="BT110" s="27">
        <f>+Y110</f>
        <v>1</v>
      </c>
      <c r="BU110" s="27">
        <f>+BE110</f>
        <v>3333.3333333333335</v>
      </c>
      <c r="BV110" s="27">
        <f>IF(H110="Bundled",BN110-BL110,AR110-BL110)</f>
        <v>18246.920249999999</v>
      </c>
      <c r="BW110" s="27" t="e">
        <f>IF(H110="Bundled",+(BG110-#REF!)*Y110,(AP110+AQ110)-Y110*#REF!)</f>
        <v>#REF!</v>
      </c>
      <c r="BX110" s="27" t="e">
        <f>+BV110+BW110</f>
        <v>#REF!</v>
      </c>
      <c r="BY110" s="27">
        <f t="shared" si="194"/>
        <v>18246.920249999999</v>
      </c>
      <c r="BZ110" s="27" t="e">
        <f t="shared" si="194"/>
        <v>#REF!</v>
      </c>
      <c r="CA110" s="27" t="e">
        <f t="shared" si="194"/>
        <v>#REF!</v>
      </c>
    </row>
    <row r="111" spans="1:79" s="16" customFormat="1" x14ac:dyDescent="0.3">
      <c r="A111" s="199" t="s">
        <v>247</v>
      </c>
      <c r="B111" s="490"/>
      <c r="C111" s="32" t="s">
        <v>367</v>
      </c>
      <c r="D111" s="132" t="s">
        <v>404</v>
      </c>
      <c r="E111" s="132"/>
      <c r="F111" s="132"/>
      <c r="G111" s="33" t="s">
        <v>11</v>
      </c>
      <c r="H111" s="34" t="s">
        <v>52</v>
      </c>
      <c r="I111" s="33" t="s">
        <v>60</v>
      </c>
      <c r="J111" s="33" t="s">
        <v>61</v>
      </c>
      <c r="K111" s="31" t="str">
        <f t="shared" si="186"/>
        <v>U Space</v>
      </c>
      <c r="L111" s="33">
        <v>4</v>
      </c>
      <c r="M111" s="33">
        <v>4</v>
      </c>
      <c r="N111" s="35">
        <f t="shared" si="181"/>
        <v>0</v>
      </c>
      <c r="O111" s="33">
        <v>4</v>
      </c>
      <c r="P111" s="33"/>
      <c r="Q111" s="42">
        <f>(37500)/12</f>
        <v>3125</v>
      </c>
      <c r="R111" s="43" t="str">
        <f>G111</f>
        <v>Rated</v>
      </c>
      <c r="S111" s="33" t="s">
        <v>54</v>
      </c>
      <c r="T111" s="34">
        <v>0.98</v>
      </c>
      <c r="U111" s="45">
        <v>0.96</v>
      </c>
      <c r="V111" s="46">
        <f t="shared" si="123"/>
        <v>2.0000000000000018E-2</v>
      </c>
      <c r="W111" s="34"/>
      <c r="X111" s="34">
        <f t="shared" si="124"/>
        <v>1.0000000000000009E-2</v>
      </c>
      <c r="Y111" s="34">
        <f t="shared" si="125"/>
        <v>0.49</v>
      </c>
      <c r="Z111" s="481"/>
      <c r="AA111" s="34">
        <f t="shared" si="191"/>
        <v>0</v>
      </c>
      <c r="AB111" s="47">
        <f t="shared" si="192"/>
        <v>0</v>
      </c>
      <c r="AC111" s="48" t="str">
        <f t="shared" si="127"/>
        <v>Bundled</v>
      </c>
      <c r="AD111" s="34"/>
      <c r="AE111" s="34"/>
      <c r="AF111" s="49"/>
      <c r="AG111" s="34"/>
      <c r="AH111" s="50"/>
      <c r="AI111" s="51"/>
      <c r="AJ111" s="34"/>
      <c r="AK111" s="34"/>
      <c r="AL111" s="34">
        <f>AJ111-AK111</f>
        <v>0</v>
      </c>
      <c r="AM111" s="34"/>
      <c r="AN111" s="34"/>
      <c r="AO111" s="42">
        <f t="shared" si="189"/>
        <v>0</v>
      </c>
      <c r="AP111" s="52">
        <f>Q111*O111</f>
        <v>12500</v>
      </c>
      <c r="AQ111" s="52">
        <f>AB111*AA111</f>
        <v>0</v>
      </c>
      <c r="AR111" s="53">
        <f>AG111*AF111*AD111</f>
        <v>0</v>
      </c>
      <c r="AS111" s="52">
        <f>AO111*AM111</f>
        <v>0</v>
      </c>
      <c r="AT111" s="54">
        <f t="shared" si="195"/>
        <v>0</v>
      </c>
      <c r="AU111" s="55">
        <f>SUBTOTAL(9,AP111:AT111)</f>
        <v>12500</v>
      </c>
      <c r="AV111" s="55"/>
      <c r="AW111" s="67"/>
      <c r="AX111" s="68"/>
      <c r="AY111" s="69"/>
      <c r="AZ111" s="68"/>
      <c r="BA111" s="89"/>
      <c r="BB111" s="5"/>
      <c r="BC111" s="29">
        <f>IF(I111="Rack",AU111/L111,0)+IF(I111="U Space",AU111*40/L111,0)+IF(I111="Space",AU111*30/L111,0)</f>
        <v>125000</v>
      </c>
      <c r="BD111" s="29">
        <f>+AU111/Y111</f>
        <v>25510.204081632655</v>
      </c>
      <c r="BE111" s="25">
        <f t="shared" si="193"/>
        <v>25510.204081632655</v>
      </c>
      <c r="BF111" s="25">
        <f t="shared" si="193"/>
        <v>25137.817954081631</v>
      </c>
      <c r="BG111" s="25">
        <f>+($AP111+$AQ111+IF(H111="Bundled",0,Y111*0.85*AD111*AF111*30.5*24)-BN111)/$Y111</f>
        <v>7263.2838316326552</v>
      </c>
      <c r="BH111" s="29"/>
      <c r="BI111" s="26">
        <f>+AP111+AQ111+AR111</f>
        <v>12500</v>
      </c>
      <c r="BJ111" s="26" t="e">
        <f>+BI111-BK111</f>
        <v>#REF!</v>
      </c>
      <c r="BK111" s="26" t="e">
        <f>IF(H111="Bundled",MIN(Y111*$AG$1*(1+#REF!),BI111),AR111)</f>
        <v>#REF!</v>
      </c>
      <c r="BL111" s="27">
        <f>IF($AG111&gt;0,$AG111*$AD$1*$AF$1*(1+$AI$1*(20/$AF$1)/732),$AG$1*Z111)</f>
        <v>0</v>
      </c>
      <c r="BM111" s="27">
        <f>IF($AG111&gt;0,$AG111*$AD$1*$AF$1*(1+$AI$1*(20/$AF$1)/732),+$AG$1*(Z111+X111))</f>
        <v>182.46920250000016</v>
      </c>
      <c r="BN111" s="27">
        <f>IF(H111="Bundled",$AG$1*Y111,$AG$1*Y111*0.85)</f>
        <v>8940.9909224999992</v>
      </c>
      <c r="BO111" s="27">
        <f>+BE111*Y111</f>
        <v>12500</v>
      </c>
      <c r="BP111" s="27" t="e">
        <f>+#REF!*Y111</f>
        <v>#REF!</v>
      </c>
      <c r="BQ111" s="27" t="e">
        <f>+BJ111-BP111</f>
        <v>#REF!</v>
      </c>
      <c r="BR111" s="27" t="e">
        <f>+BK111-BL111</f>
        <v>#REF!</v>
      </c>
      <c r="BS111" s="27" t="e">
        <f>+BQ111+BR111</f>
        <v>#REF!</v>
      </c>
      <c r="BT111" s="27">
        <f>+Y111</f>
        <v>0.49</v>
      </c>
      <c r="BU111" s="27">
        <f>+BE111</f>
        <v>25510.204081632655</v>
      </c>
      <c r="BV111" s="27">
        <f>IF(H111="Bundled",BN111-BL111,AR111-BL111)</f>
        <v>8940.9909224999992</v>
      </c>
      <c r="BW111" s="27" t="e">
        <f>IF(H111="Bundled",+(BG111-#REF!)*Y111,(AP111+AQ111)-Y111*#REF!)</f>
        <v>#REF!</v>
      </c>
      <c r="BX111" s="27" t="e">
        <f>+BV111+BW111</f>
        <v>#REF!</v>
      </c>
      <c r="BY111" s="27">
        <f t="shared" si="194"/>
        <v>18246.920249999999</v>
      </c>
      <c r="BZ111" s="27" t="e">
        <f t="shared" si="194"/>
        <v>#REF!</v>
      </c>
      <c r="CA111" s="27" t="e">
        <f t="shared" si="194"/>
        <v>#REF!</v>
      </c>
    </row>
    <row r="112" spans="1:79" s="16" customFormat="1" ht="26" x14ac:dyDescent="0.3">
      <c r="A112" s="199" t="s">
        <v>247</v>
      </c>
      <c r="B112" s="490"/>
      <c r="C112" s="32" t="s">
        <v>390</v>
      </c>
      <c r="D112" s="32" t="s">
        <v>404</v>
      </c>
      <c r="E112" s="32"/>
      <c r="F112" s="32"/>
      <c r="G112" s="33" t="s">
        <v>11</v>
      </c>
      <c r="H112" s="34" t="s">
        <v>52</v>
      </c>
      <c r="I112" s="33" t="s">
        <v>60</v>
      </c>
      <c r="J112" s="33" t="s">
        <v>61</v>
      </c>
      <c r="K112" s="31" t="str">
        <f t="shared" si="186"/>
        <v>U Space</v>
      </c>
      <c r="L112" s="33">
        <v>2</v>
      </c>
      <c r="M112" s="33">
        <v>2</v>
      </c>
      <c r="N112" s="35">
        <f t="shared" si="181"/>
        <v>0</v>
      </c>
      <c r="O112" s="33">
        <v>2</v>
      </c>
      <c r="P112" s="33"/>
      <c r="Q112" s="42">
        <f>(75000/2)/12</f>
        <v>3125</v>
      </c>
      <c r="R112" s="43" t="str">
        <f>G112</f>
        <v>Rated</v>
      </c>
      <c r="S112" s="33" t="s">
        <v>54</v>
      </c>
      <c r="T112" s="34">
        <v>0.5</v>
      </c>
      <c r="U112" s="45">
        <v>0.31</v>
      </c>
      <c r="V112" s="46">
        <f t="shared" si="123"/>
        <v>0.19</v>
      </c>
      <c r="W112" s="34"/>
      <c r="X112" s="34">
        <f t="shared" si="124"/>
        <v>9.5000000000000001E-2</v>
      </c>
      <c r="Y112" s="34">
        <f t="shared" si="125"/>
        <v>0.25</v>
      </c>
      <c r="Z112" s="481"/>
      <c r="AA112" s="34">
        <f t="shared" si="191"/>
        <v>0</v>
      </c>
      <c r="AB112" s="47">
        <f>90000/12</f>
        <v>7500</v>
      </c>
      <c r="AC112" s="48" t="str">
        <f t="shared" si="127"/>
        <v>Bundled</v>
      </c>
      <c r="AD112" s="34"/>
      <c r="AE112" s="34"/>
      <c r="AF112" s="49"/>
      <c r="AG112" s="34"/>
      <c r="AH112" s="50"/>
      <c r="AI112" s="51"/>
      <c r="AJ112" s="34"/>
      <c r="AK112" s="34"/>
      <c r="AL112" s="34">
        <f>AJ112-AK112</f>
        <v>0</v>
      </c>
      <c r="AM112" s="34"/>
      <c r="AN112" s="34"/>
      <c r="AO112" s="42">
        <f t="shared" si="189"/>
        <v>0</v>
      </c>
      <c r="AP112" s="52">
        <f>Q112*O112</f>
        <v>6250</v>
      </c>
      <c r="AQ112" s="52">
        <f>AB112*AA112</f>
        <v>0</v>
      </c>
      <c r="AR112" s="53">
        <f>AG112*AF112*AD112</f>
        <v>0</v>
      </c>
      <c r="AS112" s="52">
        <f>AO112*AM112</f>
        <v>0</v>
      </c>
      <c r="AT112" s="54">
        <f t="shared" si="195"/>
        <v>0</v>
      </c>
      <c r="AU112" s="55">
        <f>SUBTOTAL(9,AP112:AT112)</f>
        <v>6250</v>
      </c>
      <c r="AV112" s="55"/>
      <c r="AW112" s="67">
        <v>121001747</v>
      </c>
      <c r="AX112" s="68"/>
      <c r="AY112" s="69"/>
      <c r="AZ112" s="68"/>
      <c r="BA112" s="89"/>
      <c r="BB112" s="5"/>
      <c r="BC112" s="29">
        <f>IF(I112="Rack",AU112/L112,0)+IF(I112="U Space",AU112*40/L112,0)+IF(I112="Space",AU112*30/L112,0)</f>
        <v>125000</v>
      </c>
      <c r="BD112" s="29">
        <f>+AU112/Y112</f>
        <v>25000</v>
      </c>
      <c r="BE112" s="25">
        <f t="shared" si="193"/>
        <v>25000</v>
      </c>
      <c r="BF112" s="25">
        <f t="shared" si="193"/>
        <v>18066.170305</v>
      </c>
      <c r="BG112" s="25">
        <f>+($AP112+$AQ112+IF(H112="Bundled",0,Y112*0.85*AD112*AF112*30.5*24)-BN112)/$Y112</f>
        <v>6753.0797500000008</v>
      </c>
      <c r="BH112" s="29"/>
      <c r="BI112" s="26">
        <f>+AP112+AQ112+AR112</f>
        <v>6250</v>
      </c>
      <c r="BJ112" s="26" t="e">
        <f>+BI112-BK112</f>
        <v>#REF!</v>
      </c>
      <c r="BK112" s="26" t="e">
        <f>IF(H112="Bundled",MIN(Y112*$AG$1*(1+#REF!),BI112),AR112)</f>
        <v>#REF!</v>
      </c>
      <c r="BL112" s="27">
        <f>IF($AG112&gt;0,$AG112*$AD$1*$AF$1*(1+$AI$1*(20/$AF$1)/732),$AG$1*Z112)</f>
        <v>0</v>
      </c>
      <c r="BM112" s="27">
        <f>IF($AG112&gt;0,$AG112*$AD$1*$AF$1*(1+$AI$1*(20/$AF$1)/732),+$AG$1*(Z112+X112))</f>
        <v>1733.4574237499999</v>
      </c>
      <c r="BN112" s="27">
        <f>IF(H112="Bundled",$AG$1*Y112,$AG$1*Y112*0.85)</f>
        <v>4561.7300624999998</v>
      </c>
      <c r="BO112" s="27">
        <f>+BE112*Y112</f>
        <v>6250</v>
      </c>
      <c r="BP112" s="27" t="e">
        <f>+#REF!*Y112</f>
        <v>#REF!</v>
      </c>
      <c r="BQ112" s="27" t="e">
        <f>+BJ112-BP112</f>
        <v>#REF!</v>
      </c>
      <c r="BR112" s="27" t="e">
        <f>+BK112-BL112</f>
        <v>#REF!</v>
      </c>
      <c r="BS112" s="27" t="e">
        <f>+BQ112+BR112</f>
        <v>#REF!</v>
      </c>
      <c r="BT112" s="27">
        <f>+Y112</f>
        <v>0.25</v>
      </c>
      <c r="BU112" s="27">
        <f>+BE112</f>
        <v>25000</v>
      </c>
      <c r="BV112" s="27">
        <f>IF(H112="Bundled",BN112-BL112,AR112-BL112)</f>
        <v>4561.7300624999998</v>
      </c>
      <c r="BW112" s="27" t="e">
        <f>IF(H112="Bundled",+(BG112-#REF!)*Y112,(AP112+AQ112)-Y112*#REF!)</f>
        <v>#REF!</v>
      </c>
      <c r="BX112" s="27" t="e">
        <f>+BV112+BW112</f>
        <v>#REF!</v>
      </c>
      <c r="BY112" s="27">
        <f t="shared" si="194"/>
        <v>18246.920249999999</v>
      </c>
      <c r="BZ112" s="27" t="e">
        <f t="shared" si="194"/>
        <v>#REF!</v>
      </c>
      <c r="CA112" s="27" t="e">
        <f t="shared" si="194"/>
        <v>#REF!</v>
      </c>
    </row>
    <row r="113" spans="1:79" s="16" customFormat="1" x14ac:dyDescent="0.3">
      <c r="A113" s="199"/>
      <c r="B113" s="490"/>
      <c r="C113" s="32" t="s">
        <v>540</v>
      </c>
      <c r="D113" s="32" t="s">
        <v>405</v>
      </c>
      <c r="E113" s="32"/>
      <c r="F113" s="32"/>
      <c r="G113" s="33" t="s">
        <v>11</v>
      </c>
      <c r="H113" s="34" t="s">
        <v>52</v>
      </c>
      <c r="I113" s="33" t="s">
        <v>60</v>
      </c>
      <c r="J113" s="33" t="s">
        <v>61</v>
      </c>
      <c r="K113" s="31" t="str">
        <f t="shared" si="186"/>
        <v>U Space</v>
      </c>
      <c r="L113" s="33">
        <v>4</v>
      </c>
      <c r="M113" s="33">
        <v>4</v>
      </c>
      <c r="N113" s="35">
        <f t="shared" si="181"/>
        <v>0</v>
      </c>
      <c r="O113" s="33">
        <v>4</v>
      </c>
      <c r="P113" s="33"/>
      <c r="Q113" s="42"/>
      <c r="R113" s="43" t="s">
        <v>11</v>
      </c>
      <c r="S113" s="33" t="s">
        <v>54</v>
      </c>
      <c r="T113" s="34">
        <v>0.5</v>
      </c>
      <c r="U113" s="45">
        <v>0.53</v>
      </c>
      <c r="V113" s="46">
        <f t="shared" si="123"/>
        <v>-3.0000000000000027E-2</v>
      </c>
      <c r="W113" s="34"/>
      <c r="X113" s="34">
        <f t="shared" si="124"/>
        <v>0</v>
      </c>
      <c r="Y113" s="34">
        <f t="shared" si="125"/>
        <v>0.25</v>
      </c>
      <c r="Z113" s="481"/>
      <c r="AA113" s="34">
        <f t="shared" si="191"/>
        <v>3.0000000000000027E-2</v>
      </c>
      <c r="AB113" s="47"/>
      <c r="AC113" s="48" t="str">
        <f t="shared" si="127"/>
        <v>Bundled</v>
      </c>
      <c r="AD113" s="34"/>
      <c r="AE113" s="34"/>
      <c r="AF113" s="49"/>
      <c r="AG113" s="34"/>
      <c r="AH113" s="50"/>
      <c r="AI113" s="51"/>
      <c r="AJ113" s="34"/>
      <c r="AK113" s="34"/>
      <c r="AL113" s="34"/>
      <c r="AM113" s="34"/>
      <c r="AN113" s="34"/>
      <c r="AO113" s="42"/>
      <c r="AP113" s="52"/>
      <c r="AQ113" s="52"/>
      <c r="AR113" s="53"/>
      <c r="AS113" s="52"/>
      <c r="AT113" s="54"/>
      <c r="AU113" s="55"/>
      <c r="AV113" s="55"/>
      <c r="AW113" s="67"/>
      <c r="AX113" s="68"/>
      <c r="AY113" s="69"/>
      <c r="AZ113" s="68"/>
      <c r="BA113" s="89"/>
      <c r="BB113" s="5"/>
      <c r="BC113" s="59"/>
      <c r="BD113" s="59"/>
      <c r="BE113" s="59"/>
      <c r="BF113" s="59"/>
      <c r="BG113" s="59"/>
      <c r="BH113" s="59"/>
      <c r="BI113" s="60"/>
      <c r="BJ113" s="60"/>
      <c r="BK113" s="60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</row>
    <row r="114" spans="1:79" s="16" customFormat="1" x14ac:dyDescent="0.3">
      <c r="A114" s="199" t="s">
        <v>247</v>
      </c>
      <c r="B114" s="491"/>
      <c r="C114" s="32" t="s">
        <v>137</v>
      </c>
      <c r="D114" s="32" t="s">
        <v>404</v>
      </c>
      <c r="E114" s="32"/>
      <c r="F114" s="32"/>
      <c r="G114" s="33" t="s">
        <v>11</v>
      </c>
      <c r="H114" s="34" t="s">
        <v>52</v>
      </c>
      <c r="I114" s="33" t="s">
        <v>60</v>
      </c>
      <c r="J114" s="33" t="s">
        <v>61</v>
      </c>
      <c r="K114" s="31" t="str">
        <f t="shared" si="186"/>
        <v>U Space</v>
      </c>
      <c r="L114" s="33">
        <v>5</v>
      </c>
      <c r="M114" s="33">
        <v>5</v>
      </c>
      <c r="N114" s="35">
        <f t="shared" si="181"/>
        <v>0</v>
      </c>
      <c r="O114" s="33">
        <v>5</v>
      </c>
      <c r="P114" s="33"/>
      <c r="Q114" s="42">
        <f>(30000)/12</f>
        <v>2500</v>
      </c>
      <c r="R114" s="43" t="str">
        <f t="shared" ref="R114:R121" si="196">G114</f>
        <v>Rated</v>
      </c>
      <c r="S114" s="33" t="s">
        <v>54</v>
      </c>
      <c r="T114" s="34">
        <v>1.25</v>
      </c>
      <c r="U114" s="45">
        <v>0.2</v>
      </c>
      <c r="V114" s="46">
        <f t="shared" si="123"/>
        <v>1.05</v>
      </c>
      <c r="W114" s="34"/>
      <c r="X114" s="34">
        <f t="shared" si="124"/>
        <v>0.52500000000000002</v>
      </c>
      <c r="Y114" s="34">
        <f t="shared" si="125"/>
        <v>0.625</v>
      </c>
      <c r="Z114" s="481"/>
      <c r="AA114" s="34">
        <f t="shared" si="191"/>
        <v>0</v>
      </c>
      <c r="AB114" s="47">
        <f>95000/12</f>
        <v>7916.666666666667</v>
      </c>
      <c r="AC114" s="48" t="str">
        <f t="shared" si="127"/>
        <v>Bundled</v>
      </c>
      <c r="AD114" s="34"/>
      <c r="AE114" s="34"/>
      <c r="AF114" s="49"/>
      <c r="AG114" s="34"/>
      <c r="AH114" s="50"/>
      <c r="AI114" s="51"/>
      <c r="AJ114" s="34"/>
      <c r="AK114" s="34"/>
      <c r="AL114" s="34">
        <f>AJ114-AK114</f>
        <v>0</v>
      </c>
      <c r="AM114" s="34"/>
      <c r="AN114" s="34"/>
      <c r="AO114" s="42">
        <f>(0)/12</f>
        <v>0</v>
      </c>
      <c r="AP114" s="52">
        <f>Q114*O114</f>
        <v>12500</v>
      </c>
      <c r="AQ114" s="52">
        <f>AB114*AA114</f>
        <v>0</v>
      </c>
      <c r="AR114" s="53">
        <f>AG114*AF114*AD114</f>
        <v>0</v>
      </c>
      <c r="AS114" s="52">
        <f>AO114*AM114</f>
        <v>0</v>
      </c>
      <c r="AT114" s="54">
        <f t="shared" si="195"/>
        <v>0</v>
      </c>
      <c r="AU114" s="55">
        <f>SUBTOTAL(9,AP114:AT114)</f>
        <v>12500</v>
      </c>
      <c r="AV114" s="55"/>
      <c r="AW114" s="67">
        <v>121001747</v>
      </c>
      <c r="AX114" s="68"/>
      <c r="AY114" s="69"/>
      <c r="AZ114" s="68"/>
      <c r="BA114" s="89"/>
      <c r="BB114" s="5"/>
      <c r="BC114" s="29">
        <f>IF(I114="Rack",AU114/L114,0)+IF(I114="U Space",AU114*40/L114,0)+IF(I114="Space",AU114*30/L114,0)</f>
        <v>100000</v>
      </c>
      <c r="BD114" s="29">
        <f>+AU114/Y114</f>
        <v>20000</v>
      </c>
      <c r="BE114" s="25">
        <f t="shared" ref="BE114:BF116" si="197">+($AP114+$AQ114+$AR114-BL114)/$Y114</f>
        <v>20000</v>
      </c>
      <c r="BF114" s="25">
        <f t="shared" si="197"/>
        <v>4672.5869899999989</v>
      </c>
      <c r="BG114" s="25">
        <f>+($AP114+$AQ114+IF(H114="Bundled",0,Y114*0.85*AD114*AF114*30.5*24)-BN114)/$Y114</f>
        <v>1753.0797500000015</v>
      </c>
      <c r="BH114" s="29"/>
      <c r="BI114" s="26">
        <f>+AP114+AQ114+AR114</f>
        <v>12500</v>
      </c>
      <c r="BJ114" s="26" t="e">
        <f>+BI114-BK114</f>
        <v>#REF!</v>
      </c>
      <c r="BK114" s="26" t="e">
        <f>IF(H114="Bundled",MIN(Y114*$AG$1*(1+#REF!),BI114),AR114)</f>
        <v>#REF!</v>
      </c>
      <c r="BL114" s="27">
        <f>IF($AG114&gt;0,$AG114*$AD$1*$AF$1*(1+$AI$1*(20/$AF$1)/732),$AG$1*Z114)</f>
        <v>0</v>
      </c>
      <c r="BM114" s="27">
        <f>IF($AG114&gt;0,$AG114*$AD$1*$AF$1*(1+$AI$1*(20/$AF$1)/732),+$AG$1*(Z114+X114))</f>
        <v>9579.6331312500006</v>
      </c>
      <c r="BN114" s="27">
        <f>IF(H114="Bundled",$AG$1*Y114,$AG$1*Y114*0.85)</f>
        <v>11404.325156249999</v>
      </c>
      <c r="BO114" s="27">
        <f>+BE114*Y114</f>
        <v>12500</v>
      </c>
      <c r="BP114" s="27" t="e">
        <f>+#REF!*Y114</f>
        <v>#REF!</v>
      </c>
      <c r="BQ114" s="27" t="e">
        <f>+BJ114-BP114</f>
        <v>#REF!</v>
      </c>
      <c r="BR114" s="27" t="e">
        <f>+BK114-BL114</f>
        <v>#REF!</v>
      </c>
      <c r="BS114" s="27" t="e">
        <f>+BQ114+BR114</f>
        <v>#REF!</v>
      </c>
      <c r="BT114" s="27">
        <f>+Y114</f>
        <v>0.625</v>
      </c>
      <c r="BU114" s="27">
        <f>+BE114</f>
        <v>20000</v>
      </c>
      <c r="BV114" s="27">
        <f>IF(H114="Bundled",BN114-BL114,AR114-BL114)</f>
        <v>11404.325156249999</v>
      </c>
      <c r="BW114" s="27" t="e">
        <f>IF(H114="Bundled",+(BG114-#REF!)*Y114,(AP114+AQ114)-Y114*#REF!)</f>
        <v>#REF!</v>
      </c>
      <c r="BX114" s="27" t="e">
        <f>+BV114+BW114</f>
        <v>#REF!</v>
      </c>
      <c r="BY114" s="27">
        <f t="shared" ref="BY114:CA116" si="198">+BV114/$BT114</f>
        <v>18246.920249999999</v>
      </c>
      <c r="BZ114" s="27" t="e">
        <f t="shared" si="198"/>
        <v>#REF!</v>
      </c>
      <c r="CA114" s="27" t="e">
        <f t="shared" si="198"/>
        <v>#REF!</v>
      </c>
    </row>
    <row r="115" spans="1:79" s="16" customFormat="1" x14ac:dyDescent="0.3">
      <c r="A115" s="199" t="s">
        <v>247</v>
      </c>
      <c r="B115" s="492" t="s">
        <v>143</v>
      </c>
      <c r="C115" s="32" t="s">
        <v>392</v>
      </c>
      <c r="D115" s="32" t="s">
        <v>404</v>
      </c>
      <c r="E115" s="32"/>
      <c r="F115" s="32"/>
      <c r="G115" s="33" t="s">
        <v>11</v>
      </c>
      <c r="H115" s="34" t="s">
        <v>52</v>
      </c>
      <c r="I115" s="33" t="s">
        <v>60</v>
      </c>
      <c r="J115" s="33" t="s">
        <v>61</v>
      </c>
      <c r="K115" s="31" t="str">
        <f t="shared" si="186"/>
        <v>U Space</v>
      </c>
      <c r="L115" s="33">
        <v>10</v>
      </c>
      <c r="M115" s="33">
        <v>10</v>
      </c>
      <c r="N115" s="35">
        <f t="shared" si="181"/>
        <v>0</v>
      </c>
      <c r="O115" s="33">
        <v>10</v>
      </c>
      <c r="P115" s="33"/>
      <c r="Q115" s="42">
        <f>12000/12</f>
        <v>1000</v>
      </c>
      <c r="R115" s="43" t="str">
        <f t="shared" si="196"/>
        <v>Rated</v>
      </c>
      <c r="S115" s="33" t="s">
        <v>54</v>
      </c>
      <c r="T115" s="34">
        <v>2.5</v>
      </c>
      <c r="U115" s="45">
        <v>1.76</v>
      </c>
      <c r="V115" s="46">
        <f t="shared" si="123"/>
        <v>0.74</v>
      </c>
      <c r="W115" s="34"/>
      <c r="X115" s="34">
        <f t="shared" si="124"/>
        <v>0.37</v>
      </c>
      <c r="Y115" s="34">
        <f t="shared" si="125"/>
        <v>1.25</v>
      </c>
      <c r="Z115" s="481">
        <v>1.6</v>
      </c>
      <c r="AA115" s="34">
        <f t="shared" si="191"/>
        <v>0</v>
      </c>
      <c r="AB115" s="47">
        <f>95000/12</f>
        <v>7916.666666666667</v>
      </c>
      <c r="AC115" s="48" t="str">
        <f t="shared" si="127"/>
        <v>Bundled</v>
      </c>
      <c r="AD115" s="34"/>
      <c r="AE115" s="34"/>
      <c r="AF115" s="49"/>
      <c r="AG115" s="34"/>
      <c r="AH115" s="50"/>
      <c r="AI115" s="51"/>
      <c r="AJ115" s="34"/>
      <c r="AK115" s="34"/>
      <c r="AL115" s="34">
        <f>AJ115-AK115</f>
        <v>0</v>
      </c>
      <c r="AM115" s="34"/>
      <c r="AN115" s="34"/>
      <c r="AO115" s="42">
        <f>(0)/12</f>
        <v>0</v>
      </c>
      <c r="AP115" s="52">
        <f>Q115*O115</f>
        <v>10000</v>
      </c>
      <c r="AQ115" s="52">
        <f>AB115*AA115</f>
        <v>0</v>
      </c>
      <c r="AR115" s="53">
        <f>AG115*AF115*AD115</f>
        <v>0</v>
      </c>
      <c r="AS115" s="52">
        <f>AO115*AM115</f>
        <v>0</v>
      </c>
      <c r="AT115" s="54">
        <f t="shared" si="195"/>
        <v>0</v>
      </c>
      <c r="AU115" s="55">
        <f>SUBTOTAL(9,AP115:AT115)</f>
        <v>10000</v>
      </c>
      <c r="AV115" s="55"/>
      <c r="AW115" s="67"/>
      <c r="AX115" s="68"/>
      <c r="AY115" s="69"/>
      <c r="AZ115" s="68"/>
      <c r="BA115" s="89"/>
      <c r="BB115" s="5"/>
      <c r="BC115" s="29">
        <f>IF(I115="Rack",AU115/L115,0)+IF(I115="U Space",AU115*40/L115,0)+IF(I115="Space",AU115*30/L115,0)</f>
        <v>40000</v>
      </c>
      <c r="BD115" s="29">
        <f>+AU115/Y115</f>
        <v>8000</v>
      </c>
      <c r="BE115" s="25">
        <f t="shared" si="197"/>
        <v>-15356.057920000001</v>
      </c>
      <c r="BF115" s="25">
        <f t="shared" si="197"/>
        <v>-20757.146314000001</v>
      </c>
      <c r="BG115" s="25">
        <f>+($AP115+$AQ115+IF(H115="Bundled",0,Y115*0.85*AD115*AF115*30.5*24)-BN115)/$Y115</f>
        <v>-10246.920249999999</v>
      </c>
      <c r="BH115" s="29"/>
      <c r="BI115" s="26">
        <f>+AP115+AQ115+AR115</f>
        <v>10000</v>
      </c>
      <c r="BJ115" s="26" t="e">
        <f>+BI115-BK115</f>
        <v>#REF!</v>
      </c>
      <c r="BK115" s="26" t="e">
        <f>IF(H115="Bundled",MIN(Y115*$AG$1*(1+#REF!),BI115),AR115)</f>
        <v>#REF!</v>
      </c>
      <c r="BL115" s="27">
        <f>IF($AG115&gt;0,$AG115*$AD$1*$AF$1*(1+$AI$1*(20/$AF$1)/732),$AG$1*Z115)</f>
        <v>29195.072400000001</v>
      </c>
      <c r="BM115" s="27">
        <f>IF($AG115&gt;0,$AG115*$AD$1*$AF$1*(1+$AI$1*(20/$AF$1)/732),+$AG$1*(Z115+X115))</f>
        <v>35946.432892500001</v>
      </c>
      <c r="BN115" s="27">
        <f>IF(H115="Bundled",$AG$1*Y115,$AG$1*Y115*0.85)</f>
        <v>22808.650312499998</v>
      </c>
      <c r="BO115" s="27">
        <f>+BE115*Y115</f>
        <v>-19195.072400000001</v>
      </c>
      <c r="BP115" s="27" t="e">
        <f>+#REF!*Y115</f>
        <v>#REF!</v>
      </c>
      <c r="BQ115" s="27" t="e">
        <f>+BJ115-BP115</f>
        <v>#REF!</v>
      </c>
      <c r="BR115" s="27" t="e">
        <f>+BK115-BL115</f>
        <v>#REF!</v>
      </c>
      <c r="BS115" s="27" t="e">
        <f>+BQ115+BR115</f>
        <v>#REF!</v>
      </c>
      <c r="BT115" s="27">
        <f>+Y115</f>
        <v>1.25</v>
      </c>
      <c r="BU115" s="27">
        <f>+BE115</f>
        <v>-15356.057920000001</v>
      </c>
      <c r="BV115" s="27">
        <f>IF(H115="Bundled",BN115-BL115,AR115-BL115)</f>
        <v>-6386.4220875000028</v>
      </c>
      <c r="BW115" s="27" t="e">
        <f>IF(H115="Bundled",+(BG115-#REF!)*Y115,(AP115+AQ115)-Y115*#REF!)</f>
        <v>#REF!</v>
      </c>
      <c r="BX115" s="27" t="e">
        <f>+BV115+BW115</f>
        <v>#REF!</v>
      </c>
      <c r="BY115" s="27">
        <f t="shared" si="198"/>
        <v>-5109.1376700000019</v>
      </c>
      <c r="BZ115" s="27" t="e">
        <f t="shared" si="198"/>
        <v>#REF!</v>
      </c>
      <c r="CA115" s="27" t="e">
        <f t="shared" si="198"/>
        <v>#REF!</v>
      </c>
    </row>
    <row r="116" spans="1:79" s="16" customFormat="1" x14ac:dyDescent="0.3">
      <c r="A116" s="199" t="s">
        <v>247</v>
      </c>
      <c r="B116" s="492"/>
      <c r="C116" s="279" t="s">
        <v>426</v>
      </c>
      <c r="D116" s="279" t="s">
        <v>405</v>
      </c>
      <c r="E116" s="279"/>
      <c r="F116" s="279"/>
      <c r="G116" s="33" t="s">
        <v>11</v>
      </c>
      <c r="H116" s="34" t="s">
        <v>52</v>
      </c>
      <c r="I116" s="33" t="s">
        <v>60</v>
      </c>
      <c r="J116" s="33" t="s">
        <v>61</v>
      </c>
      <c r="K116" s="31" t="str">
        <f t="shared" si="186"/>
        <v>U Space</v>
      </c>
      <c r="L116" s="33">
        <v>3</v>
      </c>
      <c r="M116" s="33">
        <v>3</v>
      </c>
      <c r="N116" s="35">
        <f t="shared" si="181"/>
        <v>0</v>
      </c>
      <c r="O116" s="33">
        <v>3</v>
      </c>
      <c r="P116" s="33"/>
      <c r="Q116" s="42">
        <f>(35000)/12</f>
        <v>2916.6666666666665</v>
      </c>
      <c r="R116" s="43" t="str">
        <f t="shared" si="196"/>
        <v>Rated</v>
      </c>
      <c r="S116" s="33" t="s">
        <v>54</v>
      </c>
      <c r="T116" s="34">
        <v>0.75</v>
      </c>
      <c r="U116" s="45">
        <v>0.33</v>
      </c>
      <c r="V116" s="46">
        <f t="shared" si="123"/>
        <v>0.42</v>
      </c>
      <c r="W116" s="34"/>
      <c r="X116" s="34">
        <f t="shared" si="124"/>
        <v>0.21</v>
      </c>
      <c r="Y116" s="34">
        <f t="shared" si="125"/>
        <v>0.375</v>
      </c>
      <c r="Z116" s="481"/>
      <c r="AA116" s="34">
        <f t="shared" si="191"/>
        <v>0</v>
      </c>
      <c r="AB116" s="47"/>
      <c r="AC116" s="48" t="str">
        <f t="shared" si="127"/>
        <v>Bundled</v>
      </c>
      <c r="AD116" s="34"/>
      <c r="AE116" s="34"/>
      <c r="AF116" s="49"/>
      <c r="AG116" s="34"/>
      <c r="AH116" s="50"/>
      <c r="AI116" s="51"/>
      <c r="AJ116" s="34"/>
      <c r="AK116" s="34"/>
      <c r="AL116" s="34">
        <f>AJ116-AK116</f>
        <v>0</v>
      </c>
      <c r="AM116" s="34"/>
      <c r="AN116" s="34"/>
      <c r="AO116" s="42">
        <f>(0)/12</f>
        <v>0</v>
      </c>
      <c r="AP116" s="52">
        <f>Q116*O116</f>
        <v>8750</v>
      </c>
      <c r="AQ116" s="52">
        <f>AB116*AA116</f>
        <v>0</v>
      </c>
      <c r="AR116" s="53">
        <f>AG116*AF116*AD116</f>
        <v>0</v>
      </c>
      <c r="AS116" s="52">
        <f>AO116*AM116</f>
        <v>0</v>
      </c>
      <c r="AT116" s="54">
        <f t="shared" si="195"/>
        <v>0</v>
      </c>
      <c r="AU116" s="55">
        <f>SUBTOTAL(9,AP116:AT116)</f>
        <v>8750</v>
      </c>
      <c r="AV116" s="55"/>
      <c r="AW116" s="67"/>
      <c r="AX116" s="68"/>
      <c r="AY116" s="69"/>
      <c r="AZ116" s="68"/>
      <c r="BA116" s="89"/>
      <c r="BB116" s="5"/>
      <c r="BC116" s="29">
        <f>IF(I116="Rack",AU116/L116,0)+IF(I116="U Space",AU116*40/L116,0)+IF(I116="Space",AU116*30/L116,0)</f>
        <v>116666.66666666667</v>
      </c>
      <c r="BD116" s="29">
        <f>+AU116/Y116</f>
        <v>23333.333333333332</v>
      </c>
      <c r="BE116" s="25">
        <f t="shared" si="197"/>
        <v>23333.333333333332</v>
      </c>
      <c r="BF116" s="25">
        <f t="shared" si="197"/>
        <v>13115.057993333336</v>
      </c>
      <c r="BG116" s="25">
        <f>+($AP116+$AQ116+IF(H116="Bundled",0,Y116*0.85*AD116*AF116*30.5*24)-BN116)/$Y116</f>
        <v>5086.4130833333329</v>
      </c>
      <c r="BH116" s="29"/>
      <c r="BI116" s="26">
        <f>+AP116+AQ116+AR116</f>
        <v>8750</v>
      </c>
      <c r="BJ116" s="26" t="e">
        <f>+BI116-BK116</f>
        <v>#REF!</v>
      </c>
      <c r="BK116" s="26" t="e">
        <f>IF(H116="Bundled",MIN(Y116*$AG$1*(1+#REF!),BI116),AR116)</f>
        <v>#REF!</v>
      </c>
      <c r="BL116" s="27">
        <f>IF($AG116&gt;0,$AG116*$AD$1*$AF$1*(1+$AI$1*(20/$AF$1)/732),$AG$1*Z116)</f>
        <v>0</v>
      </c>
      <c r="BM116" s="27">
        <f>IF($AG116&gt;0,$AG116*$AD$1*$AF$1*(1+$AI$1*(20/$AF$1)/732),+$AG$1*(Z116+X116))</f>
        <v>3831.8532524999996</v>
      </c>
      <c r="BN116" s="27">
        <f>IF(H116="Bundled",$AG$1*Y116,$AG$1*Y116*0.85)</f>
        <v>6842.5950937500002</v>
      </c>
      <c r="BO116" s="27">
        <f>+BE116*Y116</f>
        <v>8750</v>
      </c>
      <c r="BP116" s="27" t="e">
        <f>+#REF!*Y116</f>
        <v>#REF!</v>
      </c>
      <c r="BQ116" s="27" t="e">
        <f>+BJ116-BP116</f>
        <v>#REF!</v>
      </c>
      <c r="BR116" s="27" t="e">
        <f>+BK116-BL116</f>
        <v>#REF!</v>
      </c>
      <c r="BS116" s="27" t="e">
        <f>+BQ116+BR116</f>
        <v>#REF!</v>
      </c>
      <c r="BT116" s="27">
        <f>+Y116</f>
        <v>0.375</v>
      </c>
      <c r="BU116" s="27">
        <f>+BE116</f>
        <v>23333.333333333332</v>
      </c>
      <c r="BV116" s="27">
        <f>IF(H116="Bundled",BN116-BL116,AR116-BL116)</f>
        <v>6842.5950937500002</v>
      </c>
      <c r="BW116" s="27" t="e">
        <f>IF(H116="Bundled",+(BG116-#REF!)*Y116,(AP116+AQ116)-Y116*#REF!)</f>
        <v>#REF!</v>
      </c>
      <c r="BX116" s="27" t="e">
        <f>+BV116+BW116</f>
        <v>#REF!</v>
      </c>
      <c r="BY116" s="27">
        <f t="shared" si="198"/>
        <v>18246.920249999999</v>
      </c>
      <c r="BZ116" s="27" t="e">
        <f t="shared" si="198"/>
        <v>#REF!</v>
      </c>
      <c r="CA116" s="27" t="e">
        <f t="shared" si="198"/>
        <v>#REF!</v>
      </c>
    </row>
    <row r="117" spans="1:79" s="16" customFormat="1" x14ac:dyDescent="0.3">
      <c r="A117" s="199" t="s">
        <v>247</v>
      </c>
      <c r="B117" s="492"/>
      <c r="C117" s="279" t="s">
        <v>444</v>
      </c>
      <c r="D117" s="279" t="s">
        <v>405</v>
      </c>
      <c r="E117" s="279"/>
      <c r="F117" s="279"/>
      <c r="G117" s="33" t="s">
        <v>11</v>
      </c>
      <c r="H117" s="34" t="s">
        <v>52</v>
      </c>
      <c r="I117" s="33" t="s">
        <v>60</v>
      </c>
      <c r="J117" s="33" t="s">
        <v>61</v>
      </c>
      <c r="K117" s="31" t="str">
        <f t="shared" si="186"/>
        <v>U Space</v>
      </c>
      <c r="L117" s="33">
        <v>4</v>
      </c>
      <c r="M117" s="33">
        <v>4</v>
      </c>
      <c r="N117" s="35">
        <f t="shared" si="181"/>
        <v>0</v>
      </c>
      <c r="O117" s="33">
        <v>4</v>
      </c>
      <c r="P117" s="33"/>
      <c r="Q117" s="42"/>
      <c r="R117" s="43" t="str">
        <f t="shared" si="196"/>
        <v>Rated</v>
      </c>
      <c r="S117" s="33" t="s">
        <v>54</v>
      </c>
      <c r="T117" s="34">
        <v>1.5</v>
      </c>
      <c r="U117" s="45">
        <v>0.56000000000000005</v>
      </c>
      <c r="V117" s="46">
        <f t="shared" si="123"/>
        <v>0.94</v>
      </c>
      <c r="W117" s="34"/>
      <c r="X117" s="34">
        <f t="shared" si="124"/>
        <v>0.47</v>
      </c>
      <c r="Y117" s="34">
        <f t="shared" si="125"/>
        <v>0.75</v>
      </c>
      <c r="Z117" s="481"/>
      <c r="AA117" s="34">
        <f t="shared" si="191"/>
        <v>0</v>
      </c>
      <c r="AB117" s="47"/>
      <c r="AC117" s="48" t="str">
        <f t="shared" si="127"/>
        <v>Bundled</v>
      </c>
      <c r="AD117" s="34"/>
      <c r="AE117" s="34"/>
      <c r="AF117" s="49"/>
      <c r="AG117" s="34"/>
      <c r="AH117" s="50"/>
      <c r="AI117" s="51"/>
      <c r="AJ117" s="34"/>
      <c r="AK117" s="34"/>
      <c r="AL117" s="34"/>
      <c r="AM117" s="34"/>
      <c r="AN117" s="34"/>
      <c r="AO117" s="42"/>
      <c r="AP117" s="52"/>
      <c r="AQ117" s="52"/>
      <c r="AR117" s="53"/>
      <c r="AS117" s="52"/>
      <c r="AT117" s="54"/>
      <c r="AU117" s="55"/>
      <c r="AV117" s="55"/>
      <c r="AW117" s="67"/>
      <c r="AX117" s="68"/>
      <c r="AY117" s="69"/>
      <c r="AZ117" s="68"/>
      <c r="BA117" s="89"/>
      <c r="BB117" s="5"/>
      <c r="BC117" s="59"/>
      <c r="BD117" s="59"/>
      <c r="BE117" s="59"/>
      <c r="BF117" s="59"/>
      <c r="BG117" s="59"/>
      <c r="BH117" s="59"/>
      <c r="BI117" s="60"/>
      <c r="BJ117" s="60"/>
      <c r="BK117" s="60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</row>
    <row r="118" spans="1:79" s="16" customFormat="1" x14ac:dyDescent="0.3">
      <c r="A118" s="199" t="s">
        <v>247</v>
      </c>
      <c r="B118" s="492"/>
      <c r="C118" s="279" t="s">
        <v>457</v>
      </c>
      <c r="D118" s="279" t="s">
        <v>404</v>
      </c>
      <c r="E118" s="279"/>
      <c r="F118" s="279"/>
      <c r="G118" s="33" t="s">
        <v>11</v>
      </c>
      <c r="H118" s="34" t="s">
        <v>52</v>
      </c>
      <c r="I118" s="33" t="s">
        <v>60</v>
      </c>
      <c r="J118" s="33" t="s">
        <v>61</v>
      </c>
      <c r="K118" s="31" t="str">
        <f t="shared" si="186"/>
        <v>U Space</v>
      </c>
      <c r="L118" s="33">
        <v>1</v>
      </c>
      <c r="M118" s="33">
        <v>1</v>
      </c>
      <c r="N118" s="35">
        <v>0</v>
      </c>
      <c r="O118" s="33">
        <v>1</v>
      </c>
      <c r="P118" s="33"/>
      <c r="Q118" s="42"/>
      <c r="R118" s="43" t="str">
        <f t="shared" si="196"/>
        <v>Rated</v>
      </c>
      <c r="S118" s="33" t="s">
        <v>54</v>
      </c>
      <c r="T118" s="34">
        <v>0.25</v>
      </c>
      <c r="U118" s="45">
        <v>0.09</v>
      </c>
      <c r="V118" s="46">
        <f t="shared" si="123"/>
        <v>0.16</v>
      </c>
      <c r="W118" s="34"/>
      <c r="X118" s="34">
        <f t="shared" si="124"/>
        <v>0.08</v>
      </c>
      <c r="Y118" s="34">
        <f t="shared" si="125"/>
        <v>0.125</v>
      </c>
      <c r="Z118" s="481"/>
      <c r="AA118" s="34">
        <f t="shared" si="191"/>
        <v>0</v>
      </c>
      <c r="AB118" s="47"/>
      <c r="AC118" s="48" t="str">
        <f t="shared" si="127"/>
        <v>Bundled</v>
      </c>
      <c r="AD118" s="34"/>
      <c r="AE118" s="34"/>
      <c r="AF118" s="49"/>
      <c r="AG118" s="34"/>
      <c r="AH118" s="50"/>
      <c r="AI118" s="51"/>
      <c r="AJ118" s="34"/>
      <c r="AK118" s="34"/>
      <c r="AL118" s="34"/>
      <c r="AM118" s="34"/>
      <c r="AN118" s="34"/>
      <c r="AO118" s="42"/>
      <c r="AP118" s="52"/>
      <c r="AQ118" s="52"/>
      <c r="AR118" s="53"/>
      <c r="AS118" s="52"/>
      <c r="AT118" s="54"/>
      <c r="AU118" s="55"/>
      <c r="AV118" s="55"/>
      <c r="AW118" s="67"/>
      <c r="AX118" s="68"/>
      <c r="AY118" s="69"/>
      <c r="AZ118" s="68"/>
      <c r="BA118" s="89"/>
      <c r="BB118" s="5"/>
      <c r="BC118" s="59"/>
      <c r="BD118" s="59"/>
      <c r="BE118" s="59"/>
      <c r="BF118" s="59"/>
      <c r="BG118" s="59"/>
      <c r="BH118" s="59"/>
      <c r="BI118" s="60"/>
      <c r="BJ118" s="60"/>
      <c r="BK118" s="60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</row>
    <row r="119" spans="1:79" s="16" customFormat="1" x14ac:dyDescent="0.3">
      <c r="A119" s="199"/>
      <c r="B119" s="492"/>
      <c r="C119" s="279" t="s">
        <v>522</v>
      </c>
      <c r="D119" s="279" t="s">
        <v>404</v>
      </c>
      <c r="E119" s="279"/>
      <c r="F119" s="279"/>
      <c r="G119" s="33" t="s">
        <v>11</v>
      </c>
      <c r="H119" s="34" t="s">
        <v>52</v>
      </c>
      <c r="I119" s="33" t="s">
        <v>60</v>
      </c>
      <c r="J119" s="33" t="s">
        <v>61</v>
      </c>
      <c r="K119" s="31" t="str">
        <f t="shared" si="186"/>
        <v>U Space</v>
      </c>
      <c r="L119" s="33">
        <v>1</v>
      </c>
      <c r="M119" s="33">
        <v>1</v>
      </c>
      <c r="N119" s="35">
        <v>0</v>
      </c>
      <c r="O119" s="33">
        <v>1</v>
      </c>
      <c r="P119" s="33"/>
      <c r="Q119" s="42"/>
      <c r="R119" s="43" t="str">
        <f t="shared" si="196"/>
        <v>Rated</v>
      </c>
      <c r="S119" s="33" t="s">
        <v>54</v>
      </c>
      <c r="T119" s="34">
        <v>0.25</v>
      </c>
      <c r="U119" s="45">
        <v>0.52</v>
      </c>
      <c r="V119" s="46">
        <f t="shared" si="123"/>
        <v>-0.27</v>
      </c>
      <c r="W119" s="34"/>
      <c r="X119" s="34">
        <f t="shared" si="124"/>
        <v>0</v>
      </c>
      <c r="Y119" s="34">
        <f t="shared" si="125"/>
        <v>0.125</v>
      </c>
      <c r="Z119" s="481"/>
      <c r="AA119" s="34">
        <f t="shared" si="191"/>
        <v>0.27</v>
      </c>
      <c r="AB119" s="47"/>
      <c r="AC119" s="48" t="s">
        <v>52</v>
      </c>
      <c r="AD119" s="34"/>
      <c r="AE119" s="34"/>
      <c r="AF119" s="49"/>
      <c r="AG119" s="34"/>
      <c r="AH119" s="50"/>
      <c r="AI119" s="51"/>
      <c r="AJ119" s="34"/>
      <c r="AK119" s="34"/>
      <c r="AL119" s="34"/>
      <c r="AM119" s="34"/>
      <c r="AN119" s="34"/>
      <c r="AO119" s="42"/>
      <c r="AP119" s="52"/>
      <c r="AQ119" s="52"/>
      <c r="AR119" s="53"/>
      <c r="AS119" s="52"/>
      <c r="AT119" s="54"/>
      <c r="AU119" s="55"/>
      <c r="AV119" s="55"/>
      <c r="AW119" s="67"/>
      <c r="AX119" s="68"/>
      <c r="AY119" s="69"/>
      <c r="AZ119" s="68"/>
      <c r="BA119" s="89"/>
      <c r="BB119" s="5"/>
      <c r="BC119" s="59"/>
      <c r="BD119" s="59"/>
      <c r="BE119" s="59"/>
      <c r="BF119" s="59"/>
      <c r="BG119" s="59"/>
      <c r="BH119" s="59"/>
      <c r="BI119" s="60"/>
      <c r="BJ119" s="60"/>
      <c r="BK119" s="60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</row>
    <row r="120" spans="1:79" s="16" customFormat="1" x14ac:dyDescent="0.3">
      <c r="A120" s="199" t="s">
        <v>247</v>
      </c>
      <c r="B120" s="492"/>
      <c r="C120" s="132" t="s">
        <v>371</v>
      </c>
      <c r="D120" s="132" t="s">
        <v>405</v>
      </c>
      <c r="E120" s="132"/>
      <c r="F120" s="132"/>
      <c r="G120" s="33" t="s">
        <v>11</v>
      </c>
      <c r="H120" s="34" t="s">
        <v>52</v>
      </c>
      <c r="I120" s="33" t="s">
        <v>60</v>
      </c>
      <c r="J120" s="33" t="s">
        <v>61</v>
      </c>
      <c r="K120" s="31" t="str">
        <f t="shared" si="186"/>
        <v>U Space</v>
      </c>
      <c r="L120" s="33">
        <v>4</v>
      </c>
      <c r="M120" s="33">
        <v>4</v>
      </c>
      <c r="N120" s="35">
        <f>L120-M120</f>
        <v>0</v>
      </c>
      <c r="O120" s="33">
        <v>4</v>
      </c>
      <c r="P120" s="33"/>
      <c r="Q120" s="42">
        <f>(35000)/12</f>
        <v>2916.6666666666665</v>
      </c>
      <c r="R120" s="43" t="str">
        <f t="shared" si="196"/>
        <v>Rated</v>
      </c>
      <c r="S120" s="33" t="s">
        <v>54</v>
      </c>
      <c r="T120" s="34">
        <v>1</v>
      </c>
      <c r="U120" s="45">
        <v>0.61</v>
      </c>
      <c r="V120" s="46">
        <f t="shared" si="123"/>
        <v>0.39</v>
      </c>
      <c r="W120" s="34"/>
      <c r="X120" s="34">
        <f t="shared" si="124"/>
        <v>0.19500000000000001</v>
      </c>
      <c r="Y120" s="34">
        <f t="shared" si="125"/>
        <v>0.5</v>
      </c>
      <c r="Z120" s="481"/>
      <c r="AA120" s="34">
        <f t="shared" si="191"/>
        <v>0</v>
      </c>
      <c r="AB120" s="47">
        <f>0/12</f>
        <v>0</v>
      </c>
      <c r="AC120" s="48" t="str">
        <f>H120</f>
        <v>Bundled</v>
      </c>
      <c r="AD120" s="34"/>
      <c r="AE120" s="34"/>
      <c r="AF120" s="49"/>
      <c r="AG120" s="34"/>
      <c r="AH120" s="50"/>
      <c r="AI120" s="51"/>
      <c r="AJ120" s="34"/>
      <c r="AK120" s="34"/>
      <c r="AL120" s="34">
        <f>AJ120-AK120</f>
        <v>0</v>
      </c>
      <c r="AM120" s="34"/>
      <c r="AN120" s="34"/>
      <c r="AO120" s="42">
        <f>(0)/12</f>
        <v>0</v>
      </c>
      <c r="AP120" s="52">
        <f>Q120*O120</f>
        <v>11666.666666666666</v>
      </c>
      <c r="AQ120" s="52">
        <f>AB120*AA120</f>
        <v>0</v>
      </c>
      <c r="AR120" s="53">
        <f>AG120*AF120*AD120</f>
        <v>0</v>
      </c>
      <c r="AS120" s="52">
        <f>AO120*AM120</f>
        <v>0</v>
      </c>
      <c r="AT120" s="54">
        <f t="shared" si="195"/>
        <v>0</v>
      </c>
      <c r="AU120" s="55">
        <f>SUBTOTAL(9,AP120:AT120)</f>
        <v>11666.666666666666</v>
      </c>
      <c r="AV120" s="55"/>
      <c r="AW120" s="67"/>
      <c r="AX120" s="68"/>
      <c r="AY120" s="69"/>
      <c r="AZ120" s="68"/>
      <c r="BA120" s="89"/>
      <c r="BB120" s="5"/>
      <c r="BC120" s="29">
        <f>IF(I120="Rack",AU120/L120,0)+IF(I120="U Space",AU120*40/L120,0)+IF(I120="Space",AU120*30/L120,0)</f>
        <v>116666.66666666666</v>
      </c>
      <c r="BD120" s="29">
        <f>+AU120/Y120</f>
        <v>23333.333333333332</v>
      </c>
      <c r="BE120" s="25">
        <f>+($AP120+$AQ120+$AR120-BL120)/$Y120</f>
        <v>23333.333333333332</v>
      </c>
      <c r="BF120" s="25">
        <f>+($AP120+$AQ120+$AR120-BM120)/$Y120</f>
        <v>16217.034435833331</v>
      </c>
      <c r="BG120" s="25">
        <f>+($AP120+$AQ120+IF(H120="Bundled",0,Y120*0.85*AD120*AF120*30.5*24)-BN120)/$Y120</f>
        <v>5086.4130833333329</v>
      </c>
      <c r="BH120" s="29"/>
      <c r="BI120" s="26">
        <f>+AP120+AQ120+AR120</f>
        <v>11666.666666666666</v>
      </c>
      <c r="BJ120" s="26" t="e">
        <f>+BI120-BK120</f>
        <v>#REF!</v>
      </c>
      <c r="BK120" s="26" t="e">
        <f>IF(H120="Bundled",MIN(Y120*$AG$1*(1+#REF!),BI120),AR120)</f>
        <v>#REF!</v>
      </c>
      <c r="BL120" s="27">
        <f>IF($AG120&gt;0,$AG120*$AD$1*$AF$1*(1+$AI$1*(20/$AF$1)/732),$AG$1*Z120)</f>
        <v>0</v>
      </c>
      <c r="BM120" s="27">
        <f>IF($AG120&gt;0,$AG120*$AD$1*$AF$1*(1+$AI$1*(20/$AF$1)/732),+$AG$1*(Z120+X120))</f>
        <v>3558.1494487499999</v>
      </c>
      <c r="BN120" s="27">
        <f>IF(H120="Bundled",$AG$1*Y120,$AG$1*Y120*0.85)</f>
        <v>9123.4601249999996</v>
      </c>
      <c r="BO120" s="27">
        <f>+BE120*Y120</f>
        <v>11666.666666666666</v>
      </c>
      <c r="BP120" s="27" t="e">
        <f>+#REF!*Y120</f>
        <v>#REF!</v>
      </c>
      <c r="BQ120" s="27" t="e">
        <f>+BJ120-BP120</f>
        <v>#REF!</v>
      </c>
      <c r="BR120" s="27" t="e">
        <f>+BK120-BL120</f>
        <v>#REF!</v>
      </c>
      <c r="BS120" s="27" t="e">
        <f>+BQ120+BR120</f>
        <v>#REF!</v>
      </c>
      <c r="BT120" s="27">
        <f>+Y120</f>
        <v>0.5</v>
      </c>
      <c r="BU120" s="27">
        <f>+BE120</f>
        <v>23333.333333333332</v>
      </c>
      <c r="BV120" s="27">
        <f>IF(H120="Bundled",BN120-BL120,AR120-BL120)</f>
        <v>9123.4601249999996</v>
      </c>
      <c r="BW120" s="27" t="e">
        <f>IF(H120="Bundled",+(BG120-#REF!)*Y120,(AP120+AQ120)-Y120*#REF!)</f>
        <v>#REF!</v>
      </c>
      <c r="BX120" s="27" t="e">
        <f>+BV120+BW120</f>
        <v>#REF!</v>
      </c>
      <c r="BY120" s="27">
        <f t="shared" ref="BY120:CA121" si="199">+BV120/$BT120</f>
        <v>18246.920249999999</v>
      </c>
      <c r="BZ120" s="27" t="e">
        <f t="shared" si="199"/>
        <v>#REF!</v>
      </c>
      <c r="CA120" s="27" t="e">
        <f t="shared" si="199"/>
        <v>#REF!</v>
      </c>
    </row>
    <row r="121" spans="1:79" s="16" customFormat="1" x14ac:dyDescent="0.3">
      <c r="A121" s="199" t="s">
        <v>247</v>
      </c>
      <c r="B121" s="44" t="s">
        <v>157</v>
      </c>
      <c r="C121" s="279" t="s">
        <v>363</v>
      </c>
      <c r="D121" s="279" t="s">
        <v>405</v>
      </c>
      <c r="E121" s="279"/>
      <c r="F121" s="279"/>
      <c r="G121" s="33" t="s">
        <v>11</v>
      </c>
      <c r="H121" s="34" t="s">
        <v>52</v>
      </c>
      <c r="I121" s="33" t="s">
        <v>8</v>
      </c>
      <c r="J121" s="33" t="s">
        <v>61</v>
      </c>
      <c r="K121" s="31" t="str">
        <f t="shared" si="186"/>
        <v>No of Racks</v>
      </c>
      <c r="L121" s="33">
        <v>1</v>
      </c>
      <c r="M121" s="33">
        <v>1</v>
      </c>
      <c r="N121" s="35">
        <f>L121-M121</f>
        <v>0</v>
      </c>
      <c r="O121" s="33">
        <v>1</v>
      </c>
      <c r="P121" s="33"/>
      <c r="Q121" s="42">
        <f>(430000)/12</f>
        <v>35833.333333333336</v>
      </c>
      <c r="R121" s="43" t="str">
        <f t="shared" si="196"/>
        <v>Rated</v>
      </c>
      <c r="S121" s="33" t="s">
        <v>54</v>
      </c>
      <c r="T121" s="34">
        <v>3</v>
      </c>
      <c r="U121" s="45">
        <v>1.82</v>
      </c>
      <c r="V121" s="46">
        <f t="shared" si="123"/>
        <v>1.18</v>
      </c>
      <c r="W121" s="34"/>
      <c r="X121" s="34">
        <f t="shared" si="124"/>
        <v>0.59</v>
      </c>
      <c r="Y121" s="34">
        <f t="shared" si="125"/>
        <v>1.5</v>
      </c>
      <c r="Z121" s="65">
        <v>0.57999999999999996</v>
      </c>
      <c r="AA121" s="34">
        <f t="shared" si="191"/>
        <v>0</v>
      </c>
      <c r="AB121" s="47">
        <f>110000/12</f>
        <v>9166.6666666666661</v>
      </c>
      <c r="AC121" s="48" t="str">
        <f>H121</f>
        <v>Bundled</v>
      </c>
      <c r="AD121" s="34"/>
      <c r="AE121" s="34"/>
      <c r="AF121" s="49"/>
      <c r="AG121" s="34"/>
      <c r="AH121" s="50"/>
      <c r="AI121" s="51"/>
      <c r="AJ121" s="34"/>
      <c r="AK121" s="34"/>
      <c r="AL121" s="34">
        <f>AJ121-AK121</f>
        <v>0</v>
      </c>
      <c r="AM121" s="34"/>
      <c r="AN121" s="34"/>
      <c r="AO121" s="42">
        <f>(0)/12</f>
        <v>0</v>
      </c>
      <c r="AP121" s="52">
        <f>Q121*O121</f>
        <v>35833.333333333336</v>
      </c>
      <c r="AQ121" s="52">
        <f>AB121*AA121</f>
        <v>0</v>
      </c>
      <c r="AR121" s="53">
        <f>AG121*AF121*AD121</f>
        <v>0</v>
      </c>
      <c r="AS121" s="52">
        <f>AO121*AM121</f>
        <v>0</v>
      </c>
      <c r="AT121" s="54">
        <f t="shared" si="195"/>
        <v>0</v>
      </c>
      <c r="AU121" s="55">
        <f>SUBTOTAL(9,AP121:AT121)</f>
        <v>35833.333333333336</v>
      </c>
      <c r="AV121" s="55"/>
      <c r="AW121" s="67"/>
      <c r="AX121" s="68"/>
      <c r="AY121" s="69"/>
      <c r="AZ121" s="68"/>
      <c r="BA121" s="89"/>
      <c r="BB121" s="5"/>
      <c r="BC121" s="29">
        <f>IF(I121="Rack",AU121/L121,0)+IF(I121="U Space",AU121*40/L121,0)+IF(I121="Space",AU121*30/L121,0)</f>
        <v>35833.333333333336</v>
      </c>
      <c r="BD121" s="29">
        <f>+AU121/Y121</f>
        <v>23888.888888888891</v>
      </c>
      <c r="BE121" s="25">
        <f>+($AP121+$AQ121+$AR121-BL121)/$Y121</f>
        <v>16833.413058888891</v>
      </c>
      <c r="BF121" s="25">
        <f>+($AP121+$AQ121+$AR121-BM121)/$Y121</f>
        <v>9656.2910938888908</v>
      </c>
      <c r="BG121" s="25">
        <f>+($AP121+$AQ121+IF(H121="Bundled",0,Y121*0.85*AD121*AF121*30.5*24)-BN121)/$Y121</f>
        <v>5641.9686388888904</v>
      </c>
      <c r="BH121" s="29"/>
      <c r="BI121" s="26">
        <f>+AP121+AQ121+AR121</f>
        <v>35833.333333333336</v>
      </c>
      <c r="BJ121" s="26" t="e">
        <f>+BI121-BK121</f>
        <v>#REF!</v>
      </c>
      <c r="BK121" s="26" t="e">
        <f>IF(H121="Bundled",MIN(Y121*$AG$1*(1+#REF!),BI121),AR121)</f>
        <v>#REF!</v>
      </c>
      <c r="BL121" s="27">
        <f>IF($AG121&gt;0,$AG121*$AD$1*$AF$1*(1+$AI$1*(20/$AF$1)/732),$AG$1*Z121)</f>
        <v>10583.213744999999</v>
      </c>
      <c r="BM121" s="27">
        <f>IF($AG121&gt;0,$AG121*$AD$1*$AF$1*(1+$AI$1*(20/$AF$1)/732),+$AG$1*(Z121+X121))</f>
        <v>21348.896692499999</v>
      </c>
      <c r="BN121" s="27">
        <f>IF(H121="Bundled",$AG$1*Y121,$AG$1*Y121*0.85)</f>
        <v>27370.380375000001</v>
      </c>
      <c r="BO121" s="27">
        <f>+BE121*Y121</f>
        <v>25250.119588333335</v>
      </c>
      <c r="BP121" s="27" t="e">
        <f>+#REF!*Y121</f>
        <v>#REF!</v>
      </c>
      <c r="BQ121" s="27" t="e">
        <f>+BJ121-BP121</f>
        <v>#REF!</v>
      </c>
      <c r="BR121" s="27" t="e">
        <f>+BK121-BL121</f>
        <v>#REF!</v>
      </c>
      <c r="BS121" s="27" t="e">
        <f>+BQ121+BR121</f>
        <v>#REF!</v>
      </c>
      <c r="BT121" s="27">
        <f>+Y121</f>
        <v>1.5</v>
      </c>
      <c r="BU121" s="27">
        <f>+BE121</f>
        <v>16833.413058888891</v>
      </c>
      <c r="BV121" s="27">
        <f>IF(H121="Bundled",BN121-BL121,AR121-BL121)</f>
        <v>16787.16663</v>
      </c>
      <c r="BW121" s="27" t="e">
        <f>IF(H121="Bundled",+(BG121-#REF!)*Y121,(AP121+AQ121)-Y121*#REF!)</f>
        <v>#REF!</v>
      </c>
      <c r="BX121" s="27" t="e">
        <f>+BV121+BW121</f>
        <v>#REF!</v>
      </c>
      <c r="BY121" s="27">
        <f t="shared" si="199"/>
        <v>11191.44442</v>
      </c>
      <c r="BZ121" s="27" t="e">
        <f t="shared" si="199"/>
        <v>#REF!</v>
      </c>
      <c r="CA121" s="27" t="e">
        <f t="shared" si="199"/>
        <v>#REF!</v>
      </c>
    </row>
    <row r="122" spans="1:79" s="220" customFormat="1" ht="13.5" thickBot="1" x14ac:dyDescent="0.35">
      <c r="A122" s="205"/>
      <c r="B122" s="207" t="s">
        <v>131</v>
      </c>
      <c r="C122" s="207"/>
      <c r="D122" s="207"/>
      <c r="E122" s="207"/>
      <c r="F122" s="207"/>
      <c r="G122" s="208"/>
      <c r="H122" s="208"/>
      <c r="I122" s="208"/>
      <c r="J122" s="208"/>
      <c r="K122" s="208"/>
      <c r="L122" s="207"/>
      <c r="M122" s="207"/>
      <c r="N122" s="209"/>
      <c r="O122" s="207"/>
      <c r="P122" s="207"/>
      <c r="Q122" s="207"/>
      <c r="R122" s="210"/>
      <c r="S122" s="207"/>
      <c r="T122" s="211">
        <f>SUM(T77:T121)</f>
        <v>1484.18</v>
      </c>
      <c r="U122" s="211">
        <f>SUM(U77:U121)</f>
        <v>727.36858630952372</v>
      </c>
      <c r="V122" s="212"/>
      <c r="W122" s="211"/>
      <c r="X122" s="211">
        <f>SUM(X77:X121)</f>
        <v>808.23995535714312</v>
      </c>
      <c r="Y122" s="211">
        <f>SUM(Y77:Y121)</f>
        <v>1410.34</v>
      </c>
      <c r="Z122" s="211">
        <f>SUM(Z77:Z121)</f>
        <v>614.16729166666676</v>
      </c>
      <c r="AA122" s="211"/>
      <c r="AB122" s="211"/>
      <c r="AC122" s="213"/>
      <c r="AD122" s="211"/>
      <c r="AE122" s="211"/>
      <c r="AF122" s="211"/>
      <c r="AG122" s="211"/>
      <c r="AH122" s="214" t="s">
        <v>55</v>
      </c>
      <c r="AI122" s="215" t="str">
        <f>IF(AH122="No of Seats","No of Seats",(IF(AH122="Space","Sq Ft","")))</f>
        <v>No of Seats</v>
      </c>
      <c r="AJ122" s="211">
        <f>SUM(AJ77:AJ102)</f>
        <v>9</v>
      </c>
      <c r="AK122" s="211">
        <f>SUM(AK77:AK102)</f>
        <v>9</v>
      </c>
      <c r="AL122" s="211">
        <f>SUM(AL77:AL102)</f>
        <v>0</v>
      </c>
      <c r="AM122" s="211">
        <f>SUM(AM77:AM102)</f>
        <v>9</v>
      </c>
      <c r="AN122" s="211"/>
      <c r="AO122" s="211"/>
      <c r="AP122" s="216"/>
      <c r="AQ122" s="216"/>
      <c r="AR122" s="216"/>
      <c r="AS122" s="216"/>
      <c r="AT122" s="216"/>
      <c r="AU122" s="211">
        <f>SUM(AU77:AU102)</f>
        <v>11884984.32186389</v>
      </c>
      <c r="AV122" s="208" t="s">
        <v>73</v>
      </c>
      <c r="AW122" s="217"/>
      <c r="AX122" s="217"/>
      <c r="AY122" s="218"/>
      <c r="AZ122" s="217"/>
      <c r="BA122" s="219"/>
      <c r="CA122" s="221"/>
    </row>
    <row r="123" spans="1:79" s="16" customFormat="1" x14ac:dyDescent="0.3">
      <c r="A123" s="199"/>
      <c r="B123" s="32"/>
      <c r="C123" s="32"/>
      <c r="D123" s="32"/>
      <c r="E123" s="32"/>
      <c r="F123" s="32"/>
      <c r="G123" s="33"/>
      <c r="H123" s="269" t="s">
        <v>8</v>
      </c>
      <c r="I123" s="270">
        <f>COUNTIF(I77:I121,"=Rack")</f>
        <v>18</v>
      </c>
      <c r="J123" s="270"/>
      <c r="K123" s="270" t="s">
        <v>298</v>
      </c>
      <c r="L123" s="271">
        <f>SUMIF(I77:I121,"Rack",L77:L121)</f>
        <v>44</v>
      </c>
      <c r="M123" s="33"/>
      <c r="N123" s="35"/>
      <c r="O123" s="33"/>
      <c r="P123" s="33"/>
      <c r="Q123" s="42"/>
      <c r="R123" s="43"/>
      <c r="S123" s="33"/>
      <c r="T123" s="34"/>
      <c r="U123" s="66"/>
      <c r="V123" s="46"/>
      <c r="W123" s="34"/>
      <c r="X123" s="34"/>
      <c r="Y123" s="34"/>
      <c r="Z123" s="65"/>
      <c r="AA123" s="34"/>
      <c r="AB123" s="47"/>
      <c r="AC123" s="48"/>
      <c r="AD123" s="34"/>
      <c r="AE123" s="34"/>
      <c r="AF123" s="49"/>
      <c r="AG123" s="34"/>
      <c r="AH123" s="50"/>
      <c r="AI123" s="51"/>
      <c r="AJ123" s="34"/>
      <c r="AK123" s="34"/>
      <c r="AL123" s="34"/>
      <c r="AM123" s="34"/>
      <c r="AN123" s="34"/>
      <c r="AO123" s="42"/>
      <c r="AP123" s="52"/>
      <c r="AQ123" s="52"/>
      <c r="AR123" s="53"/>
      <c r="AS123" s="52"/>
      <c r="AT123" s="54"/>
      <c r="AU123" s="55"/>
      <c r="AV123" s="55"/>
      <c r="AW123" s="67"/>
      <c r="AX123" s="68"/>
      <c r="AY123" s="69"/>
      <c r="AZ123" s="68"/>
      <c r="BA123" s="89"/>
      <c r="BB123" s="5"/>
      <c r="BC123" s="71"/>
      <c r="BD123" s="71"/>
      <c r="BE123" s="71"/>
      <c r="BF123" s="71"/>
      <c r="BG123" s="71"/>
      <c r="BH123" s="71"/>
      <c r="BI123" s="72"/>
      <c r="BJ123" s="72"/>
      <c r="BK123" s="72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</row>
    <row r="124" spans="1:79" s="16" customFormat="1" x14ac:dyDescent="0.3">
      <c r="A124" s="199"/>
      <c r="B124" s="32"/>
      <c r="C124" s="32"/>
      <c r="D124" s="32"/>
      <c r="E124" s="32"/>
      <c r="F124" s="32"/>
      <c r="G124" s="33"/>
      <c r="H124" s="272" t="s">
        <v>3</v>
      </c>
      <c r="I124" s="259">
        <f>COUNTIF(I77:I121,"=Space")</f>
        <v>10</v>
      </c>
      <c r="J124" s="259"/>
      <c r="K124" s="259" t="s">
        <v>299</v>
      </c>
      <c r="L124" s="273">
        <f>SUMIF(I77:I121,"Space",L77:L121)/21</f>
        <v>266.95238095238096</v>
      </c>
      <c r="M124" s="33"/>
      <c r="N124" s="35"/>
      <c r="O124" s="33"/>
      <c r="P124" s="33"/>
      <c r="Q124" s="42"/>
      <c r="R124" s="43"/>
      <c r="S124" s="33"/>
      <c r="T124" s="34"/>
      <c r="U124" s="66"/>
      <c r="V124" s="46"/>
      <c r="W124" s="34"/>
      <c r="X124" s="34"/>
      <c r="Y124" s="34"/>
      <c r="Z124" s="65"/>
      <c r="AA124" s="34"/>
      <c r="AB124" s="47"/>
      <c r="AC124" s="48"/>
      <c r="AD124" s="34"/>
      <c r="AE124" s="34"/>
      <c r="AF124" s="49"/>
      <c r="AG124" s="34"/>
      <c r="AH124" s="50"/>
      <c r="AI124" s="51"/>
      <c r="AJ124" s="34"/>
      <c r="AK124" s="34"/>
      <c r="AL124" s="34"/>
      <c r="AM124" s="34"/>
      <c r="AN124" s="34"/>
      <c r="AO124" s="42"/>
      <c r="AP124" s="52"/>
      <c r="AQ124" s="52"/>
      <c r="AR124" s="53"/>
      <c r="AS124" s="52"/>
      <c r="AT124" s="54"/>
      <c r="AU124" s="55"/>
      <c r="AV124" s="55"/>
      <c r="AW124" s="67"/>
      <c r="AX124" s="68"/>
      <c r="AY124" s="69"/>
      <c r="AZ124" s="68"/>
      <c r="BA124" s="89"/>
      <c r="BB124" s="5"/>
      <c r="BC124" s="71"/>
      <c r="BD124" s="71"/>
      <c r="BE124" s="71"/>
      <c r="BF124" s="71"/>
      <c r="BG124" s="71"/>
      <c r="BH124" s="71"/>
      <c r="BI124" s="72"/>
      <c r="BJ124" s="72"/>
      <c r="BK124" s="72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</row>
    <row r="125" spans="1:79" s="16" customFormat="1" x14ac:dyDescent="0.3">
      <c r="A125" s="199"/>
      <c r="C125" s="32"/>
      <c r="D125" s="32"/>
      <c r="E125" s="32"/>
      <c r="F125" s="32"/>
      <c r="G125" s="33"/>
      <c r="H125" s="272" t="s">
        <v>60</v>
      </c>
      <c r="I125" s="259">
        <f>COUNTIF(I77:I121,"=U space")</f>
        <v>15</v>
      </c>
      <c r="J125" s="259"/>
      <c r="K125" s="259" t="s">
        <v>60</v>
      </c>
      <c r="L125" s="274">
        <v>3</v>
      </c>
      <c r="M125" s="33"/>
      <c r="N125" s="35"/>
      <c r="O125" s="33"/>
      <c r="P125" s="33"/>
      <c r="Q125" s="42"/>
      <c r="R125" s="43"/>
      <c r="S125" s="33"/>
      <c r="T125" s="34"/>
      <c r="U125" s="66"/>
      <c r="V125" s="46"/>
      <c r="W125" s="34"/>
      <c r="X125" s="34"/>
      <c r="Y125" s="34"/>
      <c r="Z125" s="65"/>
      <c r="AA125" s="34"/>
      <c r="AB125" s="47"/>
      <c r="AC125" s="48"/>
      <c r="AD125" s="34"/>
      <c r="AE125" s="34"/>
      <c r="AF125" s="49"/>
      <c r="AG125" s="34"/>
      <c r="AH125" s="50"/>
      <c r="AI125" s="51"/>
      <c r="AJ125" s="34"/>
      <c r="AK125" s="34"/>
      <c r="AL125" s="34"/>
      <c r="AM125" s="34"/>
      <c r="AN125" s="34"/>
      <c r="AO125" s="42"/>
      <c r="AP125" s="52"/>
      <c r="AQ125" s="52"/>
      <c r="AR125" s="53"/>
      <c r="AS125" s="52"/>
      <c r="AT125" s="54"/>
      <c r="AU125" s="55"/>
      <c r="AV125" s="55"/>
      <c r="AW125" s="67"/>
      <c r="AX125" s="68"/>
      <c r="AY125" s="69"/>
      <c r="AZ125" s="68"/>
      <c r="BA125" s="89"/>
      <c r="BB125" s="5"/>
      <c r="BC125" s="71"/>
      <c r="BD125" s="71"/>
      <c r="BE125" s="71"/>
      <c r="BF125" s="71"/>
      <c r="BG125" s="71"/>
      <c r="BH125" s="71"/>
      <c r="BI125" s="72"/>
      <c r="BJ125" s="72"/>
      <c r="BK125" s="72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</row>
    <row r="126" spans="1:79" s="16" customFormat="1" ht="13.5" thickBot="1" x14ac:dyDescent="0.35">
      <c r="A126" s="199"/>
      <c r="B126" s="32"/>
      <c r="C126" s="32"/>
      <c r="D126" s="32"/>
      <c r="E126" s="32"/>
      <c r="F126" s="32"/>
      <c r="G126" s="33"/>
      <c r="H126" s="275"/>
      <c r="I126" s="276"/>
      <c r="J126" s="276"/>
      <c r="K126" s="277" t="s">
        <v>0</v>
      </c>
      <c r="L126" s="278">
        <f>SUM(L123:L125)</f>
        <v>313.95238095238096</v>
      </c>
      <c r="M126" s="33"/>
      <c r="N126" s="35"/>
      <c r="O126" s="33"/>
      <c r="P126" s="33"/>
      <c r="Q126" s="42"/>
      <c r="R126" s="43"/>
      <c r="S126" s="33"/>
      <c r="T126" s="34"/>
      <c r="U126" s="66"/>
      <c r="V126" s="46"/>
      <c r="W126" s="34"/>
      <c r="X126" s="34"/>
      <c r="Y126" s="34"/>
      <c r="Z126" s="65"/>
      <c r="AA126" s="34"/>
      <c r="AB126" s="47"/>
      <c r="AC126" s="48"/>
      <c r="AD126" s="34"/>
      <c r="AE126" s="34"/>
      <c r="AF126" s="49"/>
      <c r="AG126" s="34"/>
      <c r="AH126" s="50"/>
      <c r="AI126" s="51"/>
      <c r="AJ126" s="34"/>
      <c r="AK126" s="34"/>
      <c r="AL126" s="34"/>
      <c r="AM126" s="34"/>
      <c r="AN126" s="34"/>
      <c r="AO126" s="42"/>
      <c r="AP126" s="52"/>
      <c r="AQ126" s="52"/>
      <c r="AR126" s="53"/>
      <c r="AS126" s="52"/>
      <c r="AT126" s="54"/>
      <c r="AU126" s="55"/>
      <c r="AV126" s="55"/>
      <c r="AW126" s="67"/>
      <c r="AX126" s="68"/>
      <c r="AY126" s="69"/>
      <c r="AZ126" s="68"/>
      <c r="BA126" s="89"/>
      <c r="BB126" s="5"/>
      <c r="BC126" s="71"/>
      <c r="BD126" s="71"/>
      <c r="BE126" s="71"/>
      <c r="BF126" s="71"/>
      <c r="BG126" s="71"/>
      <c r="BH126" s="71"/>
      <c r="BI126" s="72"/>
      <c r="BJ126" s="72"/>
      <c r="BK126" s="72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</row>
    <row r="127" spans="1:79" s="16" customFormat="1" x14ac:dyDescent="0.3">
      <c r="A127" s="199"/>
      <c r="B127" s="32"/>
      <c r="C127" s="32"/>
      <c r="D127" s="32"/>
      <c r="E127" s="32"/>
      <c r="F127" s="32"/>
      <c r="G127" s="33"/>
      <c r="H127" s="34"/>
      <c r="I127" s="33"/>
      <c r="J127" s="33"/>
      <c r="K127" s="31"/>
      <c r="L127" s="33"/>
      <c r="M127" s="33"/>
      <c r="N127" s="35"/>
      <c r="O127" s="33"/>
      <c r="P127" s="33"/>
      <c r="Q127" s="42"/>
      <c r="R127" s="43"/>
      <c r="S127" s="33"/>
      <c r="T127" s="34"/>
      <c r="U127" s="66"/>
      <c r="V127" s="46"/>
      <c r="W127" s="34"/>
      <c r="X127" s="34"/>
      <c r="Y127" s="34"/>
      <c r="Z127" s="65"/>
      <c r="AA127" s="34"/>
      <c r="AB127" s="47"/>
      <c r="AC127" s="48"/>
      <c r="AD127" s="34"/>
      <c r="AE127" s="34"/>
      <c r="AF127" s="49"/>
      <c r="AG127" s="34"/>
      <c r="AH127" s="50"/>
      <c r="AI127" s="51"/>
      <c r="AJ127" s="34"/>
      <c r="AK127" s="34"/>
      <c r="AL127" s="34"/>
      <c r="AM127" s="34"/>
      <c r="AN127" s="34"/>
      <c r="AO127" s="42"/>
      <c r="AP127" s="52"/>
      <c r="AQ127" s="52"/>
      <c r="AR127" s="53"/>
      <c r="AS127" s="52"/>
      <c r="AT127" s="54"/>
      <c r="AU127" s="55"/>
      <c r="AV127" s="55"/>
      <c r="AW127" s="67"/>
      <c r="AX127" s="68"/>
      <c r="AY127" s="69"/>
      <c r="AZ127" s="68"/>
      <c r="BA127" s="89"/>
      <c r="BB127" s="5"/>
      <c r="BC127" s="71"/>
      <c r="BD127" s="71"/>
      <c r="BE127" s="71"/>
      <c r="BF127" s="71"/>
      <c r="BG127" s="71"/>
      <c r="BH127" s="71"/>
      <c r="BI127" s="72"/>
      <c r="BJ127" s="72"/>
      <c r="BK127" s="72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</row>
    <row r="128" spans="1:79" s="16" customFormat="1" x14ac:dyDescent="0.3">
      <c r="A128" s="199" t="s">
        <v>130</v>
      </c>
      <c r="B128" s="81" t="s">
        <v>177</v>
      </c>
      <c r="C128" s="132" t="s">
        <v>330</v>
      </c>
      <c r="D128" s="132"/>
      <c r="E128" s="34">
        <v>5</v>
      </c>
      <c r="F128" s="34"/>
      <c r="G128" s="33" t="s">
        <v>11</v>
      </c>
      <c r="H128" s="34" t="s">
        <v>57</v>
      </c>
      <c r="I128" s="33" t="s">
        <v>3</v>
      </c>
      <c r="J128" s="33" t="s">
        <v>53</v>
      </c>
      <c r="K128" s="31" t="str">
        <f t="shared" ref="K128:K133" si="200">IF(I128="Rack","No of Racks",(IF(I128="Space","Sq Ft","U Space")))</f>
        <v>Sq Ft</v>
      </c>
      <c r="L128" s="33">
        <v>1200</v>
      </c>
      <c r="M128" s="33">
        <v>1200</v>
      </c>
      <c r="N128" s="35">
        <f>L128-M128</f>
        <v>0</v>
      </c>
      <c r="O128" s="33">
        <v>1200</v>
      </c>
      <c r="P128" s="33"/>
      <c r="Q128" s="42">
        <f>(11503.38)/12</f>
        <v>958.6149999999999</v>
      </c>
      <c r="R128" s="43" t="str">
        <f t="shared" ref="R128:R140" si="201">G128</f>
        <v>Rated</v>
      </c>
      <c r="S128" s="33" t="s">
        <v>54</v>
      </c>
      <c r="T128" s="34">
        <v>300</v>
      </c>
      <c r="U128" s="45">
        <v>252.43</v>
      </c>
      <c r="V128" s="46">
        <f>T128-U128</f>
        <v>47.569999999999993</v>
      </c>
      <c r="W128" s="34"/>
      <c r="X128" s="34">
        <f>IF(V128&lt;=0,0,(IF(R128="Rated",(V128+W128)*$X$1,(V128+W128))))</f>
        <v>23.784999999999997</v>
      </c>
      <c r="Y128" s="34">
        <f t="shared" ref="Y128:Y159" si="202">IF(R128="Rated",T128*$X$1,T128)</f>
        <v>150</v>
      </c>
      <c r="Z128" s="65">
        <f>AG128/28/24</f>
        <v>95.887336309523803</v>
      </c>
      <c r="AA128" s="34">
        <f>IF((V128*-1)&gt;0, (V128*-1), 0)</f>
        <v>0</v>
      </c>
      <c r="AB128" s="47">
        <f>0/12</f>
        <v>0</v>
      </c>
      <c r="AC128" s="48" t="str">
        <f>H128</f>
        <v>Metered</v>
      </c>
      <c r="AD128" s="34">
        <v>1</v>
      </c>
      <c r="AE128" s="34" t="s">
        <v>62</v>
      </c>
      <c r="AF128" s="49">
        <v>17.5</v>
      </c>
      <c r="AG128" s="34">
        <v>64436.29</v>
      </c>
      <c r="AH128" s="50" t="s">
        <v>55</v>
      </c>
      <c r="AI128" s="51" t="str">
        <f>IF(AH128="No of Seats","No of Seats",(IF(AH128="Space","Sq Ft","")))</f>
        <v>No of Seats</v>
      </c>
      <c r="AJ128" s="34">
        <v>5</v>
      </c>
      <c r="AK128" s="34">
        <v>5</v>
      </c>
      <c r="AL128" s="34">
        <f>AJ128-AK128</f>
        <v>0</v>
      </c>
      <c r="AM128" s="34">
        <v>5</v>
      </c>
      <c r="AN128" s="34"/>
      <c r="AO128" s="42">
        <f>(10000)/12</f>
        <v>833.33333333333337</v>
      </c>
      <c r="AP128" s="52">
        <f>Q128*O128</f>
        <v>1150337.9999999998</v>
      </c>
      <c r="AQ128" s="52">
        <f>AB128*AA128</f>
        <v>0</v>
      </c>
      <c r="AR128" s="53">
        <f>AG128*AF128*AD128</f>
        <v>1127635.075</v>
      </c>
      <c r="AS128" s="52">
        <f>AO128*AM128</f>
        <v>4166.666666666667</v>
      </c>
      <c r="AT128" s="54">
        <f>0/12</f>
        <v>0</v>
      </c>
      <c r="AU128" s="55">
        <f>SUBTOTAL(9,AP128:AT128)</f>
        <v>2282139.7416666662</v>
      </c>
      <c r="AV128" s="55"/>
      <c r="AW128" s="67">
        <v>121000871</v>
      </c>
      <c r="AX128" s="68"/>
      <c r="AY128" s="69"/>
      <c r="AZ128" s="68"/>
      <c r="BA128" s="89"/>
      <c r="BB128" s="5"/>
      <c r="BC128" s="29">
        <f>IF(I128="Rack",AU128/L128,0)+IF(I128="U Space",AU128*40/L128,0)+IF(I128="Space",AU128*30/L128,0)</f>
        <v>57053.493541666656</v>
      </c>
      <c r="BD128" s="29">
        <f>+AU128/Y128</f>
        <v>15214.264944444441</v>
      </c>
      <c r="BE128" s="25">
        <f>+($AP128+$AQ128+$AR128-BL128)/$Y128</f>
        <v>3531.9094788016378</v>
      </c>
      <c r="BF128" s="25">
        <f>+($AP128+$AQ128+$AR128-BM128)/$Y128</f>
        <v>3531.9094788016378</v>
      </c>
      <c r="BG128" s="25">
        <f>+($AP128+$AQ128+IF(H128="Bundled",0,Y128*0.85*AD128*AF128*30.5*24)-BN128)/$Y128</f>
        <v>3047.537787499999</v>
      </c>
      <c r="BH128" s="29"/>
      <c r="BI128" s="26">
        <f>+AP128+AQ128+AR128</f>
        <v>2277973.0749999997</v>
      </c>
      <c r="BJ128" s="26">
        <f>+BI128-BK128</f>
        <v>1150337.9999999998</v>
      </c>
      <c r="BK128" s="26">
        <f>IF(H128="Bundled",MIN(Y128*$AG$1*(1+#REF!),BI128),AR128)</f>
        <v>1127635.075</v>
      </c>
      <c r="BL128" s="27">
        <f t="shared" ref="BL128:BL140" si="203">IF($AG128&gt;0,$AG128*$AD$1*$AF$1*(1+$AI$1*(20/$AF$1)/732),$AG$1*Z128)</f>
        <v>1748186.653179754</v>
      </c>
      <c r="BM128" s="27">
        <f>IF($AG128&gt;0,$AG128*$AD$1*$AF$1*(1+$AI$1*(20/$AF$1)/732),+$AG$1*(Z128+X128))</f>
        <v>1748186.653179754</v>
      </c>
      <c r="BN128" s="27">
        <f>IF(H128="Bundled",$AG$1*Y128,$AG$1*Y128*0.85)</f>
        <v>2326482.3318750001</v>
      </c>
      <c r="BO128" s="27">
        <f>+BE128*Y128</f>
        <v>529786.42182024568</v>
      </c>
      <c r="BP128" s="27" t="e">
        <f>+#REF!*Y128</f>
        <v>#REF!</v>
      </c>
      <c r="BQ128" s="27" t="e">
        <f>+BJ128-BP128</f>
        <v>#REF!</v>
      </c>
      <c r="BR128" s="27">
        <f>+BK128-BL128</f>
        <v>-620551.57817975408</v>
      </c>
      <c r="BS128" s="27" t="e">
        <f>+BQ128+BR128</f>
        <v>#REF!</v>
      </c>
      <c r="BT128" s="27">
        <f>+Y128</f>
        <v>150</v>
      </c>
      <c r="BU128" s="27">
        <f>+BE128</f>
        <v>3531.9094788016378</v>
      </c>
      <c r="BV128" s="27">
        <f>IF(H128="Bundled",BN128-BL128,AR128-BL128)</f>
        <v>-620551.57817975408</v>
      </c>
      <c r="BW128" s="27" t="e">
        <f>IF(H128="Bundled",+(BG128-#REF!)*Y128,(AP128+AQ128)-Y128*#REF!)</f>
        <v>#REF!</v>
      </c>
      <c r="BX128" s="27" t="e">
        <f>+BV128+BW128</f>
        <v>#REF!</v>
      </c>
      <c r="BY128" s="27">
        <f t="shared" ref="BY128:CA129" si="204">+BV128/$BT128</f>
        <v>-4137.0105211983609</v>
      </c>
      <c r="BZ128" s="27" t="e">
        <f t="shared" si="204"/>
        <v>#REF!</v>
      </c>
      <c r="CA128" s="27" t="e">
        <f t="shared" si="204"/>
        <v>#REF!</v>
      </c>
    </row>
    <row r="129" spans="1:79" s="16" customFormat="1" x14ac:dyDescent="0.3">
      <c r="A129" s="199" t="s">
        <v>130</v>
      </c>
      <c r="B129" s="81" t="s">
        <v>130</v>
      </c>
      <c r="C129" s="32" t="s">
        <v>305</v>
      </c>
      <c r="D129" s="32" t="s">
        <v>405</v>
      </c>
      <c r="E129" s="32"/>
      <c r="F129" s="32"/>
      <c r="G129" s="33" t="s">
        <v>56</v>
      </c>
      <c r="H129" s="34" t="s">
        <v>57</v>
      </c>
      <c r="I129" s="33" t="s">
        <v>8</v>
      </c>
      <c r="J129" s="33" t="s">
        <v>61</v>
      </c>
      <c r="K129" s="31" t="str">
        <f t="shared" si="200"/>
        <v>No of Racks</v>
      </c>
      <c r="L129" s="33">
        <v>25</v>
      </c>
      <c r="M129" s="33">
        <v>25</v>
      </c>
      <c r="N129" s="35">
        <f>L129-M129</f>
        <v>0</v>
      </c>
      <c r="O129" s="33">
        <v>25</v>
      </c>
      <c r="P129" s="33"/>
      <c r="Q129" s="42">
        <f>(390000)/12</f>
        <v>32500</v>
      </c>
      <c r="R129" s="43" t="str">
        <f t="shared" si="201"/>
        <v>Subscribed</v>
      </c>
      <c r="S129" s="33" t="s">
        <v>58</v>
      </c>
      <c r="T129" s="34">
        <v>125</v>
      </c>
      <c r="U129" s="66">
        <f t="shared" ref="U129:U134" si="205">Z129</f>
        <v>82.305744047619044</v>
      </c>
      <c r="V129" s="46">
        <f>T129-U129</f>
        <v>42.694255952380956</v>
      </c>
      <c r="W129" s="34"/>
      <c r="X129" s="34">
        <f>IF(V129&lt;=0,0,(IF(R129="Rated",(V129+W129)*$X$1,(V129+W129))))</f>
        <v>42.694255952380956</v>
      </c>
      <c r="Y129" s="34">
        <f t="shared" si="202"/>
        <v>125</v>
      </c>
      <c r="Z129" s="65">
        <f t="shared" ref="Z129:Z134" si="206">AG129/28/24</f>
        <v>82.305744047619044</v>
      </c>
      <c r="AA129" s="34">
        <f>IF((V129*-1)&gt;0, (V129*-1), 0)</f>
        <v>0</v>
      </c>
      <c r="AB129" s="47">
        <f>95000/12</f>
        <v>7916.666666666667</v>
      </c>
      <c r="AC129" s="48" t="str">
        <f>H129</f>
        <v>Metered</v>
      </c>
      <c r="AD129" s="34">
        <v>1</v>
      </c>
      <c r="AE129" s="34" t="s">
        <v>62</v>
      </c>
      <c r="AF129" s="49">
        <v>16.5</v>
      </c>
      <c r="AG129" s="34">
        <v>55309.46</v>
      </c>
      <c r="AH129" s="50"/>
      <c r="AI129" s="51"/>
      <c r="AJ129" s="34"/>
      <c r="AK129" s="34"/>
      <c r="AL129" s="34">
        <f>AJ129-AK129</f>
        <v>0</v>
      </c>
      <c r="AM129" s="34"/>
      <c r="AN129" s="34"/>
      <c r="AO129" s="42">
        <f>(0)/12</f>
        <v>0</v>
      </c>
      <c r="AP129" s="52">
        <f>Q129*O129</f>
        <v>812500</v>
      </c>
      <c r="AQ129" s="52">
        <f>AB129*AA129</f>
        <v>0</v>
      </c>
      <c r="AR129" s="53">
        <f>AG129*AF129*AD129</f>
        <v>912606.09</v>
      </c>
      <c r="AS129" s="52">
        <f>AO129*AM129</f>
        <v>0</v>
      </c>
      <c r="AT129" s="54">
        <f>(70000+12500)/12</f>
        <v>6875</v>
      </c>
      <c r="AU129" s="55">
        <f>SUBTOTAL(9,AP129:AT129)</f>
        <v>1731981.0899999999</v>
      </c>
      <c r="AV129" s="55"/>
      <c r="AW129" s="67">
        <v>121001252</v>
      </c>
      <c r="AX129" s="68"/>
      <c r="AY129" s="69"/>
      <c r="AZ129" s="68"/>
      <c r="BA129" s="89"/>
      <c r="BB129" s="5"/>
      <c r="BC129" s="29">
        <f>IF(I129="Rack",AU129/L129,0)+IF(I129="U Space",AU129*40/L129,0)+IF(I129="Space",AU129*30/L129,0)</f>
        <v>69279.243599999987</v>
      </c>
      <c r="BD129" s="29">
        <f>+AU129/Y129</f>
        <v>13855.848719999998</v>
      </c>
      <c r="BE129" s="25">
        <f>+($AP129+$AQ129+$AR129-BL129)/$Y129</f>
        <v>1796.276791159343</v>
      </c>
      <c r="BF129" s="25">
        <f>+($AP129+$AQ129+$AR129-BM129)/$Y129</f>
        <v>1796.276791159343</v>
      </c>
      <c r="BG129" s="25">
        <f>+($AP129+$AQ129+IF(H129="Bundled",0,Y129*0.85*AD129*AF129*30.5*24)-BN129)/$Y129</f>
        <v>1256.4177874999996</v>
      </c>
      <c r="BH129" s="29"/>
      <c r="BI129" s="26">
        <f>+AP129+AQ129+AR129</f>
        <v>1725106.0899999999</v>
      </c>
      <c r="BJ129" s="26">
        <f>+BI129-BK129</f>
        <v>812499.99999999988</v>
      </c>
      <c r="BK129" s="26">
        <f>IF(H129="Bundled",MIN(Y129*$AG$1*(1+#REF!),BI129),AR129)</f>
        <v>912606.09</v>
      </c>
      <c r="BL129" s="27">
        <f t="shared" si="203"/>
        <v>1500571.491105082</v>
      </c>
      <c r="BM129" s="27">
        <f>IF($AG129&gt;0,$AG129*$AD$1*$AF$1*(1+$AI$1*(20/$AF$1)/732),+$AG$1*(Z129+X129))</f>
        <v>1500571.491105082</v>
      </c>
      <c r="BN129" s="27">
        <f>IF(H129="Bundled",$AG$1*Y129,$AG$1*Y129*0.85)</f>
        <v>1938735.2765625</v>
      </c>
      <c r="BO129" s="27">
        <f>+BE129*Y129</f>
        <v>224534.59889491787</v>
      </c>
      <c r="BP129" s="27" t="e">
        <f>+#REF!*Y129</f>
        <v>#REF!</v>
      </c>
      <c r="BQ129" s="27" t="e">
        <f>+BJ129-BP129</f>
        <v>#REF!</v>
      </c>
      <c r="BR129" s="27">
        <f>+BK129-BL129</f>
        <v>-587965.40110508201</v>
      </c>
      <c r="BS129" s="27" t="e">
        <f>+BQ129+BR129</f>
        <v>#REF!</v>
      </c>
      <c r="BT129" s="27">
        <f>+Y129</f>
        <v>125</v>
      </c>
      <c r="BU129" s="27">
        <f>+BE129</f>
        <v>1796.276791159343</v>
      </c>
      <c r="BV129" s="27">
        <f>IF(H129="Bundled",BN129-BL129,AR129-BL129)</f>
        <v>-587965.40110508201</v>
      </c>
      <c r="BW129" s="27" t="e">
        <f>IF(H129="Bundled",+(BG129-#REF!)*Y129,(AP129+AQ129)-Y129*#REF!)</f>
        <v>#REF!</v>
      </c>
      <c r="BX129" s="27" t="e">
        <f>+BV129+BW129</f>
        <v>#REF!</v>
      </c>
      <c r="BY129" s="27">
        <f t="shared" si="204"/>
        <v>-4703.7232088406563</v>
      </c>
      <c r="BZ129" s="27" t="e">
        <f t="shared" si="204"/>
        <v>#REF!</v>
      </c>
      <c r="CA129" s="27" t="e">
        <f t="shared" si="204"/>
        <v>#REF!</v>
      </c>
    </row>
    <row r="130" spans="1:79" s="16" customFormat="1" ht="26" x14ac:dyDescent="0.3">
      <c r="A130" s="199" t="s">
        <v>130</v>
      </c>
      <c r="B130" s="32" t="s">
        <v>476</v>
      </c>
      <c r="C130" s="32" t="s">
        <v>305</v>
      </c>
      <c r="D130" s="32" t="s">
        <v>405</v>
      </c>
      <c r="E130" s="32"/>
      <c r="F130" s="32"/>
      <c r="G130" s="33" t="s">
        <v>56</v>
      </c>
      <c r="H130" s="34" t="s">
        <v>52</v>
      </c>
      <c r="I130" s="33" t="s">
        <v>8</v>
      </c>
      <c r="J130" s="33" t="s">
        <v>61</v>
      </c>
      <c r="K130" s="31" t="str">
        <f t="shared" si="200"/>
        <v>No of Racks</v>
      </c>
      <c r="L130" s="33">
        <v>5</v>
      </c>
      <c r="M130" s="33">
        <v>5</v>
      </c>
      <c r="N130" s="35">
        <v>0</v>
      </c>
      <c r="O130" s="33">
        <v>5</v>
      </c>
      <c r="P130" s="33"/>
      <c r="Q130" s="133"/>
      <c r="R130" s="43" t="str">
        <f t="shared" si="201"/>
        <v>Subscribed</v>
      </c>
      <c r="S130" s="33" t="s">
        <v>58</v>
      </c>
      <c r="T130" s="34">
        <v>25</v>
      </c>
      <c r="U130" s="66">
        <f t="shared" si="205"/>
        <v>19.303229166666668</v>
      </c>
      <c r="V130" s="46">
        <f>T130-U130</f>
        <v>5.696770833333332</v>
      </c>
      <c r="W130" s="34"/>
      <c r="X130" s="34">
        <f>IF(V130&lt;=0,0,(IF(R130="Rated",(V130+W130)*$X$1,(V130+W130))))</f>
        <v>5.696770833333332</v>
      </c>
      <c r="Y130" s="34">
        <f t="shared" si="202"/>
        <v>25</v>
      </c>
      <c r="Z130" s="65">
        <f t="shared" si="206"/>
        <v>19.303229166666668</v>
      </c>
      <c r="AA130" s="34"/>
      <c r="AB130" s="47"/>
      <c r="AC130" s="48" t="s">
        <v>57</v>
      </c>
      <c r="AD130" s="34"/>
      <c r="AE130" s="34"/>
      <c r="AF130" s="49"/>
      <c r="AG130" s="34">
        <v>12971.77</v>
      </c>
      <c r="AH130" s="50"/>
      <c r="AI130" s="51"/>
      <c r="AJ130" s="34"/>
      <c r="AK130" s="34"/>
      <c r="AL130" s="34"/>
      <c r="AM130" s="34"/>
      <c r="AN130" s="34"/>
      <c r="AO130" s="42"/>
      <c r="AP130" s="52"/>
      <c r="AQ130" s="52"/>
      <c r="AR130" s="53"/>
      <c r="AS130" s="52"/>
      <c r="AT130" s="54"/>
      <c r="AU130" s="55"/>
      <c r="AV130" s="55"/>
      <c r="AW130" s="67"/>
      <c r="AX130" s="68"/>
      <c r="AY130" s="69"/>
      <c r="AZ130" s="68"/>
      <c r="BA130" s="89"/>
      <c r="BB130" s="5"/>
      <c r="BC130" s="59"/>
      <c r="BD130" s="59"/>
      <c r="BE130" s="59"/>
      <c r="BF130" s="59"/>
      <c r="BG130" s="59"/>
      <c r="BH130" s="59"/>
      <c r="BI130" s="60"/>
      <c r="BJ130" s="60"/>
      <c r="BK130" s="60"/>
      <c r="BL130" s="61">
        <f t="shared" si="203"/>
        <v>351930.1806810656</v>
      </c>
      <c r="BM130" s="61">
        <f>IF($AG130&gt;0,$AG130*$AD$1*$AF$1*(1+$AI$1*(20/$AF$1)/732),+$AG$1*(Z130+X130))</f>
        <v>351930.1806810656</v>
      </c>
      <c r="BN130" s="61">
        <f>IF(H130="Bundled",$AG$1*Y130,$AG$1*Y130*0.85)</f>
        <v>456173.00624999998</v>
      </c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</row>
    <row r="131" spans="1:79" s="16" customFormat="1" ht="26" x14ac:dyDescent="0.3">
      <c r="A131" s="199" t="s">
        <v>130</v>
      </c>
      <c r="B131" s="32" t="s">
        <v>500</v>
      </c>
      <c r="C131" s="32" t="s">
        <v>305</v>
      </c>
      <c r="D131" s="32" t="s">
        <v>405</v>
      </c>
      <c r="E131" s="32"/>
      <c r="F131" s="32"/>
      <c r="G131" s="33" t="s">
        <v>56</v>
      </c>
      <c r="H131" s="34" t="s">
        <v>52</v>
      </c>
      <c r="I131" s="33" t="s">
        <v>8</v>
      </c>
      <c r="J131" s="33" t="s">
        <v>61</v>
      </c>
      <c r="K131" s="31" t="str">
        <f t="shared" si="200"/>
        <v>No of Racks</v>
      </c>
      <c r="L131" s="33">
        <v>6</v>
      </c>
      <c r="M131" s="33">
        <v>6</v>
      </c>
      <c r="N131" s="35">
        <v>0</v>
      </c>
      <c r="O131" s="33">
        <v>6</v>
      </c>
      <c r="P131" s="33"/>
      <c r="Q131" s="133"/>
      <c r="R131" s="43" t="str">
        <f t="shared" si="201"/>
        <v>Subscribed</v>
      </c>
      <c r="S131" s="33" t="s">
        <v>58</v>
      </c>
      <c r="T131" s="34">
        <v>30</v>
      </c>
      <c r="U131" s="66">
        <f t="shared" si="205"/>
        <v>18.113764880952381</v>
      </c>
      <c r="V131" s="46">
        <f>T131-U131</f>
        <v>11.886235119047619</v>
      </c>
      <c r="W131" s="34"/>
      <c r="X131" s="34">
        <f>IF(V131&lt;=0,0,(IF(R131="Rated",(V131+W131)*$X$1,(V131+W131))))</f>
        <v>11.886235119047619</v>
      </c>
      <c r="Y131" s="34">
        <f t="shared" si="202"/>
        <v>30</v>
      </c>
      <c r="Z131" s="65">
        <f t="shared" si="206"/>
        <v>18.113764880952381</v>
      </c>
      <c r="AA131" s="34"/>
      <c r="AB131" s="47"/>
      <c r="AC131" s="48" t="s">
        <v>57</v>
      </c>
      <c r="AD131" s="34"/>
      <c r="AE131" s="34"/>
      <c r="AF131" s="49"/>
      <c r="AG131" s="34">
        <v>12172.45</v>
      </c>
      <c r="AH131" s="50"/>
      <c r="AI131" s="51"/>
      <c r="AJ131" s="34"/>
      <c r="AK131" s="34"/>
      <c r="AL131" s="34"/>
      <c r="AM131" s="34"/>
      <c r="AN131" s="34"/>
      <c r="AO131" s="42"/>
      <c r="AP131" s="52"/>
      <c r="AQ131" s="52"/>
      <c r="AR131" s="53"/>
      <c r="AS131" s="52"/>
      <c r="AT131" s="54"/>
      <c r="AU131" s="55"/>
      <c r="AV131" s="55"/>
      <c r="AW131" s="67"/>
      <c r="AX131" s="68"/>
      <c r="AY131" s="69"/>
      <c r="AZ131" s="68"/>
      <c r="BA131" s="89"/>
      <c r="BB131" s="5"/>
      <c r="BC131" s="59"/>
      <c r="BD131" s="59"/>
      <c r="BE131" s="59"/>
      <c r="BF131" s="59"/>
      <c r="BG131" s="59"/>
      <c r="BH131" s="59"/>
      <c r="BI131" s="60"/>
      <c r="BJ131" s="60"/>
      <c r="BK131" s="60"/>
      <c r="BL131" s="61">
        <f t="shared" si="203"/>
        <v>330244.25562827865</v>
      </c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</row>
    <row r="132" spans="1:79" s="16" customFormat="1" x14ac:dyDescent="0.3">
      <c r="A132" s="199" t="s">
        <v>130</v>
      </c>
      <c r="B132" s="32" t="s">
        <v>502</v>
      </c>
      <c r="C132" s="32" t="s">
        <v>501</v>
      </c>
      <c r="D132" s="32"/>
      <c r="E132" s="32"/>
      <c r="F132" s="367">
        <v>45823</v>
      </c>
      <c r="G132" s="33" t="s">
        <v>56</v>
      </c>
      <c r="H132" s="34" t="s">
        <v>52</v>
      </c>
      <c r="I132" s="33" t="s">
        <v>8</v>
      </c>
      <c r="J132" s="33" t="s">
        <v>61</v>
      </c>
      <c r="K132" s="31" t="str">
        <f t="shared" si="200"/>
        <v>No of Racks</v>
      </c>
      <c r="L132" s="33">
        <v>7</v>
      </c>
      <c r="M132" s="33">
        <v>7</v>
      </c>
      <c r="N132" s="35">
        <v>0</v>
      </c>
      <c r="O132" s="33">
        <v>7</v>
      </c>
      <c r="P132" s="33"/>
      <c r="Q132" s="133"/>
      <c r="R132" s="43" t="str">
        <f t="shared" si="201"/>
        <v>Subscribed</v>
      </c>
      <c r="S132" s="33" t="s">
        <v>58</v>
      </c>
      <c r="T132" s="34">
        <v>21</v>
      </c>
      <c r="U132" s="66">
        <f t="shared" si="205"/>
        <v>6.1875148809523814</v>
      </c>
      <c r="V132" s="46"/>
      <c r="W132" s="34"/>
      <c r="X132" s="34"/>
      <c r="Y132" s="34">
        <f t="shared" si="202"/>
        <v>21</v>
      </c>
      <c r="Z132" s="65">
        <f t="shared" si="206"/>
        <v>6.1875148809523814</v>
      </c>
      <c r="AA132" s="34"/>
      <c r="AB132" s="47"/>
      <c r="AC132" s="48"/>
      <c r="AD132" s="34"/>
      <c r="AE132" s="34"/>
      <c r="AF132" s="49"/>
      <c r="AG132" s="34">
        <v>4158.01</v>
      </c>
      <c r="AH132" s="50"/>
      <c r="AI132" s="51"/>
      <c r="AJ132" s="34"/>
      <c r="AK132" s="34"/>
      <c r="AL132" s="34"/>
      <c r="AM132" s="34"/>
      <c r="AN132" s="34"/>
      <c r="AO132" s="42"/>
      <c r="AP132" s="52"/>
      <c r="AQ132" s="52"/>
      <c r="AR132" s="53"/>
      <c r="AS132" s="52"/>
      <c r="AT132" s="54"/>
      <c r="AU132" s="55"/>
      <c r="AV132" s="55"/>
      <c r="AW132" s="67"/>
      <c r="AX132" s="68"/>
      <c r="AY132" s="69"/>
      <c r="AZ132" s="68"/>
      <c r="BA132" s="89"/>
      <c r="BB132" s="5"/>
      <c r="BC132" s="59"/>
      <c r="BD132" s="59"/>
      <c r="BE132" s="59"/>
      <c r="BF132" s="59"/>
      <c r="BG132" s="59"/>
      <c r="BH132" s="59"/>
      <c r="BI132" s="60"/>
      <c r="BJ132" s="60"/>
      <c r="BK132" s="60"/>
      <c r="BL132" s="61">
        <f t="shared" si="203"/>
        <v>112808.75397680329</v>
      </c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</row>
    <row r="133" spans="1:79" s="16" customFormat="1" x14ac:dyDescent="0.3">
      <c r="A133" s="199" t="s">
        <v>130</v>
      </c>
      <c r="B133" s="81" t="s">
        <v>482</v>
      </c>
      <c r="C133" s="279" t="s">
        <v>331</v>
      </c>
      <c r="D133" s="279" t="s">
        <v>405</v>
      </c>
      <c r="E133" s="34">
        <v>7</v>
      </c>
      <c r="F133" s="34"/>
      <c r="G133" s="33" t="s">
        <v>56</v>
      </c>
      <c r="H133" s="34" t="s">
        <v>57</v>
      </c>
      <c r="I133" s="33" t="s">
        <v>3</v>
      </c>
      <c r="J133" s="33" t="s">
        <v>53</v>
      </c>
      <c r="K133" s="31" t="str">
        <f t="shared" si="200"/>
        <v>Sq Ft</v>
      </c>
      <c r="L133" s="175">
        <v>416</v>
      </c>
      <c r="M133" s="33">
        <v>416</v>
      </c>
      <c r="N133" s="35">
        <f t="shared" ref="N133:N157" si="207">L133-M133</f>
        <v>0</v>
      </c>
      <c r="O133" s="33">
        <v>20</v>
      </c>
      <c r="P133" s="33"/>
      <c r="Q133" s="42">
        <f>(3866280)/12</f>
        <v>322190</v>
      </c>
      <c r="R133" s="43" t="str">
        <f t="shared" si="201"/>
        <v>Subscribed</v>
      </c>
      <c r="S133" s="33" t="s">
        <v>58</v>
      </c>
      <c r="T133" s="34">
        <v>72</v>
      </c>
      <c r="U133" s="66">
        <f t="shared" si="205"/>
        <v>45.421443452380949</v>
      </c>
      <c r="V133" s="46">
        <f t="shared" ref="V133:V159" si="208">T133-U133</f>
        <v>26.578556547619051</v>
      </c>
      <c r="W133" s="34"/>
      <c r="X133" s="34">
        <f t="shared" ref="X133:X159" si="209">IF(V133&lt;=0,0,(IF(R133="Rated",(V133+W133)*$X$1,(V133+W133))))</f>
        <v>26.578556547619051</v>
      </c>
      <c r="Y133" s="34">
        <f t="shared" si="202"/>
        <v>72</v>
      </c>
      <c r="Z133" s="65">
        <f t="shared" si="206"/>
        <v>45.421443452380949</v>
      </c>
      <c r="AA133" s="34">
        <f t="shared" ref="AA133:AA143" si="210">IF((V133*-1)&gt;0, (V133*-1), 0)</f>
        <v>0</v>
      </c>
      <c r="AB133" s="47">
        <f>70000/12</f>
        <v>5833.333333333333</v>
      </c>
      <c r="AC133" s="48" t="str">
        <f t="shared" ref="AC133:AC159" si="211">H133</f>
        <v>Metered</v>
      </c>
      <c r="AD133" s="34">
        <v>1</v>
      </c>
      <c r="AE133" s="34" t="s">
        <v>62</v>
      </c>
      <c r="AF133" s="49">
        <v>13.571</v>
      </c>
      <c r="AG133" s="34">
        <v>30523.21</v>
      </c>
      <c r="AH133" s="50" t="s">
        <v>55</v>
      </c>
      <c r="AI133" s="51" t="s">
        <v>55</v>
      </c>
      <c r="AJ133" s="34">
        <v>7</v>
      </c>
      <c r="AK133" s="34">
        <v>7</v>
      </c>
      <c r="AL133" s="34">
        <f t="shared" ref="AL133:AL143" si="212">AJ133-AK133</f>
        <v>0</v>
      </c>
      <c r="AM133" s="34">
        <v>7</v>
      </c>
      <c r="AN133" s="34"/>
      <c r="AO133" s="42">
        <f>(160000+200000)/12/7</f>
        <v>4285.7142857142853</v>
      </c>
      <c r="AP133" s="52">
        <f t="shared" ref="AP133:AP143" si="213">Q133*O133</f>
        <v>6443800</v>
      </c>
      <c r="AQ133" s="52">
        <f t="shared" ref="AQ133:AQ143" si="214">AB133*AA133</f>
        <v>0</v>
      </c>
      <c r="AR133" s="53">
        <f t="shared" ref="AR133:AR143" si="215">AG133*AF133*AD133</f>
        <v>414230.48290999996</v>
      </c>
      <c r="AS133" s="52">
        <f t="shared" ref="AS133:AS143" si="216">AO133*AM133</f>
        <v>29999.999999999996</v>
      </c>
      <c r="AT133" s="54">
        <f t="shared" ref="AT133:AT140" si="217">0/12</f>
        <v>0</v>
      </c>
      <c r="AU133" s="55">
        <f t="shared" ref="AU133:AU143" si="218">SUBTOTAL(9,AP133:AT133)</f>
        <v>6888030.4829099998</v>
      </c>
      <c r="AV133" s="55"/>
      <c r="AW133" s="67"/>
      <c r="AX133" s="68"/>
      <c r="AY133" s="69"/>
      <c r="AZ133" s="68"/>
      <c r="BA133" s="89"/>
      <c r="BB133" s="5"/>
      <c r="BC133" s="29">
        <f t="shared" ref="BC133:BC143" si="219">IF(I133="Rack",AU133/L133,0)+IF(I133="U Space",AU133*40/L133,0)+IF(I133="Space",AU133*30/L133,0)</f>
        <v>496732.96751754801</v>
      </c>
      <c r="BD133" s="29">
        <f t="shared" ref="BD133:BD143" si="220">+AU133/Y133</f>
        <v>95667.09004041666</v>
      </c>
      <c r="BE133" s="25">
        <f t="shared" ref="BE133:BF140" si="221">+($AP133+$AQ133+$AR133-BL133)/$Y133</f>
        <v>83748.910205083099</v>
      </c>
      <c r="BF133" s="25">
        <f t="shared" si="221"/>
        <v>83748.910205083099</v>
      </c>
      <c r="BG133" s="25">
        <f t="shared" ref="BG133:BG140" si="222">+($AP133+$AQ133+IF(H133="Bundled",0,Y133*0.85*AD133*AF133*30.5*24)-BN133)/$Y133</f>
        <v>82431.216209722232</v>
      </c>
      <c r="BH133" s="29"/>
      <c r="BI133" s="26">
        <f t="shared" ref="BI133:BI143" si="223">+AP133+AQ133+AR133</f>
        <v>6858030.4829099998</v>
      </c>
      <c r="BJ133" s="26">
        <f t="shared" ref="BJ133:BJ143" si="224">+BI133-BK133</f>
        <v>6443800</v>
      </c>
      <c r="BK133" s="26">
        <f>IF(H133="Bundled",MIN(Y133*$AG$1*(1+#REF!),BI133),AR133)</f>
        <v>414230.48290999996</v>
      </c>
      <c r="BL133" s="27">
        <f t="shared" si="203"/>
        <v>828108.94814401644</v>
      </c>
      <c r="BM133" s="27">
        <f t="shared" ref="BM133:BM140" si="225">IF($AG133&gt;0,$AG133*$AD$1*$AF$1*(1+$AI$1*(20/$AF$1)/732),+$AG$1*(Z133+X133))</f>
        <v>828108.94814401644</v>
      </c>
      <c r="BN133" s="27">
        <f t="shared" ref="BN133:BN159" si="226">IF(H133="Bundled",$AG$1*Y133,$AG$1*Y133*0.85)</f>
        <v>1116711.5192999998</v>
      </c>
      <c r="BO133" s="27">
        <f t="shared" ref="BO133:BO143" si="227">+BE133*Y133</f>
        <v>6029921.534765983</v>
      </c>
      <c r="BP133" s="27" t="e">
        <f>+#REF!*Y133</f>
        <v>#REF!</v>
      </c>
      <c r="BQ133" s="27" t="e">
        <f t="shared" ref="BQ133:BQ143" si="228">+BJ133-BP133</f>
        <v>#REF!</v>
      </c>
      <c r="BR133" s="27">
        <f t="shared" ref="BR133:BR143" si="229">+BK133-BL133</f>
        <v>-413878.46523401648</v>
      </c>
      <c r="BS133" s="27" t="e">
        <f t="shared" ref="BS133:BS143" si="230">+BQ133+BR133</f>
        <v>#REF!</v>
      </c>
      <c r="BT133" s="27">
        <f t="shared" ref="BT133:BT159" si="231">+Y133</f>
        <v>72</v>
      </c>
      <c r="BU133" s="27">
        <f t="shared" ref="BU133:BU143" si="232">+BE133</f>
        <v>83748.910205083099</v>
      </c>
      <c r="BV133" s="27">
        <f t="shared" ref="BV133:BV143" si="233">IF(H133="Bundled",BN133-BL133,AR133-BL133)</f>
        <v>-413878.46523401648</v>
      </c>
      <c r="BW133" s="27" t="e">
        <f>IF(H133="Bundled",+(BG133-#REF!)*Y133,(AP133+AQ133)-Y133*#REF!)</f>
        <v>#REF!</v>
      </c>
      <c r="BX133" s="27" t="e">
        <f t="shared" ref="BX133:BX143" si="234">+BV133+BW133</f>
        <v>#REF!</v>
      </c>
      <c r="BY133" s="27">
        <f t="shared" ref="BY133:CA140" si="235">+BV133/$BT133</f>
        <v>-5748.3120171391174</v>
      </c>
      <c r="BZ133" s="27" t="e">
        <f t="shared" si="235"/>
        <v>#REF!</v>
      </c>
      <c r="CA133" s="27" t="e">
        <f t="shared" si="235"/>
        <v>#REF!</v>
      </c>
    </row>
    <row r="134" spans="1:79" s="16" customFormat="1" x14ac:dyDescent="0.3">
      <c r="A134" s="199" t="s">
        <v>130</v>
      </c>
      <c r="B134" s="44" t="s">
        <v>130</v>
      </c>
      <c r="C134" s="132" t="s">
        <v>309</v>
      </c>
      <c r="D134" s="132" t="s">
        <v>405</v>
      </c>
      <c r="E134" s="132"/>
      <c r="F134" s="132"/>
      <c r="G134" s="33" t="s">
        <v>56</v>
      </c>
      <c r="H134" s="34" t="s">
        <v>57</v>
      </c>
      <c r="I134" s="33" t="s">
        <v>3</v>
      </c>
      <c r="J134" s="33" t="s">
        <v>53</v>
      </c>
      <c r="K134" s="31" t="s">
        <v>479</v>
      </c>
      <c r="L134" s="33">
        <v>904</v>
      </c>
      <c r="M134" s="33">
        <v>904</v>
      </c>
      <c r="N134" s="35">
        <f t="shared" si="207"/>
        <v>0</v>
      </c>
      <c r="O134" s="33">
        <v>19</v>
      </c>
      <c r="P134" s="33"/>
      <c r="Q134" s="42">
        <f>(0)/12</f>
        <v>0</v>
      </c>
      <c r="R134" s="43" t="str">
        <f t="shared" si="201"/>
        <v>Subscribed</v>
      </c>
      <c r="S134" s="33" t="s">
        <v>58</v>
      </c>
      <c r="T134" s="34">
        <v>119</v>
      </c>
      <c r="U134" s="66">
        <f t="shared" si="205"/>
        <v>110.23504464285713</v>
      </c>
      <c r="V134" s="46">
        <f t="shared" si="208"/>
        <v>8.7649553571428669</v>
      </c>
      <c r="W134" s="34"/>
      <c r="X134" s="34">
        <f t="shared" si="209"/>
        <v>8.7649553571428669</v>
      </c>
      <c r="Y134" s="34">
        <f t="shared" si="202"/>
        <v>119</v>
      </c>
      <c r="Z134" s="65">
        <f t="shared" si="206"/>
        <v>110.23504464285713</v>
      </c>
      <c r="AA134" s="34">
        <f t="shared" si="210"/>
        <v>0</v>
      </c>
      <c r="AB134" s="47">
        <v>0</v>
      </c>
      <c r="AC134" s="48" t="str">
        <f t="shared" si="211"/>
        <v>Metered</v>
      </c>
      <c r="AD134" s="34">
        <v>1.7</v>
      </c>
      <c r="AE134" s="34" t="s">
        <v>62</v>
      </c>
      <c r="AF134" s="49"/>
      <c r="AG134" s="34">
        <v>74077.95</v>
      </c>
      <c r="AH134" s="50"/>
      <c r="AI134" s="51"/>
      <c r="AJ134" s="34"/>
      <c r="AK134" s="34"/>
      <c r="AL134" s="34">
        <f t="shared" si="212"/>
        <v>0</v>
      </c>
      <c r="AM134" s="34"/>
      <c r="AN134" s="34"/>
      <c r="AO134" s="42">
        <f t="shared" ref="AO134" si="236">(0)/12</f>
        <v>0</v>
      </c>
      <c r="AP134" s="52">
        <f t="shared" si="213"/>
        <v>0</v>
      </c>
      <c r="AQ134" s="52">
        <f t="shared" si="214"/>
        <v>0</v>
      </c>
      <c r="AR134" s="53">
        <f t="shared" si="215"/>
        <v>0</v>
      </c>
      <c r="AS134" s="52">
        <f t="shared" si="216"/>
        <v>0</v>
      </c>
      <c r="AT134" s="54">
        <f t="shared" si="217"/>
        <v>0</v>
      </c>
      <c r="AU134" s="55">
        <f t="shared" si="218"/>
        <v>0</v>
      </c>
      <c r="AV134" s="55"/>
      <c r="AW134" s="67"/>
      <c r="AX134" s="68"/>
      <c r="AY134" s="69"/>
      <c r="AZ134" s="68"/>
      <c r="BA134" s="89"/>
      <c r="BB134" s="5"/>
      <c r="BC134" s="29">
        <f t="shared" si="219"/>
        <v>0</v>
      </c>
      <c r="BD134" s="29">
        <f t="shared" si="220"/>
        <v>0</v>
      </c>
      <c r="BE134" s="25">
        <f t="shared" si="221"/>
        <v>-16888.818434367684</v>
      </c>
      <c r="BF134" s="25">
        <f t="shared" si="221"/>
        <v>-16888.818434367684</v>
      </c>
      <c r="BG134" s="25">
        <f t="shared" si="222"/>
        <v>-15509.882212499999</v>
      </c>
      <c r="BH134" s="29"/>
      <c r="BI134" s="26">
        <f t="shared" si="223"/>
        <v>0</v>
      </c>
      <c r="BJ134" s="26">
        <f t="shared" si="224"/>
        <v>0</v>
      </c>
      <c r="BK134" s="26">
        <f>IF(H134="Bundled",MIN(Y134*$AG$1*(1+#REF!),BI134),AR134)</f>
        <v>0</v>
      </c>
      <c r="BL134" s="27">
        <f t="shared" si="203"/>
        <v>2009769.3936897542</v>
      </c>
      <c r="BM134" s="27">
        <f t="shared" si="225"/>
        <v>2009769.3936897542</v>
      </c>
      <c r="BN134" s="27">
        <f t="shared" si="226"/>
        <v>1845675.9832874998</v>
      </c>
      <c r="BO134" s="27">
        <f t="shared" si="227"/>
        <v>-2009769.3936897544</v>
      </c>
      <c r="BP134" s="27" t="e">
        <f>+#REF!*Y134</f>
        <v>#REF!</v>
      </c>
      <c r="BQ134" s="27" t="e">
        <f t="shared" si="228"/>
        <v>#REF!</v>
      </c>
      <c r="BR134" s="27">
        <f t="shared" si="229"/>
        <v>-2009769.3936897542</v>
      </c>
      <c r="BS134" s="27" t="e">
        <f t="shared" si="230"/>
        <v>#REF!</v>
      </c>
      <c r="BT134" s="27">
        <f t="shared" si="231"/>
        <v>119</v>
      </c>
      <c r="BU134" s="27">
        <f t="shared" si="232"/>
        <v>-16888.818434367684</v>
      </c>
      <c r="BV134" s="27">
        <f t="shared" si="233"/>
        <v>-2009769.3936897542</v>
      </c>
      <c r="BW134" s="27" t="e">
        <f>IF(H134="Bundled",+(BG134-#REF!)*Y134,(AP134+AQ134)-Y134*#REF!)</f>
        <v>#REF!</v>
      </c>
      <c r="BX134" s="27" t="e">
        <f t="shared" si="234"/>
        <v>#REF!</v>
      </c>
      <c r="BY134" s="27">
        <f t="shared" si="235"/>
        <v>-16888.818434367684</v>
      </c>
      <c r="BZ134" s="27" t="e">
        <f t="shared" si="235"/>
        <v>#REF!</v>
      </c>
      <c r="CA134" s="27" t="e">
        <f t="shared" si="235"/>
        <v>#REF!</v>
      </c>
    </row>
    <row r="135" spans="1:79" s="16" customFormat="1" x14ac:dyDescent="0.3">
      <c r="A135" s="199" t="s">
        <v>130</v>
      </c>
      <c r="B135" s="81" t="s">
        <v>170</v>
      </c>
      <c r="C135" s="279" t="s">
        <v>380</v>
      </c>
      <c r="D135" s="279" t="s">
        <v>405</v>
      </c>
      <c r="E135" s="279"/>
      <c r="F135" s="279"/>
      <c r="G135" s="33" t="s">
        <v>11</v>
      </c>
      <c r="H135" s="34" t="s">
        <v>52</v>
      </c>
      <c r="I135" s="33" t="s">
        <v>8</v>
      </c>
      <c r="J135" s="33" t="s">
        <v>61</v>
      </c>
      <c r="K135" s="31" t="str">
        <f t="shared" ref="K135:K157" si="237">IF(I135="Rack","No of Racks",(IF(I135="Space","Sq Ft","U Space")))</f>
        <v>No of Racks</v>
      </c>
      <c r="L135" s="33">
        <v>4</v>
      </c>
      <c r="M135" s="33">
        <v>4</v>
      </c>
      <c r="N135" s="35">
        <f t="shared" si="207"/>
        <v>0</v>
      </c>
      <c r="O135" s="33">
        <v>4</v>
      </c>
      <c r="P135" s="33"/>
      <c r="Q135" s="42">
        <f>(883647)/12</f>
        <v>73637.25</v>
      </c>
      <c r="R135" s="43" t="str">
        <f t="shared" si="201"/>
        <v>Rated</v>
      </c>
      <c r="S135" s="33" t="s">
        <v>54</v>
      </c>
      <c r="T135" s="34">
        <v>40</v>
      </c>
      <c r="U135" s="45">
        <v>45.34</v>
      </c>
      <c r="V135" s="46">
        <f t="shared" si="208"/>
        <v>-5.3400000000000034</v>
      </c>
      <c r="W135" s="34"/>
      <c r="X135" s="34">
        <f t="shared" si="209"/>
        <v>0</v>
      </c>
      <c r="Y135" s="34">
        <f t="shared" si="202"/>
        <v>20</v>
      </c>
      <c r="Z135" s="65">
        <v>12.98</v>
      </c>
      <c r="AA135" s="34">
        <f t="shared" si="210"/>
        <v>5.3400000000000034</v>
      </c>
      <c r="AB135" s="47">
        <f>99000/12</f>
        <v>8250</v>
      </c>
      <c r="AC135" s="48" t="str">
        <f t="shared" si="211"/>
        <v>Bundled</v>
      </c>
      <c r="AD135" s="34"/>
      <c r="AE135" s="34"/>
      <c r="AF135" s="49"/>
      <c r="AG135" s="34"/>
      <c r="AH135" s="50"/>
      <c r="AI135" s="51"/>
      <c r="AJ135" s="34"/>
      <c r="AK135" s="34"/>
      <c r="AL135" s="34">
        <f t="shared" si="212"/>
        <v>0</v>
      </c>
      <c r="AM135" s="34"/>
      <c r="AN135" s="34"/>
      <c r="AO135" s="42">
        <f>(0)/12</f>
        <v>0</v>
      </c>
      <c r="AP135" s="52">
        <f t="shared" si="213"/>
        <v>294549</v>
      </c>
      <c r="AQ135" s="52">
        <f t="shared" si="214"/>
        <v>44055.000000000029</v>
      </c>
      <c r="AR135" s="53">
        <f t="shared" si="215"/>
        <v>0</v>
      </c>
      <c r="AS135" s="52">
        <f t="shared" si="216"/>
        <v>0</v>
      </c>
      <c r="AT135" s="54">
        <f t="shared" si="217"/>
        <v>0</v>
      </c>
      <c r="AU135" s="55">
        <f t="shared" si="218"/>
        <v>338604</v>
      </c>
      <c r="AV135" s="55"/>
      <c r="AW135" s="67"/>
      <c r="AX135" s="68"/>
      <c r="AY135" s="69"/>
      <c r="AZ135" s="68"/>
      <c r="BA135" s="89"/>
      <c r="BB135" s="5"/>
      <c r="BC135" s="29">
        <f t="shared" si="219"/>
        <v>84651</v>
      </c>
      <c r="BD135" s="29">
        <f t="shared" si="220"/>
        <v>16930.2</v>
      </c>
      <c r="BE135" s="25">
        <f t="shared" si="221"/>
        <v>5087.9487577499995</v>
      </c>
      <c r="BF135" s="25">
        <f t="shared" si="221"/>
        <v>5087.9487577499995</v>
      </c>
      <c r="BG135" s="25">
        <f t="shared" si="222"/>
        <v>-1316.7202499999985</v>
      </c>
      <c r="BH135" s="29"/>
      <c r="BI135" s="26">
        <f t="shared" si="223"/>
        <v>338604</v>
      </c>
      <c r="BJ135" s="26" t="e">
        <f t="shared" si="224"/>
        <v>#REF!</v>
      </c>
      <c r="BK135" s="26" t="e">
        <f>IF(H135="Bundled",MIN(Y135*$AG$1*(1+#REF!),BI135),AR135)</f>
        <v>#REF!</v>
      </c>
      <c r="BL135" s="27">
        <f t="shared" si="203"/>
        <v>236845.02484500001</v>
      </c>
      <c r="BM135" s="27">
        <f t="shared" si="225"/>
        <v>236845.02484500001</v>
      </c>
      <c r="BN135" s="27">
        <f t="shared" si="226"/>
        <v>364938.40499999997</v>
      </c>
      <c r="BO135" s="27">
        <f t="shared" si="227"/>
        <v>101758.97515499999</v>
      </c>
      <c r="BP135" s="27" t="e">
        <f>+#REF!*Y135</f>
        <v>#REF!</v>
      </c>
      <c r="BQ135" s="27" t="e">
        <f t="shared" si="228"/>
        <v>#REF!</v>
      </c>
      <c r="BR135" s="27" t="e">
        <f t="shared" si="229"/>
        <v>#REF!</v>
      </c>
      <c r="BS135" s="27" t="e">
        <f t="shared" si="230"/>
        <v>#REF!</v>
      </c>
      <c r="BT135" s="27">
        <f t="shared" si="231"/>
        <v>20</v>
      </c>
      <c r="BU135" s="27">
        <f t="shared" si="232"/>
        <v>5087.9487577499995</v>
      </c>
      <c r="BV135" s="27">
        <f t="shared" si="233"/>
        <v>128093.38015499996</v>
      </c>
      <c r="BW135" s="27" t="e">
        <f>IF(H135="Bundled",+(BG135-#REF!)*Y135,(AP135+AQ135)-Y135*#REF!)</f>
        <v>#REF!</v>
      </c>
      <c r="BX135" s="27" t="e">
        <f t="shared" si="234"/>
        <v>#REF!</v>
      </c>
      <c r="BY135" s="27">
        <f t="shared" si="235"/>
        <v>6404.6690077499979</v>
      </c>
      <c r="BZ135" s="27" t="e">
        <f t="shared" si="235"/>
        <v>#REF!</v>
      </c>
      <c r="CA135" s="27" t="e">
        <f t="shared" si="235"/>
        <v>#REF!</v>
      </c>
    </row>
    <row r="136" spans="1:79" s="16" customFormat="1" x14ac:dyDescent="0.3">
      <c r="A136" s="199" t="s">
        <v>130</v>
      </c>
      <c r="B136" s="81" t="s">
        <v>215</v>
      </c>
      <c r="C136" s="279" t="s">
        <v>380</v>
      </c>
      <c r="D136" s="279" t="s">
        <v>405</v>
      </c>
      <c r="E136" s="279"/>
      <c r="F136" s="279"/>
      <c r="G136" s="33" t="s">
        <v>11</v>
      </c>
      <c r="H136" s="34" t="s">
        <v>52</v>
      </c>
      <c r="I136" s="33" t="s">
        <v>8</v>
      </c>
      <c r="J136" s="33" t="s">
        <v>61</v>
      </c>
      <c r="K136" s="31" t="str">
        <f t="shared" si="237"/>
        <v>No of Racks</v>
      </c>
      <c r="L136" s="33">
        <v>1</v>
      </c>
      <c r="M136" s="33">
        <v>1</v>
      </c>
      <c r="N136" s="35">
        <f t="shared" si="207"/>
        <v>0</v>
      </c>
      <c r="O136" s="33">
        <v>1</v>
      </c>
      <c r="P136" s="33"/>
      <c r="Q136" s="42"/>
      <c r="R136" s="43" t="str">
        <f t="shared" si="201"/>
        <v>Rated</v>
      </c>
      <c r="S136" s="33" t="s">
        <v>54</v>
      </c>
      <c r="T136" s="34">
        <v>6</v>
      </c>
      <c r="U136" s="45">
        <v>7.54</v>
      </c>
      <c r="V136" s="46">
        <f t="shared" si="208"/>
        <v>-1.54</v>
      </c>
      <c r="W136" s="34"/>
      <c r="X136" s="34">
        <f t="shared" si="209"/>
        <v>0</v>
      </c>
      <c r="Y136" s="34">
        <f t="shared" si="202"/>
        <v>3</v>
      </c>
      <c r="Z136" s="65">
        <v>3.03</v>
      </c>
      <c r="AA136" s="34">
        <f t="shared" si="210"/>
        <v>1.54</v>
      </c>
      <c r="AB136" s="47">
        <f>99000/12</f>
        <v>8250</v>
      </c>
      <c r="AC136" s="48" t="str">
        <f t="shared" si="211"/>
        <v>Bundled</v>
      </c>
      <c r="AD136" s="34"/>
      <c r="AE136" s="34"/>
      <c r="AF136" s="49"/>
      <c r="AG136" s="34"/>
      <c r="AH136" s="50"/>
      <c r="AI136" s="51"/>
      <c r="AJ136" s="34"/>
      <c r="AK136" s="34"/>
      <c r="AL136" s="34">
        <f t="shared" si="212"/>
        <v>0</v>
      </c>
      <c r="AM136" s="34"/>
      <c r="AN136" s="34"/>
      <c r="AO136" s="42">
        <f>(0)/12</f>
        <v>0</v>
      </c>
      <c r="AP136" s="52">
        <f t="shared" si="213"/>
        <v>0</v>
      </c>
      <c r="AQ136" s="52">
        <f t="shared" si="214"/>
        <v>12705</v>
      </c>
      <c r="AR136" s="53">
        <f t="shared" si="215"/>
        <v>0</v>
      </c>
      <c r="AS136" s="52">
        <f t="shared" si="216"/>
        <v>0</v>
      </c>
      <c r="AT136" s="54">
        <f t="shared" si="217"/>
        <v>0</v>
      </c>
      <c r="AU136" s="55">
        <f t="shared" si="218"/>
        <v>12705</v>
      </c>
      <c r="AV136" s="55"/>
      <c r="AW136" s="67"/>
      <c r="AX136" s="68"/>
      <c r="AY136" s="69"/>
      <c r="AZ136" s="68"/>
      <c r="BA136" s="89"/>
      <c r="BB136" s="5"/>
      <c r="BC136" s="29">
        <f t="shared" si="219"/>
        <v>12705</v>
      </c>
      <c r="BD136" s="29">
        <f t="shared" si="220"/>
        <v>4235</v>
      </c>
      <c r="BE136" s="25">
        <f t="shared" si="221"/>
        <v>-14194.389452499998</v>
      </c>
      <c r="BF136" s="25">
        <f t="shared" si="221"/>
        <v>-14194.389452499998</v>
      </c>
      <c r="BG136" s="25">
        <f t="shared" si="222"/>
        <v>-14011.920250000001</v>
      </c>
      <c r="BH136" s="29"/>
      <c r="BI136" s="26">
        <f t="shared" si="223"/>
        <v>12705</v>
      </c>
      <c r="BJ136" s="26" t="e">
        <f t="shared" si="224"/>
        <v>#REF!</v>
      </c>
      <c r="BK136" s="26" t="e">
        <f>IF(H136="Bundled",MIN(Y136*$AG$1*(1+#REF!),BI136),AR136)</f>
        <v>#REF!</v>
      </c>
      <c r="BL136" s="27">
        <f t="shared" si="203"/>
        <v>55288.168357499992</v>
      </c>
      <c r="BM136" s="27">
        <f t="shared" si="225"/>
        <v>55288.168357499992</v>
      </c>
      <c r="BN136" s="27">
        <f t="shared" si="226"/>
        <v>54740.760750000001</v>
      </c>
      <c r="BO136" s="27">
        <f t="shared" si="227"/>
        <v>-42583.168357499992</v>
      </c>
      <c r="BP136" s="27" t="e">
        <f>+#REF!*Y136</f>
        <v>#REF!</v>
      </c>
      <c r="BQ136" s="27" t="e">
        <f t="shared" si="228"/>
        <v>#REF!</v>
      </c>
      <c r="BR136" s="27" t="e">
        <f t="shared" si="229"/>
        <v>#REF!</v>
      </c>
      <c r="BS136" s="27" t="e">
        <f t="shared" si="230"/>
        <v>#REF!</v>
      </c>
      <c r="BT136" s="27">
        <f t="shared" si="231"/>
        <v>3</v>
      </c>
      <c r="BU136" s="27">
        <f t="shared" si="232"/>
        <v>-14194.389452499998</v>
      </c>
      <c r="BV136" s="27">
        <f t="shared" si="233"/>
        <v>-547.40760749999026</v>
      </c>
      <c r="BW136" s="27" t="e">
        <f>IF(H136="Bundled",+(BG136-#REF!)*Y136,(AP136+AQ136)-Y136*#REF!)</f>
        <v>#REF!</v>
      </c>
      <c r="BX136" s="27" t="e">
        <f t="shared" si="234"/>
        <v>#REF!</v>
      </c>
      <c r="BY136" s="27">
        <f t="shared" si="235"/>
        <v>-182.46920249999675</v>
      </c>
      <c r="BZ136" s="27" t="e">
        <f t="shared" si="235"/>
        <v>#REF!</v>
      </c>
      <c r="CA136" s="27" t="e">
        <f t="shared" si="235"/>
        <v>#REF!</v>
      </c>
    </row>
    <row r="137" spans="1:79" s="16" customFormat="1" x14ac:dyDescent="0.3">
      <c r="A137" s="199" t="s">
        <v>130</v>
      </c>
      <c r="B137" s="81" t="s">
        <v>437</v>
      </c>
      <c r="C137" s="279" t="s">
        <v>380</v>
      </c>
      <c r="D137" s="279" t="s">
        <v>405</v>
      </c>
      <c r="E137" s="279"/>
      <c r="F137" s="279"/>
      <c r="G137" s="33" t="s">
        <v>11</v>
      </c>
      <c r="H137" s="34" t="s">
        <v>52</v>
      </c>
      <c r="I137" s="33" t="s">
        <v>8</v>
      </c>
      <c r="J137" s="33" t="s">
        <v>61</v>
      </c>
      <c r="K137" s="31" t="str">
        <f t="shared" si="237"/>
        <v>No of Racks</v>
      </c>
      <c r="L137" s="33">
        <v>1</v>
      </c>
      <c r="M137" s="33">
        <v>1</v>
      </c>
      <c r="N137" s="35">
        <f t="shared" si="207"/>
        <v>0</v>
      </c>
      <c r="O137" s="33">
        <v>1</v>
      </c>
      <c r="P137" s="33"/>
      <c r="Q137" s="42"/>
      <c r="R137" s="43" t="str">
        <f t="shared" si="201"/>
        <v>Rated</v>
      </c>
      <c r="S137" s="33" t="s">
        <v>54</v>
      </c>
      <c r="T137" s="34">
        <v>10</v>
      </c>
      <c r="U137" s="45">
        <v>6.03</v>
      </c>
      <c r="V137" s="46">
        <f t="shared" si="208"/>
        <v>3.9699999999999998</v>
      </c>
      <c r="W137" s="34"/>
      <c r="X137" s="34">
        <f t="shared" si="209"/>
        <v>1.9849999999999999</v>
      </c>
      <c r="Y137" s="34">
        <f t="shared" si="202"/>
        <v>5</v>
      </c>
      <c r="Z137" s="65">
        <v>1.86</v>
      </c>
      <c r="AA137" s="34">
        <f t="shared" si="210"/>
        <v>0</v>
      </c>
      <c r="AB137" s="47">
        <f>99000/12</f>
        <v>8250</v>
      </c>
      <c r="AC137" s="48" t="str">
        <f t="shared" si="211"/>
        <v>Bundled</v>
      </c>
      <c r="AD137" s="34"/>
      <c r="AE137" s="34"/>
      <c r="AF137" s="49"/>
      <c r="AG137" s="34"/>
      <c r="AH137" s="50"/>
      <c r="AI137" s="51"/>
      <c r="AJ137" s="34"/>
      <c r="AK137" s="34"/>
      <c r="AL137" s="34">
        <f t="shared" si="212"/>
        <v>0</v>
      </c>
      <c r="AM137" s="34"/>
      <c r="AN137" s="34"/>
      <c r="AO137" s="42">
        <f>(0)/12</f>
        <v>0</v>
      </c>
      <c r="AP137" s="52">
        <f t="shared" si="213"/>
        <v>0</v>
      </c>
      <c r="AQ137" s="52">
        <f t="shared" si="214"/>
        <v>0</v>
      </c>
      <c r="AR137" s="53">
        <f t="shared" si="215"/>
        <v>0</v>
      </c>
      <c r="AS137" s="52">
        <f t="shared" si="216"/>
        <v>0</v>
      </c>
      <c r="AT137" s="54">
        <f t="shared" si="217"/>
        <v>0</v>
      </c>
      <c r="AU137" s="55">
        <f t="shared" si="218"/>
        <v>0</v>
      </c>
      <c r="AV137" s="55"/>
      <c r="AW137" s="67"/>
      <c r="AX137" s="68"/>
      <c r="AY137" s="69"/>
      <c r="AZ137" s="68"/>
      <c r="BA137" s="89"/>
      <c r="BB137" s="5"/>
      <c r="BC137" s="29">
        <f t="shared" si="219"/>
        <v>0</v>
      </c>
      <c r="BD137" s="29">
        <f t="shared" si="220"/>
        <v>0</v>
      </c>
      <c r="BE137" s="25">
        <f t="shared" si="221"/>
        <v>-6787.8543330000002</v>
      </c>
      <c r="BF137" s="25">
        <f t="shared" si="221"/>
        <v>-14031.88167225</v>
      </c>
      <c r="BG137" s="25">
        <f t="shared" si="222"/>
        <v>-18246.920249999999</v>
      </c>
      <c r="BH137" s="29"/>
      <c r="BI137" s="26">
        <f t="shared" si="223"/>
        <v>0</v>
      </c>
      <c r="BJ137" s="26" t="e">
        <f t="shared" si="224"/>
        <v>#REF!</v>
      </c>
      <c r="BK137" s="26" t="e">
        <f>IF(H137="Bundled",MIN(Y137*$AG$1*(1+#REF!),BI137),AR137)</f>
        <v>#REF!</v>
      </c>
      <c r="BL137" s="27">
        <f t="shared" si="203"/>
        <v>33939.271665</v>
      </c>
      <c r="BM137" s="27">
        <f t="shared" si="225"/>
        <v>70159.408361249996</v>
      </c>
      <c r="BN137" s="27">
        <f t="shared" si="226"/>
        <v>91234.601249999992</v>
      </c>
      <c r="BO137" s="27">
        <f t="shared" si="227"/>
        <v>-33939.271665</v>
      </c>
      <c r="BP137" s="27" t="e">
        <f>+#REF!*Y137</f>
        <v>#REF!</v>
      </c>
      <c r="BQ137" s="27" t="e">
        <f t="shared" si="228"/>
        <v>#REF!</v>
      </c>
      <c r="BR137" s="27" t="e">
        <f t="shared" si="229"/>
        <v>#REF!</v>
      </c>
      <c r="BS137" s="27" t="e">
        <f t="shared" si="230"/>
        <v>#REF!</v>
      </c>
      <c r="BT137" s="27">
        <f t="shared" si="231"/>
        <v>5</v>
      </c>
      <c r="BU137" s="27">
        <f t="shared" si="232"/>
        <v>-6787.8543330000002</v>
      </c>
      <c r="BV137" s="27">
        <f t="shared" si="233"/>
        <v>57295.329584999992</v>
      </c>
      <c r="BW137" s="27" t="e">
        <f>IF(H137="Bundled",+(BG137-#REF!)*Y137,(AP137+AQ137)-Y137*#REF!)</f>
        <v>#REF!</v>
      </c>
      <c r="BX137" s="27" t="e">
        <f t="shared" si="234"/>
        <v>#REF!</v>
      </c>
      <c r="BY137" s="27">
        <f t="shared" si="235"/>
        <v>11459.065916999998</v>
      </c>
      <c r="BZ137" s="27" t="e">
        <f t="shared" si="235"/>
        <v>#REF!</v>
      </c>
      <c r="CA137" s="27" t="e">
        <f t="shared" si="235"/>
        <v>#REF!</v>
      </c>
    </row>
    <row r="138" spans="1:79" s="16" customFormat="1" x14ac:dyDescent="0.3">
      <c r="A138" s="199" t="s">
        <v>130</v>
      </c>
      <c r="B138" s="81" t="s">
        <v>486</v>
      </c>
      <c r="C138" s="279" t="s">
        <v>380</v>
      </c>
      <c r="D138" s="279" t="s">
        <v>405</v>
      </c>
      <c r="E138" s="279"/>
      <c r="F138" s="279"/>
      <c r="G138" s="33" t="s">
        <v>11</v>
      </c>
      <c r="H138" s="34" t="s">
        <v>52</v>
      </c>
      <c r="I138" s="33" t="s">
        <v>8</v>
      </c>
      <c r="J138" s="33" t="s">
        <v>61</v>
      </c>
      <c r="K138" s="31" t="str">
        <f t="shared" si="237"/>
        <v>No of Racks</v>
      </c>
      <c r="L138" s="33">
        <v>1</v>
      </c>
      <c r="M138" s="33">
        <v>1</v>
      </c>
      <c r="N138" s="35">
        <f t="shared" si="207"/>
        <v>0</v>
      </c>
      <c r="O138" s="33">
        <v>1</v>
      </c>
      <c r="P138" s="33"/>
      <c r="Q138" s="42"/>
      <c r="R138" s="43" t="str">
        <f t="shared" si="201"/>
        <v>Rated</v>
      </c>
      <c r="S138" s="33" t="s">
        <v>54</v>
      </c>
      <c r="T138" s="34">
        <v>10</v>
      </c>
      <c r="U138" s="45">
        <v>5.41</v>
      </c>
      <c r="V138" s="46">
        <f t="shared" si="208"/>
        <v>4.59</v>
      </c>
      <c r="W138" s="34"/>
      <c r="X138" s="34">
        <f t="shared" si="209"/>
        <v>2.2949999999999999</v>
      </c>
      <c r="Y138" s="34">
        <f t="shared" si="202"/>
        <v>5</v>
      </c>
      <c r="Z138" s="65">
        <v>0.66</v>
      </c>
      <c r="AA138" s="34">
        <f t="shared" si="210"/>
        <v>0</v>
      </c>
      <c r="AB138" s="47">
        <f>99000/12</f>
        <v>8250</v>
      </c>
      <c r="AC138" s="48" t="str">
        <f t="shared" si="211"/>
        <v>Bundled</v>
      </c>
      <c r="AD138" s="34"/>
      <c r="AE138" s="34"/>
      <c r="AF138" s="49"/>
      <c r="AG138" s="34"/>
      <c r="AH138" s="50"/>
      <c r="AI138" s="51"/>
      <c r="AJ138" s="34"/>
      <c r="AK138" s="34"/>
      <c r="AL138" s="34">
        <f t="shared" si="212"/>
        <v>0</v>
      </c>
      <c r="AM138" s="34"/>
      <c r="AN138" s="34"/>
      <c r="AO138" s="42">
        <f>(0)/12</f>
        <v>0</v>
      </c>
      <c r="AP138" s="52">
        <f t="shared" si="213"/>
        <v>0</v>
      </c>
      <c r="AQ138" s="52">
        <f t="shared" si="214"/>
        <v>0</v>
      </c>
      <c r="AR138" s="53">
        <f t="shared" si="215"/>
        <v>0</v>
      </c>
      <c r="AS138" s="52">
        <f t="shared" si="216"/>
        <v>0</v>
      </c>
      <c r="AT138" s="54">
        <f t="shared" si="217"/>
        <v>0</v>
      </c>
      <c r="AU138" s="55">
        <f t="shared" si="218"/>
        <v>0</v>
      </c>
      <c r="AV138" s="55"/>
      <c r="AW138" s="67"/>
      <c r="AX138" s="68"/>
      <c r="AY138" s="69"/>
      <c r="AZ138" s="68"/>
      <c r="BA138" s="89"/>
      <c r="BB138" s="5"/>
      <c r="BC138" s="29">
        <f t="shared" si="219"/>
        <v>0</v>
      </c>
      <c r="BD138" s="29">
        <f t="shared" si="220"/>
        <v>0</v>
      </c>
      <c r="BE138" s="25">
        <f t="shared" si="221"/>
        <v>-2408.5934729999999</v>
      </c>
      <c r="BF138" s="25">
        <f t="shared" si="221"/>
        <v>-10783.929867750001</v>
      </c>
      <c r="BG138" s="25">
        <f t="shared" si="222"/>
        <v>-18246.920249999999</v>
      </c>
      <c r="BH138" s="29"/>
      <c r="BI138" s="26">
        <f t="shared" si="223"/>
        <v>0</v>
      </c>
      <c r="BJ138" s="26" t="e">
        <f t="shared" si="224"/>
        <v>#REF!</v>
      </c>
      <c r="BK138" s="26" t="e">
        <f>IF(H138="Bundled",MIN(Y138*$AG$1*(1+#REF!),BI138),AR138)</f>
        <v>#REF!</v>
      </c>
      <c r="BL138" s="27">
        <f t="shared" si="203"/>
        <v>12042.967365</v>
      </c>
      <c r="BM138" s="27">
        <f t="shared" si="225"/>
        <v>53919.649338750001</v>
      </c>
      <c r="BN138" s="27">
        <f t="shared" si="226"/>
        <v>91234.601249999992</v>
      </c>
      <c r="BO138" s="27">
        <f t="shared" si="227"/>
        <v>-12042.967365</v>
      </c>
      <c r="BP138" s="27" t="e">
        <f>+#REF!*Y138</f>
        <v>#REF!</v>
      </c>
      <c r="BQ138" s="27" t="e">
        <f t="shared" si="228"/>
        <v>#REF!</v>
      </c>
      <c r="BR138" s="27" t="e">
        <f t="shared" si="229"/>
        <v>#REF!</v>
      </c>
      <c r="BS138" s="27" t="e">
        <f t="shared" si="230"/>
        <v>#REF!</v>
      </c>
      <c r="BT138" s="27">
        <f t="shared" si="231"/>
        <v>5</v>
      </c>
      <c r="BU138" s="27">
        <f t="shared" si="232"/>
        <v>-2408.5934729999999</v>
      </c>
      <c r="BV138" s="27">
        <f t="shared" si="233"/>
        <v>79191.633884999988</v>
      </c>
      <c r="BW138" s="27" t="e">
        <f>IF(H138="Bundled",+(BG138-#REF!)*Y138,(AP138+AQ138)-Y138*#REF!)</f>
        <v>#REF!</v>
      </c>
      <c r="BX138" s="27" t="e">
        <f t="shared" si="234"/>
        <v>#REF!</v>
      </c>
      <c r="BY138" s="27">
        <f t="shared" si="235"/>
        <v>15838.326776999998</v>
      </c>
      <c r="BZ138" s="27" t="e">
        <f t="shared" si="235"/>
        <v>#REF!</v>
      </c>
      <c r="CA138" s="27" t="e">
        <f t="shared" si="235"/>
        <v>#REF!</v>
      </c>
    </row>
    <row r="139" spans="1:79" s="16" customFormat="1" x14ac:dyDescent="0.3">
      <c r="A139" s="427" t="s">
        <v>130</v>
      </c>
      <c r="B139" s="428" t="s">
        <v>168</v>
      </c>
      <c r="C139" s="279" t="s">
        <v>380</v>
      </c>
      <c r="D139" s="279" t="s">
        <v>405</v>
      </c>
      <c r="E139" s="429"/>
      <c r="F139" s="429"/>
      <c r="G139" s="430" t="s">
        <v>11</v>
      </c>
      <c r="H139" s="431" t="s">
        <v>52</v>
      </c>
      <c r="I139" s="430" t="s">
        <v>8</v>
      </c>
      <c r="J139" s="430" t="s">
        <v>61</v>
      </c>
      <c r="K139" s="432" t="str">
        <f t="shared" si="237"/>
        <v>No of Racks</v>
      </c>
      <c r="L139" s="430">
        <v>1</v>
      </c>
      <c r="M139" s="430">
        <v>0</v>
      </c>
      <c r="N139" s="433">
        <f t="shared" si="207"/>
        <v>1</v>
      </c>
      <c r="O139" s="430">
        <v>0</v>
      </c>
      <c r="P139" s="430"/>
      <c r="Q139" s="434"/>
      <c r="R139" s="435" t="str">
        <f t="shared" si="201"/>
        <v>Rated</v>
      </c>
      <c r="S139" s="430" t="s">
        <v>54</v>
      </c>
      <c r="T139" s="431">
        <v>10</v>
      </c>
      <c r="U139" s="436"/>
      <c r="V139" s="46">
        <f t="shared" ref="V139" si="238">T139-U139</f>
        <v>10</v>
      </c>
      <c r="W139" s="34"/>
      <c r="X139" s="34">
        <f t="shared" ref="X139" si="239">IF(V139&lt;=0,0,(IF(R139="Rated",(V139+W139)*$X$1,(V139+W139))))</f>
        <v>5</v>
      </c>
      <c r="Y139" s="34">
        <f t="shared" ref="Y139" si="240">IF(R139="Rated",T139*$X$1,T139)</f>
        <v>5</v>
      </c>
      <c r="Z139" s="65">
        <v>1.66</v>
      </c>
      <c r="AA139" s="34">
        <f t="shared" ref="AA139" si="241">IF((V139*-1)&gt;0, (V139*-1), 0)</f>
        <v>0</v>
      </c>
      <c r="AB139" s="437"/>
      <c r="AC139" s="438" t="str">
        <f t="shared" si="211"/>
        <v>Bundled</v>
      </c>
      <c r="AD139" s="431"/>
      <c r="AE139" s="431"/>
      <c r="AF139" s="439"/>
      <c r="AG139" s="431"/>
      <c r="AH139" s="440"/>
      <c r="AI139" s="441"/>
      <c r="AJ139" s="431"/>
      <c r="AK139" s="431"/>
      <c r="AL139" s="431"/>
      <c r="AM139" s="431"/>
      <c r="AN139" s="431"/>
      <c r="AO139" s="434"/>
      <c r="AP139" s="442">
        <f t="shared" si="213"/>
        <v>0</v>
      </c>
      <c r="AQ139" s="442"/>
      <c r="AR139" s="443"/>
      <c r="AS139" s="442"/>
      <c r="AT139" s="444"/>
      <c r="AU139" s="445"/>
      <c r="AV139" s="445"/>
      <c r="AW139" s="446"/>
      <c r="AX139" s="447"/>
      <c r="AY139" s="448"/>
      <c r="AZ139" s="447"/>
      <c r="BA139" s="449"/>
      <c r="BB139" s="5"/>
      <c r="BC139" s="450"/>
      <c r="BD139" s="450"/>
      <c r="BE139" s="450"/>
      <c r="BF139" s="450"/>
      <c r="BG139" s="450"/>
      <c r="BH139" s="450"/>
      <c r="BI139" s="451"/>
      <c r="BJ139" s="451"/>
      <c r="BK139" s="451"/>
      <c r="BL139" s="452"/>
      <c r="BM139" s="452"/>
      <c r="BN139" s="452"/>
      <c r="BO139" s="452"/>
      <c r="BP139" s="452"/>
      <c r="BQ139" s="452"/>
      <c r="BR139" s="452"/>
      <c r="BS139" s="452"/>
      <c r="BT139" s="452"/>
      <c r="BU139" s="452"/>
      <c r="BV139" s="452"/>
      <c r="BW139" s="452"/>
      <c r="BX139" s="452"/>
      <c r="BY139" s="452"/>
      <c r="BZ139" s="452"/>
      <c r="CA139" s="452"/>
    </row>
    <row r="140" spans="1:79" s="16" customFormat="1" x14ac:dyDescent="0.3">
      <c r="A140" s="199" t="s">
        <v>130</v>
      </c>
      <c r="B140" s="81" t="s">
        <v>166</v>
      </c>
      <c r="C140" s="32" t="s">
        <v>307</v>
      </c>
      <c r="D140" s="32" t="s">
        <v>404</v>
      </c>
      <c r="E140" s="32"/>
      <c r="F140" s="32"/>
      <c r="G140" s="33" t="s">
        <v>56</v>
      </c>
      <c r="H140" s="34" t="s">
        <v>57</v>
      </c>
      <c r="I140" s="33" t="s">
        <v>8</v>
      </c>
      <c r="J140" s="33" t="s">
        <v>61</v>
      </c>
      <c r="K140" s="31" t="str">
        <f t="shared" si="237"/>
        <v>No of Racks</v>
      </c>
      <c r="L140" s="33">
        <v>1</v>
      </c>
      <c r="M140" s="33">
        <v>1</v>
      </c>
      <c r="N140" s="35">
        <f t="shared" si="207"/>
        <v>0</v>
      </c>
      <c r="O140" s="33">
        <v>1</v>
      </c>
      <c r="P140" s="33"/>
      <c r="Q140" s="42">
        <f>(270000)/12</f>
        <v>22500</v>
      </c>
      <c r="R140" s="43" t="str">
        <f t="shared" si="201"/>
        <v>Subscribed</v>
      </c>
      <c r="S140" s="33" t="s">
        <v>58</v>
      </c>
      <c r="T140" s="34">
        <v>3</v>
      </c>
      <c r="U140" s="66">
        <f>Z140</f>
        <v>0.58782738095238096</v>
      </c>
      <c r="V140" s="46">
        <f t="shared" si="208"/>
        <v>2.4121726190476189</v>
      </c>
      <c r="W140" s="34"/>
      <c r="X140" s="34">
        <f t="shared" si="209"/>
        <v>2.4121726190476189</v>
      </c>
      <c r="Y140" s="34">
        <f t="shared" si="202"/>
        <v>3</v>
      </c>
      <c r="Z140" s="65">
        <f>AG140/28/24</f>
        <v>0.58782738095238096</v>
      </c>
      <c r="AA140" s="34">
        <f t="shared" si="210"/>
        <v>0</v>
      </c>
      <c r="AB140" s="47">
        <f>85000/12</f>
        <v>7083.333333333333</v>
      </c>
      <c r="AC140" s="48" t="str">
        <f t="shared" si="211"/>
        <v>Metered</v>
      </c>
      <c r="AD140" s="34">
        <v>1</v>
      </c>
      <c r="AE140" s="34" t="s">
        <v>62</v>
      </c>
      <c r="AF140" s="49">
        <v>17.5</v>
      </c>
      <c r="AG140" s="34">
        <v>395.02</v>
      </c>
      <c r="AH140" s="50"/>
      <c r="AI140" s="51"/>
      <c r="AJ140" s="34"/>
      <c r="AK140" s="34"/>
      <c r="AL140" s="34">
        <f t="shared" si="212"/>
        <v>0</v>
      </c>
      <c r="AM140" s="34"/>
      <c r="AN140" s="34"/>
      <c r="AO140" s="42">
        <f>(0)/12</f>
        <v>0</v>
      </c>
      <c r="AP140" s="52">
        <f t="shared" si="213"/>
        <v>22500</v>
      </c>
      <c r="AQ140" s="52">
        <f t="shared" si="214"/>
        <v>0</v>
      </c>
      <c r="AR140" s="53">
        <f t="shared" si="215"/>
        <v>6912.8499999999995</v>
      </c>
      <c r="AS140" s="52">
        <f t="shared" si="216"/>
        <v>0</v>
      </c>
      <c r="AT140" s="54">
        <f t="shared" si="217"/>
        <v>0</v>
      </c>
      <c r="AU140" s="55">
        <f t="shared" si="218"/>
        <v>29412.85</v>
      </c>
      <c r="AV140" s="55"/>
      <c r="AW140" s="67"/>
      <c r="AX140" s="68"/>
      <c r="AY140" s="69"/>
      <c r="AZ140" s="68"/>
      <c r="BA140" s="89"/>
      <c r="BB140" s="5"/>
      <c r="BC140" s="29">
        <f t="shared" si="219"/>
        <v>29412.85</v>
      </c>
      <c r="BD140" s="29">
        <f t="shared" si="220"/>
        <v>9804.2833333333328</v>
      </c>
      <c r="BE140" s="25">
        <f t="shared" si="221"/>
        <v>6231.9242804918031</v>
      </c>
      <c r="BF140" s="25">
        <f t="shared" si="221"/>
        <v>6231.9242804918031</v>
      </c>
      <c r="BG140" s="25">
        <f t="shared" si="222"/>
        <v>2878.6177874999994</v>
      </c>
      <c r="BH140" s="29"/>
      <c r="BI140" s="26">
        <f t="shared" si="223"/>
        <v>29412.85</v>
      </c>
      <c r="BJ140" s="26">
        <f t="shared" si="224"/>
        <v>22500</v>
      </c>
      <c r="BK140" s="26">
        <f>IF(H140="Bundled",MIN(Y140*$AG$1*(1+#REF!),BI140),AR140)</f>
        <v>6912.8499999999995</v>
      </c>
      <c r="BL140" s="27">
        <f t="shared" si="203"/>
        <v>10717.077158524589</v>
      </c>
      <c r="BM140" s="27">
        <f t="shared" si="225"/>
        <v>10717.077158524589</v>
      </c>
      <c r="BN140" s="27">
        <f t="shared" si="226"/>
        <v>46529.646637500002</v>
      </c>
      <c r="BO140" s="27">
        <f t="shared" si="227"/>
        <v>18695.772841475409</v>
      </c>
      <c r="BP140" s="27" t="e">
        <f>+#REF!*Y140</f>
        <v>#REF!</v>
      </c>
      <c r="BQ140" s="27" t="e">
        <f t="shared" si="228"/>
        <v>#REF!</v>
      </c>
      <c r="BR140" s="27">
        <f t="shared" si="229"/>
        <v>-3804.2271585245899</v>
      </c>
      <c r="BS140" s="27" t="e">
        <f t="shared" si="230"/>
        <v>#REF!</v>
      </c>
      <c r="BT140" s="27">
        <f t="shared" si="231"/>
        <v>3</v>
      </c>
      <c r="BU140" s="27">
        <f t="shared" si="232"/>
        <v>6231.9242804918031</v>
      </c>
      <c r="BV140" s="27">
        <f t="shared" si="233"/>
        <v>-3804.2271585245899</v>
      </c>
      <c r="BW140" s="27" t="e">
        <f>IF(H140="Bundled",+(BG140-#REF!)*Y140,(AP140+AQ140)-Y140*#REF!)</f>
        <v>#REF!</v>
      </c>
      <c r="BX140" s="27" t="e">
        <f t="shared" si="234"/>
        <v>#REF!</v>
      </c>
      <c r="BY140" s="27">
        <f t="shared" si="235"/>
        <v>-1268.0757195081967</v>
      </c>
      <c r="BZ140" s="27" t="e">
        <f t="shared" si="235"/>
        <v>#REF!</v>
      </c>
      <c r="CA140" s="27" t="e">
        <f t="shared" si="235"/>
        <v>#REF!</v>
      </c>
    </row>
    <row r="141" spans="1:79" customFormat="1" x14ac:dyDescent="0.3">
      <c r="A141" s="199" t="s">
        <v>130</v>
      </c>
      <c r="B141" s="81" t="s">
        <v>458</v>
      </c>
      <c r="C141" s="32" t="s">
        <v>236</v>
      </c>
      <c r="D141" s="69" t="s">
        <v>404</v>
      </c>
      <c r="E141" s="69"/>
      <c r="F141" s="69"/>
      <c r="G141" s="33" t="s">
        <v>56</v>
      </c>
      <c r="H141" s="34" t="s">
        <v>57</v>
      </c>
      <c r="I141" s="33" t="s">
        <v>8</v>
      </c>
      <c r="J141" s="33" t="s">
        <v>61</v>
      </c>
      <c r="K141" s="31" t="str">
        <f t="shared" si="237"/>
        <v>No of Racks</v>
      </c>
      <c r="L141" s="33">
        <v>1</v>
      </c>
      <c r="M141" s="33">
        <v>1</v>
      </c>
      <c r="N141" s="35">
        <f t="shared" si="207"/>
        <v>0</v>
      </c>
      <c r="O141" s="33">
        <v>0</v>
      </c>
      <c r="P141" s="33"/>
      <c r="Q141" s="156">
        <v>1840</v>
      </c>
      <c r="R141" s="43" t="s">
        <v>56</v>
      </c>
      <c r="S141" s="33" t="s">
        <v>58</v>
      </c>
      <c r="T141" s="34">
        <v>3</v>
      </c>
      <c r="U141" s="66">
        <f>Z141</f>
        <v>1.126279761904762</v>
      </c>
      <c r="V141" s="46">
        <f t="shared" si="208"/>
        <v>1.873720238095238</v>
      </c>
      <c r="W141" s="34"/>
      <c r="X141" s="34">
        <f t="shared" si="209"/>
        <v>1.873720238095238</v>
      </c>
      <c r="Y141" s="34">
        <f t="shared" si="202"/>
        <v>3</v>
      </c>
      <c r="Z141" s="65">
        <f t="shared" ref="Z141:Z142" si="242">AG141/28/24</f>
        <v>1.126279761904762</v>
      </c>
      <c r="AA141" s="34">
        <f t="shared" si="210"/>
        <v>0</v>
      </c>
      <c r="AB141" s="156">
        <v>283</v>
      </c>
      <c r="AC141" s="48" t="str">
        <f t="shared" si="211"/>
        <v>Metered</v>
      </c>
      <c r="AD141" s="34">
        <v>1</v>
      </c>
      <c r="AE141" s="34" t="s">
        <v>62</v>
      </c>
      <c r="AF141" s="49">
        <v>0</v>
      </c>
      <c r="AG141" s="34">
        <v>756.86</v>
      </c>
      <c r="AH141" s="50"/>
      <c r="AI141" s="51"/>
      <c r="AJ141" s="34"/>
      <c r="AK141" s="34"/>
      <c r="AL141" s="34">
        <f t="shared" si="212"/>
        <v>0</v>
      </c>
      <c r="AM141" s="34"/>
      <c r="AN141" s="34"/>
      <c r="AO141" s="42"/>
      <c r="AP141" s="156">
        <f t="shared" si="213"/>
        <v>0</v>
      </c>
      <c r="AQ141" s="156">
        <f t="shared" si="214"/>
        <v>0</v>
      </c>
      <c r="AR141" s="53">
        <f t="shared" si="215"/>
        <v>0</v>
      </c>
      <c r="AS141" s="156">
        <f t="shared" si="216"/>
        <v>0</v>
      </c>
      <c r="AT141" s="156">
        <v>0</v>
      </c>
      <c r="AU141" s="157">
        <f t="shared" si="218"/>
        <v>0</v>
      </c>
      <c r="AV141" s="55"/>
      <c r="AW141" s="67"/>
      <c r="AX141" s="68"/>
      <c r="AY141" s="69"/>
      <c r="AZ141" s="68"/>
      <c r="BA141" s="89"/>
      <c r="BB141" s="5"/>
      <c r="BC141" s="29">
        <f t="shared" si="219"/>
        <v>0</v>
      </c>
      <c r="BD141" s="29">
        <f t="shared" si="220"/>
        <v>0</v>
      </c>
      <c r="BE141" s="25">
        <f>+($AQ141+$AR141+$AS141-BL141)/$Z141</f>
        <v>-18246.920249999999</v>
      </c>
      <c r="BF141" s="25">
        <f>+($AQ141+$AR141+$AS141-BM141)/$Z141</f>
        <v>-48603.164685675023</v>
      </c>
      <c r="BG141" s="25">
        <f>+($AQ141+$AR141+IF(H141="Bundled",0,Y141*0.85*AD141*AF141*30.5*24)-BN141)/$Z141</f>
        <v>-41312.689982823773</v>
      </c>
      <c r="BH141" s="29"/>
      <c r="BI141" s="26">
        <f t="shared" si="223"/>
        <v>0</v>
      </c>
      <c r="BJ141" s="26">
        <f t="shared" si="224"/>
        <v>0</v>
      </c>
      <c r="BK141" s="26">
        <f>IF(H141="Bundled",MIN(Y141*$AG$1*(1+#REF!),BI141),AR141)</f>
        <v>0</v>
      </c>
      <c r="BL141" s="27">
        <f>IF($AH141&gt;0,$AH141*$AD$1*$AF$1*(1+$AI$1*(20/$AF$1)/732),$AG$1*Z141)</f>
        <v>20551.136994665179</v>
      </c>
      <c r="BM141" s="27">
        <f>IF($AH141&gt;0,$AH141*$AD$1*$AF$1*(1+$AI$1*(20/$AF$1)/732),+$AG$1*(Z141+X141))</f>
        <v>54740.760750000001</v>
      </c>
      <c r="BN141" s="27">
        <f t="shared" si="226"/>
        <v>46529.646637500002</v>
      </c>
      <c r="BO141" s="27">
        <f t="shared" si="227"/>
        <v>-54740.760750000001</v>
      </c>
      <c r="BP141" s="27" t="e">
        <f>+#REF!*Y141</f>
        <v>#REF!</v>
      </c>
      <c r="BQ141" s="27" t="e">
        <f t="shared" si="228"/>
        <v>#REF!</v>
      </c>
      <c r="BR141" s="27">
        <f t="shared" si="229"/>
        <v>-20551.136994665179</v>
      </c>
      <c r="BS141" s="27" t="e">
        <f t="shared" si="230"/>
        <v>#REF!</v>
      </c>
      <c r="BT141" s="27">
        <f t="shared" si="231"/>
        <v>3</v>
      </c>
      <c r="BU141" s="27">
        <f t="shared" si="232"/>
        <v>-18246.920249999999</v>
      </c>
      <c r="BV141" s="27">
        <f t="shared" si="233"/>
        <v>-20551.136994665179</v>
      </c>
      <c r="BW141" s="27" t="e">
        <f>IF(H141="Bundled",+(BG141-#REF!)*Y141,(AP141+AQ141)-Y141*#REF!)</f>
        <v>#REF!</v>
      </c>
      <c r="BX141" s="27" t="e">
        <f t="shared" si="234"/>
        <v>#REF!</v>
      </c>
      <c r="BY141" s="27">
        <f>+BV141/$BU141</f>
        <v>1.126279761904762</v>
      </c>
      <c r="BZ141" s="27" t="e">
        <f>+BW141/$BU141</f>
        <v>#REF!</v>
      </c>
      <c r="CA141" s="27" t="e">
        <f>+BX141/$BU141</f>
        <v>#REF!</v>
      </c>
    </row>
    <row r="142" spans="1:79" s="16" customFormat="1" ht="26" x14ac:dyDescent="0.3">
      <c r="A142" s="199" t="s">
        <v>130</v>
      </c>
      <c r="B142" s="81" t="s">
        <v>178</v>
      </c>
      <c r="C142" s="132" t="s">
        <v>387</v>
      </c>
      <c r="D142" s="132"/>
      <c r="E142" s="132"/>
      <c r="F142" s="132"/>
      <c r="G142" s="33" t="s">
        <v>56</v>
      </c>
      <c r="H142" s="34" t="s">
        <v>57</v>
      </c>
      <c r="I142" s="33" t="s">
        <v>3</v>
      </c>
      <c r="J142" s="33" t="s">
        <v>53</v>
      </c>
      <c r="K142" s="31" t="str">
        <f t="shared" si="237"/>
        <v>Sq Ft</v>
      </c>
      <c r="L142" s="33">
        <v>904</v>
      </c>
      <c r="M142" s="33">
        <v>904</v>
      </c>
      <c r="N142" s="35">
        <f t="shared" si="207"/>
        <v>0</v>
      </c>
      <c r="O142" s="33">
        <v>904</v>
      </c>
      <c r="P142" s="33"/>
      <c r="Q142" s="42">
        <f>(1451520)/904</f>
        <v>1605.6637168141592</v>
      </c>
      <c r="R142" s="43" t="str">
        <f t="shared" ref="R142:R159" si="243">G142</f>
        <v>Subscribed</v>
      </c>
      <c r="S142" s="33" t="s">
        <v>58</v>
      </c>
      <c r="T142" s="34">
        <v>180</v>
      </c>
      <c r="U142" s="66">
        <f>Z142</f>
        <v>72.666681547619049</v>
      </c>
      <c r="V142" s="46">
        <f t="shared" si="208"/>
        <v>107.33331845238095</v>
      </c>
      <c r="W142" s="34"/>
      <c r="X142" s="34">
        <f t="shared" si="209"/>
        <v>107.33331845238095</v>
      </c>
      <c r="Y142" s="34">
        <f t="shared" si="202"/>
        <v>180</v>
      </c>
      <c r="Z142" s="65">
        <f t="shared" si="242"/>
        <v>72.666681547619049</v>
      </c>
      <c r="AA142" s="34">
        <f t="shared" si="210"/>
        <v>0</v>
      </c>
      <c r="AB142" s="47">
        <f t="shared" ref="AB142" si="244">0/12</f>
        <v>0</v>
      </c>
      <c r="AC142" s="48" t="str">
        <f t="shared" si="211"/>
        <v>Metered</v>
      </c>
      <c r="AD142" s="34" t="s">
        <v>427</v>
      </c>
      <c r="AE142" s="34" t="s">
        <v>59</v>
      </c>
      <c r="AF142" s="49">
        <v>10.88</v>
      </c>
      <c r="AG142" s="34">
        <v>48832.01</v>
      </c>
      <c r="AH142" s="50"/>
      <c r="AI142" s="51"/>
      <c r="AJ142" s="34"/>
      <c r="AK142" s="34"/>
      <c r="AL142" s="34">
        <f t="shared" si="212"/>
        <v>0</v>
      </c>
      <c r="AM142" s="34"/>
      <c r="AN142" s="34"/>
      <c r="AO142" s="42">
        <f>(0)/12</f>
        <v>0</v>
      </c>
      <c r="AP142" s="52">
        <f t="shared" si="213"/>
        <v>1451520</v>
      </c>
      <c r="AQ142" s="52">
        <f t="shared" si="214"/>
        <v>0</v>
      </c>
      <c r="AR142" s="53" t="e">
        <f t="shared" si="215"/>
        <v>#VALUE!</v>
      </c>
      <c r="AS142" s="52">
        <f t="shared" si="216"/>
        <v>0</v>
      </c>
      <c r="AT142" s="54">
        <f>0/12</f>
        <v>0</v>
      </c>
      <c r="AU142" s="55" t="e">
        <f t="shared" si="218"/>
        <v>#VALUE!</v>
      </c>
      <c r="AV142" s="55"/>
      <c r="AW142" s="67"/>
      <c r="AX142" s="68"/>
      <c r="AY142" s="69"/>
      <c r="AZ142" s="68"/>
      <c r="BA142" s="89"/>
      <c r="BB142" s="5"/>
      <c r="BC142" s="29" t="e">
        <f t="shared" si="219"/>
        <v>#VALUE!</v>
      </c>
      <c r="BD142" s="29" t="e">
        <f t="shared" si="220"/>
        <v>#VALUE!</v>
      </c>
      <c r="BE142" s="25" t="e">
        <f>+($AP142+$AQ142+$AR142-BL142)/$Y142</f>
        <v>#VALUE!</v>
      </c>
      <c r="BF142" s="25" t="e">
        <f>+($AP142+$AQ142+$AR142-BM142)/$Y142</f>
        <v>#VALUE!</v>
      </c>
      <c r="BG142" s="25" t="e">
        <f>+($AP142+$AQ142+IF(H142="Bundled",0,Y142*0.85*AD142*AF142*30.5*24)-BN142)/$Y142</f>
        <v>#VALUE!</v>
      </c>
      <c r="BH142" s="29"/>
      <c r="BI142" s="26" t="e">
        <f t="shared" si="223"/>
        <v>#VALUE!</v>
      </c>
      <c r="BJ142" s="26" t="e">
        <f t="shared" si="224"/>
        <v>#VALUE!</v>
      </c>
      <c r="BK142" s="26" t="e">
        <f>IF(H142="Bundled",MIN(Y142*$AG$1*(1+#REF!),BI142),AR142)</f>
        <v>#VALUE!</v>
      </c>
      <c r="BL142" s="27">
        <f>IF($AG142&gt;0,$AG142*$AD$1*$AF$1*(1+$AI$1*(20/$AF$1)/732),$AG$1*Z142)</f>
        <v>1324835.2462554919</v>
      </c>
      <c r="BM142" s="27">
        <f>IF($AG142&gt;0,$AG142*$AD$1*$AF$1*(1+$AI$1*(20/$AF$1)/732),+$AG$1*(Z142+X142))</f>
        <v>1324835.2462554919</v>
      </c>
      <c r="BN142" s="27">
        <f t="shared" si="226"/>
        <v>2791778.79825</v>
      </c>
      <c r="BO142" s="27" t="e">
        <f t="shared" si="227"/>
        <v>#VALUE!</v>
      </c>
      <c r="BP142" s="27" t="e">
        <f>+#REF!*Y142</f>
        <v>#REF!</v>
      </c>
      <c r="BQ142" s="27" t="e">
        <f t="shared" si="228"/>
        <v>#VALUE!</v>
      </c>
      <c r="BR142" s="27" t="e">
        <f t="shared" si="229"/>
        <v>#VALUE!</v>
      </c>
      <c r="BS142" s="27" t="e">
        <f t="shared" si="230"/>
        <v>#VALUE!</v>
      </c>
      <c r="BT142" s="27">
        <f t="shared" si="231"/>
        <v>180</v>
      </c>
      <c r="BU142" s="27" t="e">
        <f t="shared" si="232"/>
        <v>#VALUE!</v>
      </c>
      <c r="BV142" s="27" t="e">
        <f t="shared" si="233"/>
        <v>#VALUE!</v>
      </c>
      <c r="BW142" s="27" t="e">
        <f>IF(H142="Bundled",+(BG142-#REF!)*Y142,(AP142+AQ142)-Y142*#REF!)</f>
        <v>#REF!</v>
      </c>
      <c r="BX142" s="27" t="e">
        <f t="shared" si="234"/>
        <v>#VALUE!</v>
      </c>
      <c r="BY142" s="27" t="e">
        <f t="shared" ref="BY142:CA143" si="245">+BV142/$BT142</f>
        <v>#VALUE!</v>
      </c>
      <c r="BZ142" s="27" t="e">
        <f t="shared" si="245"/>
        <v>#REF!</v>
      </c>
      <c r="CA142" s="27" t="e">
        <f t="shared" si="245"/>
        <v>#VALUE!</v>
      </c>
    </row>
    <row r="143" spans="1:79" s="16" customFormat="1" ht="26" customHeight="1" x14ac:dyDescent="0.3">
      <c r="A143" s="199" t="s">
        <v>130</v>
      </c>
      <c r="B143" s="483" t="s">
        <v>163</v>
      </c>
      <c r="C143" s="279" t="s">
        <v>374</v>
      </c>
      <c r="D143" s="279" t="s">
        <v>405</v>
      </c>
      <c r="E143" s="279"/>
      <c r="F143" s="279"/>
      <c r="G143" s="33" t="s">
        <v>11</v>
      </c>
      <c r="H143" s="34" t="s">
        <v>52</v>
      </c>
      <c r="I143" s="33" t="s">
        <v>60</v>
      </c>
      <c r="J143" s="33" t="s">
        <v>61</v>
      </c>
      <c r="K143" s="31" t="str">
        <f t="shared" si="237"/>
        <v>U Space</v>
      </c>
      <c r="L143" s="33">
        <v>10</v>
      </c>
      <c r="M143" s="33">
        <v>10</v>
      </c>
      <c r="N143" s="35">
        <f t="shared" si="207"/>
        <v>0</v>
      </c>
      <c r="O143" s="33">
        <v>10</v>
      </c>
      <c r="P143" s="33"/>
      <c r="Q143" s="42">
        <f>35000/12</f>
        <v>2916.6666666666665</v>
      </c>
      <c r="R143" s="43" t="str">
        <f t="shared" si="243"/>
        <v>Rated</v>
      </c>
      <c r="S143" s="44" t="s">
        <v>54</v>
      </c>
      <c r="T143" s="34">
        <v>2.5</v>
      </c>
      <c r="U143" s="45">
        <v>1.73</v>
      </c>
      <c r="V143" s="46">
        <f t="shared" si="208"/>
        <v>0.77</v>
      </c>
      <c r="W143" s="34"/>
      <c r="X143" s="34">
        <f t="shared" si="209"/>
        <v>0.38500000000000001</v>
      </c>
      <c r="Y143" s="34">
        <f t="shared" si="202"/>
        <v>1.25</v>
      </c>
      <c r="Z143" s="493">
        <v>0.74</v>
      </c>
      <c r="AA143" s="34">
        <f t="shared" si="210"/>
        <v>0</v>
      </c>
      <c r="AB143" s="47">
        <f>100000/12</f>
        <v>8333.3333333333339</v>
      </c>
      <c r="AC143" s="48" t="str">
        <f t="shared" si="211"/>
        <v>Bundled</v>
      </c>
      <c r="AD143" s="34"/>
      <c r="AE143" s="34"/>
      <c r="AF143" s="49"/>
      <c r="AG143" s="34"/>
      <c r="AH143" s="50"/>
      <c r="AI143" s="51" t="str">
        <f>IF(AH143="No of Seats","No of Seats",(IF(AH143="Space","Sq Ft","")))</f>
        <v/>
      </c>
      <c r="AJ143" s="34"/>
      <c r="AK143" s="34"/>
      <c r="AL143" s="34">
        <f t="shared" si="212"/>
        <v>0</v>
      </c>
      <c r="AM143" s="34"/>
      <c r="AN143" s="34"/>
      <c r="AO143" s="42"/>
      <c r="AP143" s="52">
        <f t="shared" si="213"/>
        <v>29166.666666666664</v>
      </c>
      <c r="AQ143" s="52">
        <f t="shared" si="214"/>
        <v>0</v>
      </c>
      <c r="AR143" s="53">
        <f t="shared" si="215"/>
        <v>0</v>
      </c>
      <c r="AS143" s="52">
        <f t="shared" si="216"/>
        <v>0</v>
      </c>
      <c r="AT143" s="54">
        <v>0</v>
      </c>
      <c r="AU143" s="55">
        <f t="shared" si="218"/>
        <v>29166.666666666664</v>
      </c>
      <c r="AV143" s="55"/>
      <c r="AW143" s="56"/>
      <c r="AX143" s="57"/>
      <c r="AY143" s="58"/>
      <c r="AZ143" s="57"/>
      <c r="BA143" s="198"/>
      <c r="BB143" s="5"/>
      <c r="BC143" s="25">
        <f t="shared" si="219"/>
        <v>116666.66666666666</v>
      </c>
      <c r="BD143" s="25">
        <f t="shared" si="220"/>
        <v>23333.333333333332</v>
      </c>
      <c r="BE143" s="25">
        <f>+($AP143+$AQ143+$AR143-BL143)/$Y143</f>
        <v>12531.156545333331</v>
      </c>
      <c r="BF143" s="25">
        <f>+($AP143+$AQ143+$AR143-BM143)/$Y143</f>
        <v>6911.1051083333323</v>
      </c>
      <c r="BG143" s="25">
        <f>+($AP143+$AQ143+IF(H143="Bundled",0,Y143*0.85*AD143*AF143*30.5*24)-BN143)/$Y143</f>
        <v>5086.4130833333329</v>
      </c>
      <c r="BH143" s="25"/>
      <c r="BI143" s="26">
        <f t="shared" si="223"/>
        <v>29166.666666666664</v>
      </c>
      <c r="BJ143" s="26" t="e">
        <f t="shared" si="224"/>
        <v>#REF!</v>
      </c>
      <c r="BK143" s="26" t="e">
        <f>IF(H143="Bundled",MIN(Y143*$AG$1*(1+#REF!),BI143),AR143)</f>
        <v>#REF!</v>
      </c>
      <c r="BL143" s="27">
        <f>IF($AG143&gt;0,$AG143*$AD$1*$AF$1*(1+$AI$1*(20/$AF$1)/732),$AG$1*Z143)</f>
        <v>13502.720985</v>
      </c>
      <c r="BM143" s="27">
        <f>IF($AG143&gt;0,$AG143*$AD$1*$AF$1*(1+$AI$1*(20/$AF$1)/732),+$AG$1*(Z143+X143))</f>
        <v>20527.785281249999</v>
      </c>
      <c r="BN143" s="27">
        <f t="shared" si="226"/>
        <v>22808.650312499998</v>
      </c>
      <c r="BO143" s="27">
        <f t="shared" si="227"/>
        <v>15663.945681666664</v>
      </c>
      <c r="BP143" s="27" t="e">
        <f>+#REF!*Y143</f>
        <v>#REF!</v>
      </c>
      <c r="BQ143" s="27" t="e">
        <f t="shared" si="228"/>
        <v>#REF!</v>
      </c>
      <c r="BR143" s="27" t="e">
        <f t="shared" si="229"/>
        <v>#REF!</v>
      </c>
      <c r="BS143" s="27" t="e">
        <f t="shared" si="230"/>
        <v>#REF!</v>
      </c>
      <c r="BT143" s="27">
        <f t="shared" si="231"/>
        <v>1.25</v>
      </c>
      <c r="BU143" s="27">
        <f t="shared" si="232"/>
        <v>12531.156545333331</v>
      </c>
      <c r="BV143" s="27">
        <f t="shared" si="233"/>
        <v>9305.9293274999982</v>
      </c>
      <c r="BW143" s="27" t="e">
        <f>IF(H143="Bundled",+(BG143-#REF!)*Y143,(AP143+AQ143)-Y143*#REF!)</f>
        <v>#REF!</v>
      </c>
      <c r="BX143" s="27" t="e">
        <f t="shared" si="234"/>
        <v>#REF!</v>
      </c>
      <c r="BY143" s="27">
        <f t="shared" si="245"/>
        <v>7444.7434619999985</v>
      </c>
      <c r="BZ143" s="27" t="e">
        <f t="shared" si="245"/>
        <v>#REF!</v>
      </c>
      <c r="CA143" s="27" t="e">
        <f t="shared" si="245"/>
        <v>#REF!</v>
      </c>
    </row>
    <row r="144" spans="1:79" s="16" customFormat="1" ht="26" x14ac:dyDescent="0.3">
      <c r="A144" s="199"/>
      <c r="B144" s="485"/>
      <c r="C144" s="279" t="s">
        <v>547</v>
      </c>
      <c r="D144" s="279" t="s">
        <v>405</v>
      </c>
      <c r="E144" s="279"/>
      <c r="F144" s="374">
        <v>45883</v>
      </c>
      <c r="G144" s="33" t="s">
        <v>11</v>
      </c>
      <c r="H144" s="34" t="s">
        <v>52</v>
      </c>
      <c r="I144" s="33" t="s">
        <v>60</v>
      </c>
      <c r="J144" s="33" t="s">
        <v>61</v>
      </c>
      <c r="K144" s="31" t="str">
        <f t="shared" si="237"/>
        <v>U Space</v>
      </c>
      <c r="L144" s="33">
        <v>2</v>
      </c>
      <c r="M144" s="33">
        <v>2</v>
      </c>
      <c r="N144" s="35">
        <f t="shared" si="207"/>
        <v>0</v>
      </c>
      <c r="O144" s="33">
        <v>2</v>
      </c>
      <c r="P144" s="33"/>
      <c r="Q144" s="42"/>
      <c r="R144" s="43" t="str">
        <f t="shared" si="243"/>
        <v>Rated</v>
      </c>
      <c r="S144" s="44" t="s">
        <v>54</v>
      </c>
      <c r="T144" s="34">
        <v>0.3</v>
      </c>
      <c r="U144" s="45">
        <v>0.22</v>
      </c>
      <c r="V144" s="46">
        <f t="shared" si="208"/>
        <v>7.9999999999999988E-2</v>
      </c>
      <c r="W144" s="34"/>
      <c r="X144" s="34">
        <f t="shared" si="209"/>
        <v>3.9999999999999994E-2</v>
      </c>
      <c r="Y144" s="34">
        <f t="shared" si="202"/>
        <v>0.15</v>
      </c>
      <c r="Z144" s="495"/>
      <c r="AA144" s="34"/>
      <c r="AB144" s="47"/>
      <c r="AC144" s="48" t="str">
        <f t="shared" si="211"/>
        <v>Bundled</v>
      </c>
      <c r="AD144" s="34"/>
      <c r="AE144" s="34"/>
      <c r="AF144" s="49"/>
      <c r="AG144" s="34"/>
      <c r="AH144" s="50"/>
      <c r="AI144" s="51"/>
      <c r="AJ144" s="34"/>
      <c r="AK144" s="34"/>
      <c r="AL144" s="34"/>
      <c r="AM144" s="34"/>
      <c r="AN144" s="34"/>
      <c r="AO144" s="42"/>
      <c r="AP144" s="52"/>
      <c r="AQ144" s="52"/>
      <c r="AR144" s="53"/>
      <c r="AS144" s="52"/>
      <c r="AT144" s="54"/>
      <c r="AU144" s="55"/>
      <c r="AV144" s="55"/>
      <c r="AW144" s="56"/>
      <c r="AX144" s="57"/>
      <c r="AY144" s="58"/>
      <c r="AZ144" s="57"/>
      <c r="BA144" s="198"/>
      <c r="BB144" s="5"/>
      <c r="BC144" s="59"/>
      <c r="BD144" s="59"/>
      <c r="BE144" s="59"/>
      <c r="BF144" s="59"/>
      <c r="BG144" s="59"/>
      <c r="BH144" s="59"/>
      <c r="BI144" s="60"/>
      <c r="BJ144" s="60"/>
      <c r="BK144" s="60"/>
      <c r="BL144" s="61"/>
      <c r="BM144" s="61"/>
      <c r="BN144" s="61">
        <f t="shared" si="226"/>
        <v>2737.0380375</v>
      </c>
      <c r="BO144" s="61"/>
      <c r="BP144" s="61"/>
      <c r="BQ144" s="61"/>
      <c r="BR144" s="61"/>
      <c r="BS144" s="61"/>
      <c r="BT144" s="61">
        <f t="shared" si="231"/>
        <v>0.15</v>
      </c>
      <c r="BU144" s="61"/>
      <c r="BV144" s="61"/>
      <c r="BW144" s="61"/>
      <c r="BX144" s="61"/>
      <c r="BY144" s="61"/>
      <c r="BZ144" s="61"/>
      <c r="CA144" s="61"/>
    </row>
    <row r="145" spans="1:79" s="16" customFormat="1" x14ac:dyDescent="0.3">
      <c r="A145" s="199" t="s">
        <v>130</v>
      </c>
      <c r="B145" s="482" t="s">
        <v>164</v>
      </c>
      <c r="C145" s="32" t="s">
        <v>546</v>
      </c>
      <c r="D145" s="32" t="s">
        <v>405</v>
      </c>
      <c r="E145" s="32"/>
      <c r="F145" s="32"/>
      <c r="G145" s="33" t="s">
        <v>11</v>
      </c>
      <c r="H145" s="34" t="s">
        <v>52</v>
      </c>
      <c r="I145" s="33" t="s">
        <v>60</v>
      </c>
      <c r="J145" s="33" t="s">
        <v>61</v>
      </c>
      <c r="K145" s="31" t="str">
        <f t="shared" si="237"/>
        <v>U Space</v>
      </c>
      <c r="L145" s="33">
        <v>24</v>
      </c>
      <c r="M145" s="33">
        <v>24</v>
      </c>
      <c r="N145" s="35">
        <f t="shared" si="207"/>
        <v>0</v>
      </c>
      <c r="O145" s="33">
        <v>24</v>
      </c>
      <c r="P145" s="33"/>
      <c r="Q145" s="42">
        <f>(35000)/12</f>
        <v>2916.6666666666665</v>
      </c>
      <c r="R145" s="43" t="str">
        <f t="shared" si="243"/>
        <v>Rated</v>
      </c>
      <c r="S145" s="44" t="s">
        <v>54</v>
      </c>
      <c r="T145" s="34">
        <v>4.5</v>
      </c>
      <c r="U145" s="45">
        <v>9.02</v>
      </c>
      <c r="V145" s="46">
        <f t="shared" si="208"/>
        <v>-4.5199999999999996</v>
      </c>
      <c r="W145" s="34"/>
      <c r="X145" s="34">
        <f t="shared" si="209"/>
        <v>0</v>
      </c>
      <c r="Y145" s="34">
        <f t="shared" si="202"/>
        <v>2.25</v>
      </c>
      <c r="Z145" s="481">
        <v>2.44</v>
      </c>
      <c r="AA145" s="34">
        <f t="shared" ref="AA145:AA159" si="246">IF((V145*-1)&gt;0, (V145*-1), 0)</f>
        <v>4.5199999999999996</v>
      </c>
      <c r="AB145" s="47">
        <f>90000/12</f>
        <v>7500</v>
      </c>
      <c r="AC145" s="48" t="str">
        <f t="shared" si="211"/>
        <v>Bundled</v>
      </c>
      <c r="AD145" s="34"/>
      <c r="AE145" s="34"/>
      <c r="AF145" s="49"/>
      <c r="AG145" s="34"/>
      <c r="AH145" s="50"/>
      <c r="AI145" s="51" t="str">
        <f>IF(AH145="No of Seats","No of Seats",(IF(AH145="Space","Sq Ft","")))</f>
        <v/>
      </c>
      <c r="AJ145" s="34"/>
      <c r="AK145" s="34"/>
      <c r="AL145" s="34">
        <f>AJ145-AK145</f>
        <v>0</v>
      </c>
      <c r="AM145" s="34"/>
      <c r="AN145" s="34"/>
      <c r="AO145" s="42"/>
      <c r="AP145" s="52">
        <f>Q145*O145</f>
        <v>70000</v>
      </c>
      <c r="AQ145" s="52">
        <f>AB145*AA145</f>
        <v>33900</v>
      </c>
      <c r="AR145" s="53">
        <f>AG145*AF145*AD145</f>
        <v>0</v>
      </c>
      <c r="AS145" s="52">
        <f>AO145*AM145</f>
        <v>0</v>
      </c>
      <c r="AT145" s="54">
        <v>0</v>
      </c>
      <c r="AU145" s="55">
        <f>SUBTOTAL(9,AP145:AT145)</f>
        <v>103900</v>
      </c>
      <c r="AV145" s="55"/>
      <c r="AW145" s="56"/>
      <c r="AX145" s="57"/>
      <c r="AY145" s="58"/>
      <c r="AZ145" s="57"/>
      <c r="BA145" s="198"/>
      <c r="BB145" s="5"/>
      <c r="BC145" s="25">
        <f>IF(I145="Rack",AU145/L145,0)+IF(I145="U Space",AU145*40/L145,0)+IF(I145="Space",AU145*30/L145,0)</f>
        <v>173166.66666666666</v>
      </c>
      <c r="BD145" s="25">
        <f>+AU145/Y145</f>
        <v>46177.777777777781</v>
      </c>
      <c r="BE145" s="25">
        <f t="shared" ref="BE145:BF148" si="247">+($AP145+$AQ145+$AR145-BL145)/$Y145</f>
        <v>26390.006484444446</v>
      </c>
      <c r="BF145" s="25">
        <f t="shared" si="247"/>
        <v>26390.006484444446</v>
      </c>
      <c r="BG145" s="25">
        <f>+($AP145+$AQ145+IF(H145="Bundled",0,Y145*0.85*AD145*AF145*30.5*24)-BN145)/$Y145</f>
        <v>27930.857527777778</v>
      </c>
      <c r="BH145" s="25"/>
      <c r="BI145" s="26">
        <f>+AP145+AQ145+AR145</f>
        <v>103900</v>
      </c>
      <c r="BJ145" s="26" t="e">
        <f>+BI145-BK145</f>
        <v>#REF!</v>
      </c>
      <c r="BK145" s="26" t="e">
        <f>IF(H145="Bundled",MIN(Y145*$AG$1*(1+#REF!),BI145),AR145)</f>
        <v>#REF!</v>
      </c>
      <c r="BL145" s="27">
        <f>IF($AG145&gt;0,$AG145*$AD$1*$AF$1*(1+$AI$1*(20/$AF$1)/732),$AG$1*Z145)</f>
        <v>44522.485409999994</v>
      </c>
      <c r="BM145" s="27">
        <f>IF($AG145&gt;0,$AG145*$AD$1*$AF$1*(1+$AI$1*(20/$AF$1)/732),+$AG$1*(Z145+X145))</f>
        <v>44522.485409999994</v>
      </c>
      <c r="BN145" s="27">
        <f t="shared" si="226"/>
        <v>41055.570562499997</v>
      </c>
      <c r="BO145" s="27">
        <f>+BE145*Y145</f>
        <v>59377.514590000006</v>
      </c>
      <c r="BP145" s="27" t="e">
        <f>+#REF!*Y145</f>
        <v>#REF!</v>
      </c>
      <c r="BQ145" s="27" t="e">
        <f>+BJ145-BP145</f>
        <v>#REF!</v>
      </c>
      <c r="BR145" s="27" t="e">
        <f>+BK145-BL145</f>
        <v>#REF!</v>
      </c>
      <c r="BS145" s="27" t="e">
        <f>+BQ145+BR145</f>
        <v>#REF!</v>
      </c>
      <c r="BT145" s="27">
        <f t="shared" si="231"/>
        <v>2.25</v>
      </c>
      <c r="BU145" s="27">
        <f>+BE145</f>
        <v>26390.006484444446</v>
      </c>
      <c r="BV145" s="27">
        <f>IF(H145="Bundled",BN145-BL145,AR145-BL145)</f>
        <v>-3466.9148474999965</v>
      </c>
      <c r="BW145" s="27" t="e">
        <f>IF(H145="Bundled",+(BG145-#REF!)*Y145,(AP145+AQ145)-Y145*#REF!)</f>
        <v>#REF!</v>
      </c>
      <c r="BX145" s="27" t="e">
        <f>+BV145+BW145</f>
        <v>#REF!</v>
      </c>
      <c r="BY145" s="27">
        <f t="shared" ref="BY145:CA148" si="248">+BV145/$BT145</f>
        <v>-1540.8510433333317</v>
      </c>
      <c r="BZ145" s="27" t="e">
        <f t="shared" si="248"/>
        <v>#REF!</v>
      </c>
      <c r="CA145" s="27" t="e">
        <f t="shared" si="248"/>
        <v>#REF!</v>
      </c>
    </row>
    <row r="146" spans="1:79" s="16" customFormat="1" x14ac:dyDescent="0.3">
      <c r="A146" s="199" t="s">
        <v>130</v>
      </c>
      <c r="B146" s="482"/>
      <c r="C146" s="279" t="s">
        <v>375</v>
      </c>
      <c r="D146" s="279" t="s">
        <v>404</v>
      </c>
      <c r="E146" s="279"/>
      <c r="F146" s="279"/>
      <c r="G146" s="33" t="s">
        <v>11</v>
      </c>
      <c r="H146" s="34" t="s">
        <v>52</v>
      </c>
      <c r="I146" s="33" t="s">
        <v>60</v>
      </c>
      <c r="J146" s="33" t="s">
        <v>61</v>
      </c>
      <c r="K146" s="31" t="str">
        <f t="shared" si="237"/>
        <v>U Space</v>
      </c>
      <c r="L146" s="33">
        <v>6</v>
      </c>
      <c r="M146" s="33">
        <v>6</v>
      </c>
      <c r="N146" s="35">
        <f t="shared" si="207"/>
        <v>0</v>
      </c>
      <c r="O146" s="33">
        <v>6</v>
      </c>
      <c r="P146" s="33"/>
      <c r="Q146" s="42">
        <f>12500/12</f>
        <v>1041.6666666666667</v>
      </c>
      <c r="R146" s="43" t="str">
        <f t="shared" si="243"/>
        <v>Rated</v>
      </c>
      <c r="S146" s="44" t="s">
        <v>54</v>
      </c>
      <c r="T146" s="34">
        <v>0.5</v>
      </c>
      <c r="U146" s="45">
        <v>0.28000000000000003</v>
      </c>
      <c r="V146" s="46">
        <f t="shared" si="208"/>
        <v>0.21999999999999997</v>
      </c>
      <c r="W146" s="34"/>
      <c r="X146" s="34">
        <f t="shared" si="209"/>
        <v>0.10999999999999999</v>
      </c>
      <c r="Y146" s="34">
        <f t="shared" si="202"/>
        <v>0.25</v>
      </c>
      <c r="Z146" s="481"/>
      <c r="AA146" s="34">
        <f t="shared" si="246"/>
        <v>0</v>
      </c>
      <c r="AB146" s="47"/>
      <c r="AC146" s="48" t="str">
        <f t="shared" si="211"/>
        <v>Bundled</v>
      </c>
      <c r="AD146" s="34"/>
      <c r="AE146" s="34"/>
      <c r="AF146" s="49"/>
      <c r="AG146" s="34"/>
      <c r="AH146" s="50"/>
      <c r="AI146" s="51" t="str">
        <f>IF(AH146="No of Seats","No of Seats",(IF(AH146="Space","Sq Ft","")))</f>
        <v/>
      </c>
      <c r="AJ146" s="34"/>
      <c r="AK146" s="34"/>
      <c r="AL146" s="34">
        <f>AJ146-AK146</f>
        <v>0</v>
      </c>
      <c r="AM146" s="34"/>
      <c r="AN146" s="34"/>
      <c r="AO146" s="42"/>
      <c r="AP146" s="52">
        <f>Q146*O146</f>
        <v>6250</v>
      </c>
      <c r="AQ146" s="52">
        <f>AB146*AA146</f>
        <v>0</v>
      </c>
      <c r="AR146" s="53">
        <f>AG146*AF146*AD146</f>
        <v>0</v>
      </c>
      <c r="AS146" s="52">
        <f>AO146*AM146</f>
        <v>0</v>
      </c>
      <c r="AT146" s="54">
        <v>0</v>
      </c>
      <c r="AU146" s="55">
        <f>SUBTOTAL(9,AP146:AT146)</f>
        <v>6250</v>
      </c>
      <c r="AV146" s="55"/>
      <c r="AW146" s="56"/>
      <c r="AX146" s="57"/>
      <c r="AY146" s="58"/>
      <c r="AZ146" s="57"/>
      <c r="BA146" s="198"/>
      <c r="BB146" s="5"/>
      <c r="BC146" s="25">
        <f>IF(I146="Rack",AU146/L146,0)+IF(I146="U Space",AU146*40/L146,0)+IF(I146="Space",AU146*30/L146,0)</f>
        <v>41666.666666666664</v>
      </c>
      <c r="BD146" s="25">
        <f>+AU146/Y146</f>
        <v>25000</v>
      </c>
      <c r="BE146" s="25">
        <f t="shared" si="247"/>
        <v>25000</v>
      </c>
      <c r="BF146" s="25">
        <f t="shared" si="247"/>
        <v>16971.355090000001</v>
      </c>
      <c r="BG146" s="25">
        <f>+($AP146+$AQ146+IF(H146="Bundled",0,Y146*0.85*AD146*AF146*30.5*24)-BN146)/$Y146</f>
        <v>6753.0797500000008</v>
      </c>
      <c r="BH146" s="25"/>
      <c r="BI146" s="26">
        <f>+AP146+AQ146+AR146</f>
        <v>6250</v>
      </c>
      <c r="BJ146" s="26" t="e">
        <f>+BI146-BK146</f>
        <v>#REF!</v>
      </c>
      <c r="BK146" s="26" t="e">
        <f>IF(H146="Bundled",MIN(Y146*$AG$1*(1+#REF!),BI146),AR146)</f>
        <v>#REF!</v>
      </c>
      <c r="BL146" s="27">
        <f>IF($AG146&gt;0,$AG146*$AD$1*$AF$1*(1+$AI$1*(20/$AF$1)/732),$AG$1*Z146)</f>
        <v>0</v>
      </c>
      <c r="BM146" s="27">
        <f>IF($AG146&gt;0,$AG146*$AD$1*$AF$1*(1+$AI$1*(20/$AF$1)/732),+$AG$1*(Z146+X146))</f>
        <v>2007.1612274999998</v>
      </c>
      <c r="BN146" s="27">
        <f t="shared" si="226"/>
        <v>4561.7300624999998</v>
      </c>
      <c r="BO146" s="27">
        <f>+BE146*Y146</f>
        <v>6250</v>
      </c>
      <c r="BP146" s="27" t="e">
        <f>+#REF!*Y146</f>
        <v>#REF!</v>
      </c>
      <c r="BQ146" s="27" t="e">
        <f>+BJ146-BP146</f>
        <v>#REF!</v>
      </c>
      <c r="BR146" s="27" t="e">
        <f>+BK146-BL146</f>
        <v>#REF!</v>
      </c>
      <c r="BS146" s="27" t="e">
        <f>+BQ146+BR146</f>
        <v>#REF!</v>
      </c>
      <c r="BT146" s="27">
        <f t="shared" si="231"/>
        <v>0.25</v>
      </c>
      <c r="BU146" s="27">
        <f>+BE146</f>
        <v>25000</v>
      </c>
      <c r="BV146" s="27">
        <f>IF(H146="Bundled",BN146-BL146,AR146-BL146)</f>
        <v>4561.7300624999998</v>
      </c>
      <c r="BW146" s="27" t="e">
        <f>IF(H146="Bundled",+(BG146-#REF!)*Y146,(AP146+AQ146)-Y146*#REF!)</f>
        <v>#REF!</v>
      </c>
      <c r="BX146" s="27" t="e">
        <f>+BV146+BW146</f>
        <v>#REF!</v>
      </c>
      <c r="BY146" s="27">
        <f t="shared" si="248"/>
        <v>18246.920249999999</v>
      </c>
      <c r="BZ146" s="27" t="e">
        <f t="shared" si="248"/>
        <v>#REF!</v>
      </c>
      <c r="CA146" s="27" t="e">
        <f t="shared" si="248"/>
        <v>#REF!</v>
      </c>
    </row>
    <row r="147" spans="1:79" s="16" customFormat="1" x14ac:dyDescent="0.3">
      <c r="A147" s="199" t="s">
        <v>130</v>
      </c>
      <c r="B147" s="482"/>
      <c r="C147" s="282" t="s">
        <v>395</v>
      </c>
      <c r="D147" s="372" t="s">
        <v>404</v>
      </c>
      <c r="E147" s="372"/>
      <c r="F147" s="372"/>
      <c r="G147" s="33" t="s">
        <v>11</v>
      </c>
      <c r="H147" s="34" t="s">
        <v>52</v>
      </c>
      <c r="I147" s="33" t="s">
        <v>60</v>
      </c>
      <c r="J147" s="33" t="s">
        <v>61</v>
      </c>
      <c r="K147" s="31" t="str">
        <f t="shared" si="237"/>
        <v>U Space</v>
      </c>
      <c r="L147" s="33">
        <v>1</v>
      </c>
      <c r="M147" s="33">
        <v>1</v>
      </c>
      <c r="N147" s="35">
        <f t="shared" si="207"/>
        <v>0</v>
      </c>
      <c r="O147" s="33">
        <v>1</v>
      </c>
      <c r="P147" s="33"/>
      <c r="Q147" s="42">
        <f>29000/12</f>
        <v>2416.6666666666665</v>
      </c>
      <c r="R147" s="43" t="str">
        <f t="shared" si="243"/>
        <v>Rated</v>
      </c>
      <c r="S147" s="44" t="s">
        <v>54</v>
      </c>
      <c r="T147" s="34">
        <v>0.25</v>
      </c>
      <c r="U147" s="45">
        <v>0.26</v>
      </c>
      <c r="V147" s="46">
        <f t="shared" si="208"/>
        <v>-1.0000000000000009E-2</v>
      </c>
      <c r="W147" s="34"/>
      <c r="X147" s="34">
        <f t="shared" si="209"/>
        <v>0</v>
      </c>
      <c r="Y147" s="34">
        <f t="shared" si="202"/>
        <v>0.125</v>
      </c>
      <c r="Z147" s="481"/>
      <c r="AA147" s="34">
        <f t="shared" si="246"/>
        <v>1.0000000000000009E-2</v>
      </c>
      <c r="AB147" s="47"/>
      <c r="AC147" s="48" t="str">
        <f t="shared" si="211"/>
        <v>Bundled</v>
      </c>
      <c r="AD147" s="34"/>
      <c r="AE147" s="34"/>
      <c r="AF147" s="49"/>
      <c r="AG147" s="34"/>
      <c r="AH147" s="50"/>
      <c r="AI147" s="51" t="str">
        <f>IF(AH147="No of Seats","No of Seats",(IF(AH147="Space","Sq Ft","")))</f>
        <v/>
      </c>
      <c r="AJ147" s="34"/>
      <c r="AK147" s="34"/>
      <c r="AL147" s="34">
        <f>AJ147-AK147</f>
        <v>0</v>
      </c>
      <c r="AM147" s="34"/>
      <c r="AN147" s="34"/>
      <c r="AO147" s="42"/>
      <c r="AP147" s="52">
        <f>Q147*O147</f>
        <v>2416.6666666666665</v>
      </c>
      <c r="AQ147" s="52">
        <f>AB147*AA147</f>
        <v>0</v>
      </c>
      <c r="AR147" s="53">
        <f>AG147*AF147*AD147</f>
        <v>0</v>
      </c>
      <c r="AS147" s="52">
        <f>AO147*AM147</f>
        <v>0</v>
      </c>
      <c r="AT147" s="54">
        <v>0</v>
      </c>
      <c r="AU147" s="55">
        <f>SUBTOTAL(9,AP147:AT147)</f>
        <v>2416.6666666666665</v>
      </c>
      <c r="AV147" s="55"/>
      <c r="AW147" s="56"/>
      <c r="AX147" s="57"/>
      <c r="AY147" s="58"/>
      <c r="AZ147" s="57"/>
      <c r="BA147" s="198"/>
      <c r="BB147" s="5"/>
      <c r="BC147" s="25">
        <f>IF(I147="Rack",AU147/L147,0)+IF(I147="U Space",AU147*40/L147,0)+IF(I147="Space",AU147*30/L147,0)</f>
        <v>96666.666666666657</v>
      </c>
      <c r="BD147" s="25">
        <f>+AU147/Y147</f>
        <v>19333.333333333332</v>
      </c>
      <c r="BE147" s="25">
        <f t="shared" si="247"/>
        <v>19333.333333333332</v>
      </c>
      <c r="BF147" s="25">
        <f t="shared" si="247"/>
        <v>19333.333333333332</v>
      </c>
      <c r="BG147" s="25">
        <f>+($AP147+$AQ147+IF(H147="Bundled",0,Y147*0.85*AD147*AF147*30.5*24)-BN147)/$Y147</f>
        <v>1086.4130833333329</v>
      </c>
      <c r="BH147" s="25"/>
      <c r="BI147" s="26">
        <f>+AP147+AQ147+AR147</f>
        <v>2416.6666666666665</v>
      </c>
      <c r="BJ147" s="26" t="e">
        <f>+BI147-BK147</f>
        <v>#REF!</v>
      </c>
      <c r="BK147" s="26" t="e">
        <f>IF(H147="Bundled",MIN(Y147*$AG$1*(1+#REF!),BI147),AR147)</f>
        <v>#REF!</v>
      </c>
      <c r="BL147" s="27">
        <f>IF($AG147&gt;0,$AG147*$AD$1*$AF$1*(1+$AI$1*(20/$AF$1)/732),$AG$1*Z147)</f>
        <v>0</v>
      </c>
      <c r="BM147" s="27">
        <f>IF($AG147&gt;0,$AG147*$AD$1*$AF$1*(1+$AI$1*(20/$AF$1)/732),+$AG$1*(Z147+X147))</f>
        <v>0</v>
      </c>
      <c r="BN147" s="27">
        <f t="shared" si="226"/>
        <v>2280.8650312499999</v>
      </c>
      <c r="BO147" s="27">
        <f>+BE147*Y147</f>
        <v>2416.6666666666665</v>
      </c>
      <c r="BP147" s="27" t="e">
        <f>+#REF!*Y147</f>
        <v>#REF!</v>
      </c>
      <c r="BQ147" s="27" t="e">
        <f>+BJ147-BP147</f>
        <v>#REF!</v>
      </c>
      <c r="BR147" s="27" t="e">
        <f>+BK147-BL147</f>
        <v>#REF!</v>
      </c>
      <c r="BS147" s="27" t="e">
        <f>+BQ147+BR147</f>
        <v>#REF!</v>
      </c>
      <c r="BT147" s="27">
        <f t="shared" si="231"/>
        <v>0.125</v>
      </c>
      <c r="BU147" s="27">
        <f>+BE147</f>
        <v>19333.333333333332</v>
      </c>
      <c r="BV147" s="27">
        <f>IF(H147="Bundled",BN147-BL147,AR147-BL147)</f>
        <v>2280.8650312499999</v>
      </c>
      <c r="BW147" s="27" t="e">
        <f>IF(H147="Bundled",+(BG147-#REF!)*Y147,(AP147+AQ147)-Y147*#REF!)</f>
        <v>#REF!</v>
      </c>
      <c r="BX147" s="27" t="e">
        <f>+BV147+BW147</f>
        <v>#REF!</v>
      </c>
      <c r="BY147" s="27">
        <f t="shared" si="248"/>
        <v>18246.920249999999</v>
      </c>
      <c r="BZ147" s="27" t="e">
        <f t="shared" si="248"/>
        <v>#REF!</v>
      </c>
      <c r="CA147" s="27" t="e">
        <f t="shared" si="248"/>
        <v>#REF!</v>
      </c>
    </row>
    <row r="148" spans="1:79" s="16" customFormat="1" ht="26" x14ac:dyDescent="0.3">
      <c r="A148" s="199" t="s">
        <v>130</v>
      </c>
      <c r="B148" s="482" t="s">
        <v>173</v>
      </c>
      <c r="C148" s="279" t="s">
        <v>507</v>
      </c>
      <c r="D148" s="279" t="s">
        <v>405</v>
      </c>
      <c r="E148" s="279"/>
      <c r="F148" s="279"/>
      <c r="G148" s="33" t="s">
        <v>11</v>
      </c>
      <c r="H148" s="34" t="s">
        <v>52</v>
      </c>
      <c r="I148" s="33" t="s">
        <v>60</v>
      </c>
      <c r="J148" s="33" t="s">
        <v>61</v>
      </c>
      <c r="K148" s="31" t="str">
        <f t="shared" si="237"/>
        <v>U Space</v>
      </c>
      <c r="L148" s="33">
        <v>6</v>
      </c>
      <c r="M148" s="33">
        <v>6</v>
      </c>
      <c r="N148" s="35">
        <f t="shared" si="207"/>
        <v>0</v>
      </c>
      <c r="O148" s="33">
        <v>6</v>
      </c>
      <c r="P148" s="33"/>
      <c r="Q148" s="42">
        <f>(22500)/12</f>
        <v>1875</v>
      </c>
      <c r="R148" s="43" t="str">
        <f t="shared" si="243"/>
        <v>Rated</v>
      </c>
      <c r="S148" s="44" t="s">
        <v>54</v>
      </c>
      <c r="T148" s="34">
        <v>0.24</v>
      </c>
      <c r="U148" s="45">
        <v>0.09</v>
      </c>
      <c r="V148" s="46">
        <f t="shared" si="208"/>
        <v>0.15</v>
      </c>
      <c r="W148" s="34"/>
      <c r="X148" s="34">
        <f t="shared" si="209"/>
        <v>7.4999999999999997E-2</v>
      </c>
      <c r="Y148" s="34">
        <f t="shared" si="202"/>
        <v>0.12</v>
      </c>
      <c r="Z148" s="481">
        <v>1.1000000000000001</v>
      </c>
      <c r="AA148" s="34">
        <f t="shared" si="246"/>
        <v>0</v>
      </c>
      <c r="AB148" s="47"/>
      <c r="AC148" s="48" t="str">
        <f t="shared" si="211"/>
        <v>Bundled</v>
      </c>
      <c r="AD148" s="34"/>
      <c r="AE148" s="34"/>
      <c r="AF148" s="49"/>
      <c r="AG148" s="34"/>
      <c r="AH148" s="50"/>
      <c r="AI148" s="51" t="str">
        <f>IF(AH148="No of Seats","No of Seats",(IF(AH148="Space","Sq Ft","")))</f>
        <v/>
      </c>
      <c r="AJ148" s="34"/>
      <c r="AK148" s="34"/>
      <c r="AL148" s="34">
        <f>AJ148-AK148</f>
        <v>0</v>
      </c>
      <c r="AM148" s="34"/>
      <c r="AN148" s="34"/>
      <c r="AO148" s="42"/>
      <c r="AP148" s="52">
        <f>Q148*O148</f>
        <v>11250</v>
      </c>
      <c r="AQ148" s="52">
        <f>AB148*AA148</f>
        <v>0</v>
      </c>
      <c r="AR148" s="53">
        <f>AG148*AF148*AD148</f>
        <v>0</v>
      </c>
      <c r="AS148" s="52">
        <f>AO148*AM148</f>
        <v>0</v>
      </c>
      <c r="AT148" s="54">
        <v>0</v>
      </c>
      <c r="AU148" s="55">
        <f>SUBTOTAL(9,AP148:AT148)</f>
        <v>11250</v>
      </c>
      <c r="AV148" s="55"/>
      <c r="AW148" s="56"/>
      <c r="AX148" s="57"/>
      <c r="AY148" s="58"/>
      <c r="AZ148" s="57"/>
      <c r="BA148" s="198"/>
      <c r="BB148" s="5"/>
      <c r="BC148" s="25">
        <f>IF(I148="Rack",AU148/L148,0)+IF(I148="U Space",AU148*40/L148,0)+IF(I148="Space",AU148*30/L148,0)</f>
        <v>75000</v>
      </c>
      <c r="BD148" s="25">
        <f>+AU148/Y148</f>
        <v>93750</v>
      </c>
      <c r="BE148" s="25">
        <f t="shared" si="247"/>
        <v>-73513.435624999998</v>
      </c>
      <c r="BF148" s="25">
        <f t="shared" si="247"/>
        <v>-84917.760781250006</v>
      </c>
      <c r="BG148" s="25">
        <f>+($AP148+$AQ148+IF(H148="Bundled",0,Y148*0.85*AD148*AF148*30.5*24)-BN148)/$Y148</f>
        <v>75503.079750000004</v>
      </c>
      <c r="BH148" s="25"/>
      <c r="BI148" s="26">
        <f>+AP148+AQ148+AR148</f>
        <v>11250</v>
      </c>
      <c r="BJ148" s="26" t="e">
        <f>+BI148-BK148</f>
        <v>#REF!</v>
      </c>
      <c r="BK148" s="26" t="e">
        <f>IF(H148="Bundled",MIN(Y148*$AG$1*(1+#REF!),BI148),AR148)</f>
        <v>#REF!</v>
      </c>
      <c r="BL148" s="27">
        <f>IF($AG148&gt;0,$AG148*$AD$1*$AF$1*(1+$AI$1*(20/$AF$1)/732),$AG$1*Z148)</f>
        <v>20071.612274999999</v>
      </c>
      <c r="BM148" s="27">
        <f>IF($AG148&gt;0,$AG148*$AD$1*$AF$1*(1+$AI$1*(20/$AF$1)/732),+$AG$1*(Z148+X148))</f>
        <v>21440.131293750001</v>
      </c>
      <c r="BN148" s="27">
        <f t="shared" si="226"/>
        <v>2189.6304299999997</v>
      </c>
      <c r="BO148" s="27">
        <f>+BE148*Y148</f>
        <v>-8821.6122749999995</v>
      </c>
      <c r="BP148" s="27" t="e">
        <f>+#REF!*Y148</f>
        <v>#REF!</v>
      </c>
      <c r="BQ148" s="27" t="e">
        <f>+BJ148-BP148</f>
        <v>#REF!</v>
      </c>
      <c r="BR148" s="27" t="e">
        <f>+BK148-BL148</f>
        <v>#REF!</v>
      </c>
      <c r="BS148" s="27" t="e">
        <f>+BQ148+BR148</f>
        <v>#REF!</v>
      </c>
      <c r="BT148" s="27">
        <f t="shared" si="231"/>
        <v>0.12</v>
      </c>
      <c r="BU148" s="27">
        <f>+BE148</f>
        <v>-73513.435624999998</v>
      </c>
      <c r="BV148" s="27">
        <f>IF(H148="Bundled",BN148-BL148,AR148-BL148)</f>
        <v>-17881.981844999998</v>
      </c>
      <c r="BW148" s="27" t="e">
        <f>IF(H148="Bundled",+(BG148-#REF!)*Y148,(AP148+AQ148)-Y148*#REF!)</f>
        <v>#REF!</v>
      </c>
      <c r="BX148" s="27" t="e">
        <f>+BV148+BW148</f>
        <v>#REF!</v>
      </c>
      <c r="BY148" s="27">
        <f t="shared" si="248"/>
        <v>-149016.51537499999</v>
      </c>
      <c r="BZ148" s="27" t="e">
        <f t="shared" si="248"/>
        <v>#REF!</v>
      </c>
      <c r="CA148" s="27" t="e">
        <f t="shared" si="248"/>
        <v>#REF!</v>
      </c>
    </row>
    <row r="149" spans="1:79" s="16" customFormat="1" x14ac:dyDescent="0.3">
      <c r="A149" s="199" t="s">
        <v>130</v>
      </c>
      <c r="B149" s="482"/>
      <c r="C149" s="32" t="s">
        <v>508</v>
      </c>
      <c r="D149" s="32" t="s">
        <v>404</v>
      </c>
      <c r="E149" s="32"/>
      <c r="F149" s="32"/>
      <c r="G149" s="33" t="s">
        <v>11</v>
      </c>
      <c r="H149" s="34" t="s">
        <v>52</v>
      </c>
      <c r="I149" s="33" t="s">
        <v>60</v>
      </c>
      <c r="J149" s="33" t="s">
        <v>61</v>
      </c>
      <c r="K149" s="31" t="str">
        <f t="shared" si="237"/>
        <v>U Space</v>
      </c>
      <c r="L149" s="33">
        <v>2</v>
      </c>
      <c r="M149" s="33">
        <v>2</v>
      </c>
      <c r="N149" s="35">
        <f t="shared" si="207"/>
        <v>0</v>
      </c>
      <c r="O149" s="33">
        <v>2</v>
      </c>
      <c r="P149" s="33"/>
      <c r="Q149" s="42"/>
      <c r="R149" s="43" t="str">
        <f t="shared" si="243"/>
        <v>Rated</v>
      </c>
      <c r="S149" s="44" t="s">
        <v>54</v>
      </c>
      <c r="T149" s="34">
        <v>0.4</v>
      </c>
      <c r="U149" s="45">
        <v>0.04</v>
      </c>
      <c r="V149" s="46">
        <f t="shared" si="208"/>
        <v>0.36000000000000004</v>
      </c>
      <c r="W149" s="34"/>
      <c r="X149" s="34">
        <f t="shared" si="209"/>
        <v>0.18000000000000002</v>
      </c>
      <c r="Y149" s="34">
        <f t="shared" si="202"/>
        <v>0.2</v>
      </c>
      <c r="Z149" s="481"/>
      <c r="AA149" s="34">
        <f t="shared" si="246"/>
        <v>0</v>
      </c>
      <c r="AB149" s="47"/>
      <c r="AC149" s="48" t="str">
        <f t="shared" si="211"/>
        <v>Bundled</v>
      </c>
      <c r="AD149" s="34"/>
      <c r="AE149" s="34"/>
      <c r="AF149" s="49"/>
      <c r="AG149" s="34"/>
      <c r="AH149" s="50"/>
      <c r="AI149" s="51"/>
      <c r="AJ149" s="34"/>
      <c r="AK149" s="34"/>
      <c r="AL149" s="34"/>
      <c r="AM149" s="34"/>
      <c r="AN149" s="34"/>
      <c r="AO149" s="42"/>
      <c r="AP149" s="52"/>
      <c r="AQ149" s="52"/>
      <c r="AR149" s="53"/>
      <c r="AS149" s="52"/>
      <c r="AT149" s="54"/>
      <c r="AU149" s="55"/>
      <c r="AV149" s="55"/>
      <c r="AW149" s="56"/>
      <c r="AX149" s="57"/>
      <c r="AY149" s="58"/>
      <c r="AZ149" s="57"/>
      <c r="BA149" s="198"/>
      <c r="BB149" s="5"/>
      <c r="BC149" s="59"/>
      <c r="BD149" s="59"/>
      <c r="BE149" s="59"/>
      <c r="BF149" s="59"/>
      <c r="BG149" s="59"/>
      <c r="BH149" s="59"/>
      <c r="BI149" s="60"/>
      <c r="BJ149" s="60"/>
      <c r="BK149" s="60"/>
      <c r="BL149" s="61"/>
      <c r="BM149" s="61"/>
      <c r="BN149" s="61">
        <f t="shared" si="226"/>
        <v>3649.3840500000001</v>
      </c>
      <c r="BO149" s="61"/>
      <c r="BP149" s="61"/>
      <c r="BQ149" s="61"/>
      <c r="BR149" s="61"/>
      <c r="BS149" s="61"/>
      <c r="BT149" s="61">
        <f t="shared" si="231"/>
        <v>0.2</v>
      </c>
      <c r="BU149" s="61"/>
      <c r="BV149" s="61"/>
      <c r="BW149" s="61"/>
      <c r="BX149" s="61"/>
      <c r="BY149" s="61"/>
      <c r="BZ149" s="61"/>
      <c r="CA149" s="61"/>
    </row>
    <row r="150" spans="1:79" s="16" customFormat="1" x14ac:dyDescent="0.3">
      <c r="A150" s="199" t="s">
        <v>130</v>
      </c>
      <c r="B150" s="482"/>
      <c r="C150" s="279" t="s">
        <v>510</v>
      </c>
      <c r="D150" s="279" t="s">
        <v>405</v>
      </c>
      <c r="E150" s="279"/>
      <c r="F150" s="279"/>
      <c r="G150" s="33" t="s">
        <v>11</v>
      </c>
      <c r="H150" s="34" t="s">
        <v>52</v>
      </c>
      <c r="I150" s="33" t="s">
        <v>60</v>
      </c>
      <c r="J150" s="33" t="s">
        <v>61</v>
      </c>
      <c r="K150" s="31" t="str">
        <f t="shared" si="237"/>
        <v>U Space</v>
      </c>
      <c r="L150" s="33">
        <v>3</v>
      </c>
      <c r="M150" s="33">
        <v>3</v>
      </c>
      <c r="N150" s="35">
        <f t="shared" si="207"/>
        <v>0</v>
      </c>
      <c r="O150" s="33">
        <v>3</v>
      </c>
      <c r="P150" s="33"/>
      <c r="Q150" s="42"/>
      <c r="R150" s="43" t="str">
        <f t="shared" si="243"/>
        <v>Rated</v>
      </c>
      <c r="S150" s="44" t="s">
        <v>54</v>
      </c>
      <c r="T150" s="34">
        <v>0.3</v>
      </c>
      <c r="U150" s="45">
        <v>0.27</v>
      </c>
      <c r="V150" s="46">
        <f t="shared" si="208"/>
        <v>2.9999999999999971E-2</v>
      </c>
      <c r="W150" s="34"/>
      <c r="X150" s="34">
        <f t="shared" si="209"/>
        <v>1.4999999999999986E-2</v>
      </c>
      <c r="Y150" s="34">
        <f t="shared" si="202"/>
        <v>0.15</v>
      </c>
      <c r="Z150" s="481"/>
      <c r="AA150" s="34">
        <f t="shared" si="246"/>
        <v>0</v>
      </c>
      <c r="AB150" s="47"/>
      <c r="AC150" s="48" t="str">
        <f t="shared" si="211"/>
        <v>Bundled</v>
      </c>
      <c r="AD150" s="34"/>
      <c r="AE150" s="34"/>
      <c r="AF150" s="49"/>
      <c r="AG150" s="34"/>
      <c r="AH150" s="50"/>
      <c r="AI150" s="51" t="str">
        <f>IF(AH150="No of Seats","No of Seats",(IF(AH150="Space","Sq Ft","")))</f>
        <v/>
      </c>
      <c r="AJ150" s="34"/>
      <c r="AK150" s="34"/>
      <c r="AL150" s="34">
        <f t="shared" ref="AL150:AL159" si="249">AJ150-AK150</f>
        <v>0</v>
      </c>
      <c r="AM150" s="34"/>
      <c r="AN150" s="34"/>
      <c r="AO150" s="42"/>
      <c r="AP150" s="52">
        <f t="shared" ref="AP150:AP159" si="250">Q150*O150</f>
        <v>0</v>
      </c>
      <c r="AQ150" s="52">
        <f t="shared" ref="AQ150:AQ159" si="251">AB150*AA150</f>
        <v>0</v>
      </c>
      <c r="AR150" s="53">
        <f t="shared" ref="AR150:AR159" si="252">AG150*AF150*AD150</f>
        <v>0</v>
      </c>
      <c r="AS150" s="52">
        <f t="shared" ref="AS150:AS159" si="253">AO150*AM150</f>
        <v>0</v>
      </c>
      <c r="AT150" s="54">
        <v>0</v>
      </c>
      <c r="AU150" s="55">
        <f t="shared" ref="AU150:AU159" si="254">SUBTOTAL(9,AP150:AT150)</f>
        <v>0</v>
      </c>
      <c r="AV150" s="55"/>
      <c r="AW150" s="56"/>
      <c r="AX150" s="57"/>
      <c r="AY150" s="58"/>
      <c r="AZ150" s="57"/>
      <c r="BA150" s="198"/>
      <c r="BB150" s="5"/>
      <c r="BC150" s="25">
        <f t="shared" ref="BC150:BC159" si="255">IF(I150="Rack",AU150/L150,0)+IF(I150="U Space",AU150*40/L150,0)+IF(I150="Space",AU150*30/L150,0)</f>
        <v>0</v>
      </c>
      <c r="BD150" s="25">
        <f t="shared" ref="BD150:BD159" si="256">+AU150/Y150</f>
        <v>0</v>
      </c>
      <c r="BE150" s="25">
        <f t="shared" ref="BE150:BE159" si="257">+($AP150+$AQ150+$AR150-BL150)/$Y150</f>
        <v>0</v>
      </c>
      <c r="BF150" s="25">
        <f t="shared" ref="BF150:BF159" si="258">+($AP150+$AQ150+$AR150-BM150)/$Y150</f>
        <v>-1824.6920249999982</v>
      </c>
      <c r="BG150" s="25">
        <f t="shared" ref="BG150:BG159" si="259">+($AP150+$AQ150+IF(H150="Bundled",0,Y150*0.85*AD150*AF150*30.5*24)-BN150)/$Y150</f>
        <v>-18246.920249999999</v>
      </c>
      <c r="BH150" s="25"/>
      <c r="BI150" s="26">
        <f t="shared" ref="BI150:BI159" si="260">+AP150+AQ150+AR150</f>
        <v>0</v>
      </c>
      <c r="BJ150" s="26" t="e">
        <f t="shared" ref="BJ150:BJ159" si="261">+BI150-BK150</f>
        <v>#REF!</v>
      </c>
      <c r="BK150" s="26" t="e">
        <f>IF(H150="Bundled",MIN(Y150*$AG$1*(1+#REF!),BI150),AR150)</f>
        <v>#REF!</v>
      </c>
      <c r="BL150" s="27">
        <f t="shared" ref="BL150:BL159" si="262">IF($AG150&gt;0,$AG150*$AD$1*$AF$1*(1+$AI$1*(20/$AF$1)/732),$AG$1*Z150)</f>
        <v>0</v>
      </c>
      <c r="BM150" s="27">
        <f t="shared" ref="BM150:BM159" si="263">IF($AG150&gt;0,$AG150*$AD$1*$AF$1*(1+$AI$1*(20/$AF$1)/732),+$AG$1*(Z150+X150))</f>
        <v>273.70380374999974</v>
      </c>
      <c r="BN150" s="27">
        <f t="shared" si="226"/>
        <v>2737.0380375</v>
      </c>
      <c r="BO150" s="27">
        <f t="shared" ref="BO150:BO159" si="264">+BE150*Y150</f>
        <v>0</v>
      </c>
      <c r="BP150" s="27" t="e">
        <f>+#REF!*Y150</f>
        <v>#REF!</v>
      </c>
      <c r="BQ150" s="27" t="e">
        <f t="shared" ref="BQ150:BQ159" si="265">+BJ150-BP150</f>
        <v>#REF!</v>
      </c>
      <c r="BR150" s="27" t="e">
        <f t="shared" ref="BR150:BR159" si="266">+BK150-BL150</f>
        <v>#REF!</v>
      </c>
      <c r="BS150" s="27" t="e">
        <f t="shared" ref="BS150:BS159" si="267">+BQ150+BR150</f>
        <v>#REF!</v>
      </c>
      <c r="BT150" s="27">
        <f t="shared" si="231"/>
        <v>0.15</v>
      </c>
      <c r="BU150" s="27">
        <f t="shared" ref="BU150:BU159" si="268">+BE150</f>
        <v>0</v>
      </c>
      <c r="BV150" s="27">
        <f t="shared" ref="BV150:BV159" si="269">IF(H150="Bundled",BN150-BL150,AR150-BL150)</f>
        <v>2737.0380375</v>
      </c>
      <c r="BW150" s="27" t="e">
        <f>IF(H150="Bundled",+(BG150-#REF!)*Y150,(AP150+AQ150)-Y150*#REF!)</f>
        <v>#REF!</v>
      </c>
      <c r="BX150" s="27" t="e">
        <f t="shared" ref="BX150:BX159" si="270">+BV150+BW150</f>
        <v>#REF!</v>
      </c>
      <c r="BY150" s="27">
        <f t="shared" ref="BY150:BY158" si="271">+BV150/$BT150</f>
        <v>18246.920249999999</v>
      </c>
      <c r="BZ150" s="27" t="e">
        <f t="shared" ref="BZ150:BZ158" si="272">+BW150/$BT150</f>
        <v>#REF!</v>
      </c>
      <c r="CA150" s="27" t="e">
        <f t="shared" ref="CA150:CA158" si="273">+BX150/$BT150</f>
        <v>#REF!</v>
      </c>
    </row>
    <row r="151" spans="1:79" s="16" customFormat="1" ht="26" x14ac:dyDescent="0.3">
      <c r="A151" s="199" t="s">
        <v>130</v>
      </c>
      <c r="B151" s="482"/>
      <c r="C151" s="32" t="s">
        <v>512</v>
      </c>
      <c r="D151" s="32" t="s">
        <v>405</v>
      </c>
      <c r="E151" s="32"/>
      <c r="F151" s="32"/>
      <c r="G151" s="33" t="s">
        <v>11</v>
      </c>
      <c r="H151" s="34" t="s">
        <v>52</v>
      </c>
      <c r="I151" s="33" t="s">
        <v>60</v>
      </c>
      <c r="J151" s="33" t="s">
        <v>61</v>
      </c>
      <c r="K151" s="31" t="str">
        <f t="shared" si="237"/>
        <v>U Space</v>
      </c>
      <c r="L151" s="33">
        <v>6</v>
      </c>
      <c r="M151" s="33">
        <v>6</v>
      </c>
      <c r="N151" s="35">
        <f t="shared" si="207"/>
        <v>0</v>
      </c>
      <c r="O151" s="33">
        <v>6</v>
      </c>
      <c r="P151" s="33"/>
      <c r="Q151" s="42">
        <f>(35000)/12</f>
        <v>2916.6666666666665</v>
      </c>
      <c r="R151" s="43" t="str">
        <f t="shared" si="243"/>
        <v>Rated</v>
      </c>
      <c r="S151" s="44" t="s">
        <v>54</v>
      </c>
      <c r="T151" s="34">
        <v>1</v>
      </c>
      <c r="U151" s="45">
        <v>2.33</v>
      </c>
      <c r="V151" s="46">
        <f t="shared" si="208"/>
        <v>-1.33</v>
      </c>
      <c r="W151" s="34"/>
      <c r="X151" s="34">
        <f t="shared" si="209"/>
        <v>0</v>
      </c>
      <c r="Y151" s="34">
        <f t="shared" si="202"/>
        <v>0.5</v>
      </c>
      <c r="Z151" s="481"/>
      <c r="AA151" s="34">
        <f t="shared" si="246"/>
        <v>1.33</v>
      </c>
      <c r="AB151" s="47"/>
      <c r="AC151" s="48" t="str">
        <f t="shared" si="211"/>
        <v>Bundled</v>
      </c>
      <c r="AD151" s="34"/>
      <c r="AE151" s="34"/>
      <c r="AF151" s="49"/>
      <c r="AG151" s="34"/>
      <c r="AH151" s="50"/>
      <c r="AI151" s="51" t="str">
        <f>IF(AH151="No of Seats","No of Seats",(IF(AH151="Space","Sq Ft","")))</f>
        <v/>
      </c>
      <c r="AJ151" s="34"/>
      <c r="AK151" s="34"/>
      <c r="AL151" s="34">
        <f t="shared" si="249"/>
        <v>0</v>
      </c>
      <c r="AM151" s="34"/>
      <c r="AN151" s="34"/>
      <c r="AO151" s="42"/>
      <c r="AP151" s="52">
        <f t="shared" si="250"/>
        <v>17500</v>
      </c>
      <c r="AQ151" s="52">
        <f t="shared" si="251"/>
        <v>0</v>
      </c>
      <c r="AR151" s="53">
        <f t="shared" si="252"/>
        <v>0</v>
      </c>
      <c r="AS151" s="52">
        <f t="shared" si="253"/>
        <v>0</v>
      </c>
      <c r="AT151" s="54">
        <v>0</v>
      </c>
      <c r="AU151" s="55">
        <f t="shared" si="254"/>
        <v>17500</v>
      </c>
      <c r="AV151" s="55"/>
      <c r="AW151" s="56"/>
      <c r="AX151" s="57"/>
      <c r="AY151" s="58"/>
      <c r="AZ151" s="57"/>
      <c r="BA151" s="198"/>
      <c r="BB151" s="5"/>
      <c r="BC151" s="25">
        <f t="shared" si="255"/>
        <v>116666.66666666667</v>
      </c>
      <c r="BD151" s="25">
        <f t="shared" si="256"/>
        <v>35000</v>
      </c>
      <c r="BE151" s="25">
        <f t="shared" si="257"/>
        <v>35000</v>
      </c>
      <c r="BF151" s="25">
        <f t="shared" si="258"/>
        <v>35000</v>
      </c>
      <c r="BG151" s="25">
        <f t="shared" si="259"/>
        <v>16753.079750000001</v>
      </c>
      <c r="BH151" s="25"/>
      <c r="BI151" s="26">
        <f t="shared" si="260"/>
        <v>17500</v>
      </c>
      <c r="BJ151" s="26" t="e">
        <f t="shared" si="261"/>
        <v>#REF!</v>
      </c>
      <c r="BK151" s="26" t="e">
        <f>IF(H151="Bundled",MIN(Y151*$AG$1*(1+#REF!),BI151),AR151)</f>
        <v>#REF!</v>
      </c>
      <c r="BL151" s="27">
        <f t="shared" si="262"/>
        <v>0</v>
      </c>
      <c r="BM151" s="27">
        <f t="shared" si="263"/>
        <v>0</v>
      </c>
      <c r="BN151" s="27">
        <f t="shared" si="226"/>
        <v>9123.4601249999996</v>
      </c>
      <c r="BO151" s="27">
        <f t="shared" si="264"/>
        <v>17500</v>
      </c>
      <c r="BP151" s="27" t="e">
        <f>+#REF!*Y151</f>
        <v>#REF!</v>
      </c>
      <c r="BQ151" s="27" t="e">
        <f t="shared" si="265"/>
        <v>#REF!</v>
      </c>
      <c r="BR151" s="27" t="e">
        <f t="shared" si="266"/>
        <v>#REF!</v>
      </c>
      <c r="BS151" s="27" t="e">
        <f t="shared" si="267"/>
        <v>#REF!</v>
      </c>
      <c r="BT151" s="27">
        <f t="shared" si="231"/>
        <v>0.5</v>
      </c>
      <c r="BU151" s="27">
        <f t="shared" si="268"/>
        <v>35000</v>
      </c>
      <c r="BV151" s="27">
        <f t="shared" si="269"/>
        <v>9123.4601249999996</v>
      </c>
      <c r="BW151" s="27" t="e">
        <f>IF(H151="Bundled",+(BG151-#REF!)*Y151,(AP151+AQ151)-Y151*#REF!)</f>
        <v>#REF!</v>
      </c>
      <c r="BX151" s="27" t="e">
        <f t="shared" si="270"/>
        <v>#REF!</v>
      </c>
      <c r="BY151" s="27">
        <f t="shared" si="271"/>
        <v>18246.920249999999</v>
      </c>
      <c r="BZ151" s="27" t="e">
        <f t="shared" si="272"/>
        <v>#REF!</v>
      </c>
      <c r="CA151" s="27" t="e">
        <f t="shared" si="273"/>
        <v>#REF!</v>
      </c>
    </row>
    <row r="152" spans="1:79" s="16" customFormat="1" x14ac:dyDescent="0.3">
      <c r="A152" s="199" t="s">
        <v>130</v>
      </c>
      <c r="B152" s="482"/>
      <c r="C152" s="279" t="s">
        <v>515</v>
      </c>
      <c r="D152" s="279" t="s">
        <v>404</v>
      </c>
      <c r="E152" s="279"/>
      <c r="F152" s="279"/>
      <c r="G152" s="33" t="s">
        <v>11</v>
      </c>
      <c r="H152" s="34" t="s">
        <v>52</v>
      </c>
      <c r="I152" s="33" t="s">
        <v>60</v>
      </c>
      <c r="J152" s="33" t="s">
        <v>61</v>
      </c>
      <c r="K152" s="31" t="str">
        <f t="shared" si="237"/>
        <v>U Space</v>
      </c>
      <c r="L152" s="33">
        <v>2</v>
      </c>
      <c r="M152" s="33">
        <v>2</v>
      </c>
      <c r="N152" s="35">
        <f t="shared" si="207"/>
        <v>0</v>
      </c>
      <c r="O152" s="33">
        <v>2</v>
      </c>
      <c r="P152" s="33"/>
      <c r="Q152" s="42"/>
      <c r="R152" s="43" t="str">
        <f t="shared" si="243"/>
        <v>Rated</v>
      </c>
      <c r="S152" s="44" t="s">
        <v>54</v>
      </c>
      <c r="T152" s="34">
        <v>0.5</v>
      </c>
      <c r="U152" s="45">
        <v>5.6000000000000001E-2</v>
      </c>
      <c r="V152" s="46">
        <f t="shared" si="208"/>
        <v>0.44400000000000001</v>
      </c>
      <c r="W152" s="34"/>
      <c r="X152" s="34">
        <f t="shared" si="209"/>
        <v>0.222</v>
      </c>
      <c r="Y152" s="34">
        <f t="shared" si="202"/>
        <v>0.25</v>
      </c>
      <c r="Z152" s="481"/>
      <c r="AA152" s="34">
        <f t="shared" si="246"/>
        <v>0</v>
      </c>
      <c r="AB152" s="47"/>
      <c r="AC152" s="48" t="str">
        <f t="shared" si="211"/>
        <v>Bundled</v>
      </c>
      <c r="AD152" s="34"/>
      <c r="AE152" s="34"/>
      <c r="AF152" s="49"/>
      <c r="AG152" s="34"/>
      <c r="AH152" s="50"/>
      <c r="AI152" s="51" t="str">
        <f>IF(AH152="No of Seats","No of Seats",(IF(AH152="Space","Sq Ft","")))</f>
        <v/>
      </c>
      <c r="AJ152" s="34"/>
      <c r="AK152" s="34"/>
      <c r="AL152" s="34">
        <f t="shared" si="249"/>
        <v>0</v>
      </c>
      <c r="AM152" s="34"/>
      <c r="AN152" s="34"/>
      <c r="AO152" s="42"/>
      <c r="AP152" s="52">
        <f t="shared" si="250"/>
        <v>0</v>
      </c>
      <c r="AQ152" s="52">
        <f t="shared" si="251"/>
        <v>0</v>
      </c>
      <c r="AR152" s="53">
        <f t="shared" si="252"/>
        <v>0</v>
      </c>
      <c r="AS152" s="52">
        <f t="shared" si="253"/>
        <v>0</v>
      </c>
      <c r="AT152" s="54">
        <v>0</v>
      </c>
      <c r="AU152" s="55">
        <f t="shared" si="254"/>
        <v>0</v>
      </c>
      <c r="AV152" s="55"/>
      <c r="AW152" s="56"/>
      <c r="AX152" s="57"/>
      <c r="AY152" s="58"/>
      <c r="AZ152" s="57"/>
      <c r="BA152" s="198"/>
      <c r="BB152" s="5"/>
      <c r="BC152" s="25">
        <f t="shared" si="255"/>
        <v>0</v>
      </c>
      <c r="BD152" s="25">
        <f t="shared" si="256"/>
        <v>0</v>
      </c>
      <c r="BE152" s="25">
        <f t="shared" si="257"/>
        <v>0</v>
      </c>
      <c r="BF152" s="25">
        <f t="shared" si="258"/>
        <v>-16203.265181999999</v>
      </c>
      <c r="BG152" s="25">
        <f t="shared" si="259"/>
        <v>-18246.920249999999</v>
      </c>
      <c r="BH152" s="25"/>
      <c r="BI152" s="26">
        <f t="shared" si="260"/>
        <v>0</v>
      </c>
      <c r="BJ152" s="26" t="e">
        <f t="shared" si="261"/>
        <v>#REF!</v>
      </c>
      <c r="BK152" s="26" t="e">
        <f>IF(H152="Bundled",MIN(Y152*$AG$1*(1+#REF!),BI152),AR152)</f>
        <v>#REF!</v>
      </c>
      <c r="BL152" s="27">
        <f t="shared" si="262"/>
        <v>0</v>
      </c>
      <c r="BM152" s="27">
        <f t="shared" si="263"/>
        <v>4050.8162954999998</v>
      </c>
      <c r="BN152" s="27">
        <f t="shared" si="226"/>
        <v>4561.7300624999998</v>
      </c>
      <c r="BO152" s="27">
        <f t="shared" si="264"/>
        <v>0</v>
      </c>
      <c r="BP152" s="27" t="e">
        <f>+#REF!*Y152</f>
        <v>#REF!</v>
      </c>
      <c r="BQ152" s="27" t="e">
        <f t="shared" si="265"/>
        <v>#REF!</v>
      </c>
      <c r="BR152" s="27" t="e">
        <f t="shared" si="266"/>
        <v>#REF!</v>
      </c>
      <c r="BS152" s="27" t="e">
        <f t="shared" si="267"/>
        <v>#REF!</v>
      </c>
      <c r="BT152" s="27">
        <f t="shared" si="231"/>
        <v>0.25</v>
      </c>
      <c r="BU152" s="27">
        <f t="shared" si="268"/>
        <v>0</v>
      </c>
      <c r="BV152" s="27">
        <f t="shared" si="269"/>
        <v>4561.7300624999998</v>
      </c>
      <c r="BW152" s="27" t="e">
        <f>IF(H152="Bundled",+(BG152-#REF!)*Y152,(AP152+AQ152)-Y152*#REF!)</f>
        <v>#REF!</v>
      </c>
      <c r="BX152" s="27" t="e">
        <f t="shared" si="270"/>
        <v>#REF!</v>
      </c>
      <c r="BY152" s="27">
        <f t="shared" si="271"/>
        <v>18246.920249999999</v>
      </c>
      <c r="BZ152" s="27" t="e">
        <f t="shared" si="272"/>
        <v>#REF!</v>
      </c>
      <c r="CA152" s="27" t="e">
        <f t="shared" si="273"/>
        <v>#REF!</v>
      </c>
    </row>
    <row r="153" spans="1:79" s="16" customFormat="1" x14ac:dyDescent="0.3">
      <c r="A153" s="199" t="s">
        <v>130</v>
      </c>
      <c r="B153" s="81" t="s">
        <v>169</v>
      </c>
      <c r="C153" s="132" t="s">
        <v>373</v>
      </c>
      <c r="D153" s="132" t="s">
        <v>404</v>
      </c>
      <c r="E153" s="132"/>
      <c r="F153" s="132"/>
      <c r="G153" s="33" t="s">
        <v>11</v>
      </c>
      <c r="H153" s="34" t="s">
        <v>52</v>
      </c>
      <c r="I153" s="33" t="s">
        <v>8</v>
      </c>
      <c r="J153" s="33" t="s">
        <v>61</v>
      </c>
      <c r="K153" s="31" t="str">
        <f t="shared" si="237"/>
        <v>No of Racks</v>
      </c>
      <c r="L153" s="33">
        <v>2</v>
      </c>
      <c r="M153" s="33">
        <v>2</v>
      </c>
      <c r="N153" s="35">
        <f t="shared" si="207"/>
        <v>0</v>
      </c>
      <c r="O153" s="33">
        <v>2</v>
      </c>
      <c r="P153" s="33"/>
      <c r="Q153" s="42">
        <f>(675000)/12</f>
        <v>56250</v>
      </c>
      <c r="R153" s="43" t="str">
        <f t="shared" si="243"/>
        <v>Rated</v>
      </c>
      <c r="S153" s="33" t="s">
        <v>54</v>
      </c>
      <c r="T153" s="34">
        <v>6</v>
      </c>
      <c r="U153" s="45">
        <v>8.69</v>
      </c>
      <c r="V153" s="46">
        <f t="shared" si="208"/>
        <v>-2.6899999999999995</v>
      </c>
      <c r="W153" s="34"/>
      <c r="X153" s="34">
        <f t="shared" si="209"/>
        <v>0</v>
      </c>
      <c r="Y153" s="34">
        <f t="shared" si="202"/>
        <v>3</v>
      </c>
      <c r="Z153" s="65">
        <v>2.97</v>
      </c>
      <c r="AA153" s="34">
        <f t="shared" si="246"/>
        <v>2.6899999999999995</v>
      </c>
      <c r="AB153" s="47">
        <f>90000/12</f>
        <v>7500</v>
      </c>
      <c r="AC153" s="48" t="str">
        <f t="shared" si="211"/>
        <v>Bundled</v>
      </c>
      <c r="AD153" s="34"/>
      <c r="AE153" s="34"/>
      <c r="AF153" s="49"/>
      <c r="AG153" s="34"/>
      <c r="AH153" s="50"/>
      <c r="AI153" s="51"/>
      <c r="AJ153" s="34"/>
      <c r="AK153" s="34"/>
      <c r="AL153" s="34">
        <f t="shared" si="249"/>
        <v>0</v>
      </c>
      <c r="AM153" s="34"/>
      <c r="AN153" s="34"/>
      <c r="AO153" s="42">
        <f>(0)/12</f>
        <v>0</v>
      </c>
      <c r="AP153" s="52">
        <f t="shared" si="250"/>
        <v>112500</v>
      </c>
      <c r="AQ153" s="52">
        <f t="shared" si="251"/>
        <v>20174.999999999996</v>
      </c>
      <c r="AR153" s="53">
        <f t="shared" si="252"/>
        <v>0</v>
      </c>
      <c r="AS153" s="52">
        <f t="shared" si="253"/>
        <v>0</v>
      </c>
      <c r="AT153" s="54">
        <f t="shared" ref="AT153" si="274">0/12</f>
        <v>0</v>
      </c>
      <c r="AU153" s="55">
        <f t="shared" si="254"/>
        <v>132675</v>
      </c>
      <c r="AV153" s="55"/>
      <c r="AW153" s="67"/>
      <c r="AX153" s="68"/>
      <c r="AY153" s="69"/>
      <c r="AZ153" s="68"/>
      <c r="BA153" s="89"/>
      <c r="BB153" s="5"/>
      <c r="BC153" s="25">
        <f t="shared" si="255"/>
        <v>66337.5</v>
      </c>
      <c r="BD153" s="25">
        <f t="shared" si="256"/>
        <v>44225</v>
      </c>
      <c r="BE153" s="25">
        <f t="shared" si="257"/>
        <v>26160.548952499998</v>
      </c>
      <c r="BF153" s="25">
        <f t="shared" si="258"/>
        <v>26160.548952499998</v>
      </c>
      <c r="BG153" s="25">
        <f t="shared" si="259"/>
        <v>25978.079750000001</v>
      </c>
      <c r="BH153" s="25"/>
      <c r="BI153" s="26">
        <f t="shared" si="260"/>
        <v>132675</v>
      </c>
      <c r="BJ153" s="26" t="e">
        <f t="shared" si="261"/>
        <v>#REF!</v>
      </c>
      <c r="BK153" s="26" t="e">
        <f>IF(H153="Bundled",MIN(Y153*$AG$1*(1+#REF!),BI153),AR153)</f>
        <v>#REF!</v>
      </c>
      <c r="BL153" s="27">
        <f t="shared" si="262"/>
        <v>54193.353142500004</v>
      </c>
      <c r="BM153" s="27">
        <f t="shared" si="263"/>
        <v>54193.353142500004</v>
      </c>
      <c r="BN153" s="27">
        <f t="shared" si="226"/>
        <v>54740.760750000001</v>
      </c>
      <c r="BO153" s="27">
        <f t="shared" si="264"/>
        <v>78481.646857499989</v>
      </c>
      <c r="BP153" s="27" t="e">
        <f>+#REF!*Y153</f>
        <v>#REF!</v>
      </c>
      <c r="BQ153" s="27" t="e">
        <f t="shared" si="265"/>
        <v>#REF!</v>
      </c>
      <c r="BR153" s="27" t="e">
        <f t="shared" si="266"/>
        <v>#REF!</v>
      </c>
      <c r="BS153" s="27" t="e">
        <f t="shared" si="267"/>
        <v>#REF!</v>
      </c>
      <c r="BT153" s="27">
        <f t="shared" si="231"/>
        <v>3</v>
      </c>
      <c r="BU153" s="27">
        <f t="shared" si="268"/>
        <v>26160.548952499998</v>
      </c>
      <c r="BV153" s="27">
        <f t="shared" si="269"/>
        <v>547.40760749999754</v>
      </c>
      <c r="BW153" s="27" t="e">
        <f>IF(H153="Bundled",+(BG153-#REF!)*Y153,(AP153+AQ153)-Y153*#REF!)</f>
        <v>#REF!</v>
      </c>
      <c r="BX153" s="27" t="e">
        <f t="shared" si="270"/>
        <v>#REF!</v>
      </c>
      <c r="BY153" s="27">
        <f t="shared" si="271"/>
        <v>182.46920249999917</v>
      </c>
      <c r="BZ153" s="27" t="e">
        <f t="shared" si="272"/>
        <v>#REF!</v>
      </c>
      <c r="CA153" s="27" t="e">
        <f t="shared" si="273"/>
        <v>#REF!</v>
      </c>
    </row>
    <row r="154" spans="1:79" s="41" customFormat="1" x14ac:dyDescent="0.3">
      <c r="A154" s="199" t="s">
        <v>130</v>
      </c>
      <c r="B154" s="44" t="s">
        <v>175</v>
      </c>
      <c r="C154" s="279" t="s">
        <v>337</v>
      </c>
      <c r="D154" s="279" t="s">
        <v>404</v>
      </c>
      <c r="E154" s="279"/>
      <c r="F154" s="279"/>
      <c r="G154" s="135" t="s">
        <v>56</v>
      </c>
      <c r="H154" s="158" t="s">
        <v>57</v>
      </c>
      <c r="I154" s="135" t="s">
        <v>8</v>
      </c>
      <c r="J154" s="135" t="s">
        <v>61</v>
      </c>
      <c r="K154" s="160" t="str">
        <f t="shared" si="237"/>
        <v>No of Racks</v>
      </c>
      <c r="L154" s="135">
        <v>1</v>
      </c>
      <c r="M154" s="135">
        <v>1</v>
      </c>
      <c r="N154" s="161">
        <f t="shared" si="207"/>
        <v>0</v>
      </c>
      <c r="O154" s="135">
        <v>1</v>
      </c>
      <c r="P154" s="135"/>
      <c r="Q154" s="162">
        <f>(0)/12</f>
        <v>0</v>
      </c>
      <c r="R154" s="163" t="str">
        <f t="shared" si="243"/>
        <v>Subscribed</v>
      </c>
      <c r="S154" s="135" t="s">
        <v>58</v>
      </c>
      <c r="T154" s="158">
        <v>1</v>
      </c>
      <c r="U154" s="65">
        <f>Z154</f>
        <v>0.83162202380952388</v>
      </c>
      <c r="V154" s="164">
        <f t="shared" si="208"/>
        <v>0.16837797619047612</v>
      </c>
      <c r="W154" s="158"/>
      <c r="X154" s="34">
        <f t="shared" si="209"/>
        <v>0.16837797619047612</v>
      </c>
      <c r="Y154" s="34">
        <f t="shared" si="202"/>
        <v>1</v>
      </c>
      <c r="Z154" s="65">
        <f>AG154/28/24</f>
        <v>0.83162202380952388</v>
      </c>
      <c r="AA154" s="158">
        <f t="shared" si="246"/>
        <v>0</v>
      </c>
      <c r="AB154" s="165">
        <f>0/12</f>
        <v>0</v>
      </c>
      <c r="AC154" s="166" t="str">
        <f t="shared" si="211"/>
        <v>Metered</v>
      </c>
      <c r="AD154" s="158"/>
      <c r="AE154" s="158"/>
      <c r="AF154" s="167">
        <v>0</v>
      </c>
      <c r="AG154" s="158">
        <v>558.85</v>
      </c>
      <c r="AH154" s="168"/>
      <c r="AI154" s="169"/>
      <c r="AJ154" s="158"/>
      <c r="AK154" s="158"/>
      <c r="AL154" s="158">
        <f t="shared" si="249"/>
        <v>0</v>
      </c>
      <c r="AM154" s="158"/>
      <c r="AN154" s="158"/>
      <c r="AO154" s="162">
        <f>(0)/12</f>
        <v>0</v>
      </c>
      <c r="AP154" s="170">
        <f t="shared" si="250"/>
        <v>0</v>
      </c>
      <c r="AQ154" s="170">
        <f t="shared" si="251"/>
        <v>0</v>
      </c>
      <c r="AR154" s="171">
        <f t="shared" si="252"/>
        <v>0</v>
      </c>
      <c r="AS154" s="170">
        <f t="shared" si="253"/>
        <v>0</v>
      </c>
      <c r="AT154" s="172">
        <f>0/12</f>
        <v>0</v>
      </c>
      <c r="AU154" s="173">
        <f t="shared" si="254"/>
        <v>0</v>
      </c>
      <c r="AV154" s="173"/>
      <c r="AW154" s="62"/>
      <c r="AX154" s="63"/>
      <c r="AY154" s="64"/>
      <c r="AZ154" s="63"/>
      <c r="BA154" s="197"/>
      <c r="BB154" s="36"/>
      <c r="BC154" s="37">
        <f t="shared" si="255"/>
        <v>0</v>
      </c>
      <c r="BD154" s="37">
        <f t="shared" si="256"/>
        <v>0</v>
      </c>
      <c r="BE154" s="38">
        <f t="shared" si="257"/>
        <v>-15161.861602049183</v>
      </c>
      <c r="BF154" s="38">
        <f t="shared" si="258"/>
        <v>-15161.861602049183</v>
      </c>
      <c r="BG154" s="38">
        <f t="shared" si="259"/>
        <v>-15509.882212499999</v>
      </c>
      <c r="BH154" s="37"/>
      <c r="BI154" s="39">
        <f t="shared" si="260"/>
        <v>0</v>
      </c>
      <c r="BJ154" s="39">
        <f t="shared" si="261"/>
        <v>0</v>
      </c>
      <c r="BK154" s="39">
        <f>IF(H154="Bundled",MIN(Y154*$AG$1*(1+#REF!),BI154),AR154)</f>
        <v>0</v>
      </c>
      <c r="BL154" s="40">
        <f t="shared" si="262"/>
        <v>15161.861602049183</v>
      </c>
      <c r="BM154" s="40">
        <f t="shared" si="263"/>
        <v>15161.861602049183</v>
      </c>
      <c r="BN154" s="40">
        <f t="shared" si="226"/>
        <v>15509.882212499999</v>
      </c>
      <c r="BO154" s="40">
        <f t="shared" si="264"/>
        <v>-15161.861602049183</v>
      </c>
      <c r="BP154" s="40" t="e">
        <f>+#REF!*Y154</f>
        <v>#REF!</v>
      </c>
      <c r="BQ154" s="40" t="e">
        <f t="shared" si="265"/>
        <v>#REF!</v>
      </c>
      <c r="BR154" s="40">
        <f t="shared" si="266"/>
        <v>-15161.861602049183</v>
      </c>
      <c r="BS154" s="40" t="e">
        <f t="shared" si="267"/>
        <v>#REF!</v>
      </c>
      <c r="BT154" s="40">
        <f t="shared" si="231"/>
        <v>1</v>
      </c>
      <c r="BU154" s="40">
        <f t="shared" si="268"/>
        <v>-15161.861602049183</v>
      </c>
      <c r="BV154" s="40">
        <f t="shared" si="269"/>
        <v>-15161.861602049183</v>
      </c>
      <c r="BW154" s="40" t="e">
        <f>IF(H154="Bundled",+(BG154-#REF!)*Y154,(AP154+AQ154)-Y154*#REF!)</f>
        <v>#REF!</v>
      </c>
      <c r="BX154" s="40" t="e">
        <f t="shared" si="270"/>
        <v>#REF!</v>
      </c>
      <c r="BY154" s="40">
        <f t="shared" si="271"/>
        <v>-15161.861602049183</v>
      </c>
      <c r="BZ154" s="40" t="e">
        <f t="shared" si="272"/>
        <v>#REF!</v>
      </c>
      <c r="CA154" s="40" t="e">
        <f t="shared" si="273"/>
        <v>#REF!</v>
      </c>
    </row>
    <row r="155" spans="1:79" s="16" customFormat="1" x14ac:dyDescent="0.3">
      <c r="A155" s="199" t="s">
        <v>130</v>
      </c>
      <c r="B155" s="81" t="s">
        <v>216</v>
      </c>
      <c r="C155" s="33" t="s">
        <v>315</v>
      </c>
      <c r="D155" s="33" t="s">
        <v>404</v>
      </c>
      <c r="E155" s="33"/>
      <c r="F155" s="33"/>
      <c r="G155" s="33" t="s">
        <v>56</v>
      </c>
      <c r="H155" s="34" t="s">
        <v>52</v>
      </c>
      <c r="I155" s="33" t="s">
        <v>8</v>
      </c>
      <c r="J155" s="33" t="s">
        <v>61</v>
      </c>
      <c r="K155" s="31" t="str">
        <f t="shared" si="237"/>
        <v>No of Racks</v>
      </c>
      <c r="L155" s="33">
        <v>2</v>
      </c>
      <c r="M155" s="33">
        <v>2</v>
      </c>
      <c r="N155" s="35">
        <f t="shared" si="207"/>
        <v>0</v>
      </c>
      <c r="O155" s="33">
        <v>2</v>
      </c>
      <c r="P155" s="33"/>
      <c r="Q155" s="42">
        <f>(270000)/12</f>
        <v>22500</v>
      </c>
      <c r="R155" s="43" t="str">
        <f t="shared" si="243"/>
        <v>Subscribed</v>
      </c>
      <c r="S155" s="33" t="s">
        <v>58</v>
      </c>
      <c r="T155" s="34">
        <v>3</v>
      </c>
      <c r="U155" s="66">
        <f>Z155</f>
        <v>2.6281547619047618</v>
      </c>
      <c r="V155" s="46">
        <f t="shared" si="208"/>
        <v>0.37184523809523817</v>
      </c>
      <c r="W155" s="34"/>
      <c r="X155" s="34">
        <f t="shared" si="209"/>
        <v>0.37184523809523817</v>
      </c>
      <c r="Y155" s="34">
        <f t="shared" si="202"/>
        <v>3</v>
      </c>
      <c r="Z155" s="65">
        <f>AG155/28/24</f>
        <v>2.6281547619047618</v>
      </c>
      <c r="AA155" s="34">
        <f t="shared" si="246"/>
        <v>0</v>
      </c>
      <c r="AB155" s="47">
        <f>90000/12</f>
        <v>7500</v>
      </c>
      <c r="AC155" s="48" t="str">
        <f t="shared" si="211"/>
        <v>Bundled</v>
      </c>
      <c r="AD155" s="34">
        <v>1</v>
      </c>
      <c r="AE155" s="34" t="s">
        <v>62</v>
      </c>
      <c r="AF155" s="49">
        <v>0</v>
      </c>
      <c r="AG155" s="34">
        <v>1766.12</v>
      </c>
      <c r="AH155" s="50"/>
      <c r="AI155" s="51"/>
      <c r="AJ155" s="34"/>
      <c r="AK155" s="34"/>
      <c r="AL155" s="34">
        <f t="shared" si="249"/>
        <v>0</v>
      </c>
      <c r="AM155" s="34"/>
      <c r="AN155" s="34"/>
      <c r="AO155" s="42">
        <f>(0)/12</f>
        <v>0</v>
      </c>
      <c r="AP155" s="52">
        <f t="shared" si="250"/>
        <v>45000</v>
      </c>
      <c r="AQ155" s="52">
        <f t="shared" si="251"/>
        <v>0</v>
      </c>
      <c r="AR155" s="53">
        <f t="shared" si="252"/>
        <v>0</v>
      </c>
      <c r="AS155" s="52">
        <f t="shared" si="253"/>
        <v>0</v>
      </c>
      <c r="AT155" s="54">
        <f>0/12</f>
        <v>0</v>
      </c>
      <c r="AU155" s="55">
        <f t="shared" si="254"/>
        <v>45000</v>
      </c>
      <c r="AV155" s="55"/>
      <c r="AW155" s="67"/>
      <c r="AX155" s="68"/>
      <c r="AY155" s="69"/>
      <c r="AZ155" s="68"/>
      <c r="BA155" s="89"/>
      <c r="BB155" s="5"/>
      <c r="BC155" s="29">
        <f t="shared" si="255"/>
        <v>22500</v>
      </c>
      <c r="BD155" s="29">
        <f t="shared" si="256"/>
        <v>15000</v>
      </c>
      <c r="BE155" s="25">
        <f t="shared" si="257"/>
        <v>-971.88691814207652</v>
      </c>
      <c r="BF155" s="25">
        <f t="shared" si="258"/>
        <v>-971.88691814207652</v>
      </c>
      <c r="BG155" s="25">
        <f t="shared" si="259"/>
        <v>-3246.9202500000006</v>
      </c>
      <c r="BH155" s="29"/>
      <c r="BI155" s="26">
        <f t="shared" si="260"/>
        <v>45000</v>
      </c>
      <c r="BJ155" s="26" t="e">
        <f t="shared" si="261"/>
        <v>#REF!</v>
      </c>
      <c r="BK155" s="26" t="e">
        <f>IF(H155="Bundled",MIN(Y155*$AG$1*(1+#REF!),BI155),AR155)</f>
        <v>#REF!</v>
      </c>
      <c r="BL155" s="27">
        <f t="shared" si="262"/>
        <v>47915.66075442623</v>
      </c>
      <c r="BM155" s="27">
        <f t="shared" si="263"/>
        <v>47915.66075442623</v>
      </c>
      <c r="BN155" s="27">
        <f t="shared" si="226"/>
        <v>54740.760750000001</v>
      </c>
      <c r="BO155" s="27">
        <f t="shared" si="264"/>
        <v>-2915.6607544262297</v>
      </c>
      <c r="BP155" s="27" t="e">
        <f>+#REF!*Y155</f>
        <v>#REF!</v>
      </c>
      <c r="BQ155" s="27" t="e">
        <f t="shared" si="265"/>
        <v>#REF!</v>
      </c>
      <c r="BR155" s="27" t="e">
        <f t="shared" si="266"/>
        <v>#REF!</v>
      </c>
      <c r="BS155" s="27" t="e">
        <f t="shared" si="267"/>
        <v>#REF!</v>
      </c>
      <c r="BT155" s="27">
        <f t="shared" si="231"/>
        <v>3</v>
      </c>
      <c r="BU155" s="27">
        <f t="shared" si="268"/>
        <v>-971.88691814207652</v>
      </c>
      <c r="BV155" s="27">
        <f t="shared" si="269"/>
        <v>6825.0999955737716</v>
      </c>
      <c r="BW155" s="27" t="e">
        <f>IF(H155="Bundled",+(BG155-#REF!)*Y155,(AP155+AQ155)-Y155*#REF!)</f>
        <v>#REF!</v>
      </c>
      <c r="BX155" s="27" t="e">
        <f t="shared" si="270"/>
        <v>#REF!</v>
      </c>
      <c r="BY155" s="27">
        <f t="shared" si="271"/>
        <v>2275.0333318579237</v>
      </c>
      <c r="BZ155" s="27" t="e">
        <f t="shared" si="272"/>
        <v>#REF!</v>
      </c>
      <c r="CA155" s="27" t="e">
        <f t="shared" si="273"/>
        <v>#REF!</v>
      </c>
    </row>
    <row r="156" spans="1:79" s="16" customFormat="1" ht="26" x14ac:dyDescent="0.3">
      <c r="A156" s="199" t="s">
        <v>130</v>
      </c>
      <c r="B156" s="81" t="s">
        <v>176</v>
      </c>
      <c r="C156" s="279" t="s">
        <v>391</v>
      </c>
      <c r="D156" s="279" t="s">
        <v>405</v>
      </c>
      <c r="E156" s="279"/>
      <c r="F156" s="279"/>
      <c r="G156" s="33" t="s">
        <v>11</v>
      </c>
      <c r="H156" s="34" t="s">
        <v>52</v>
      </c>
      <c r="I156" s="33" t="s">
        <v>8</v>
      </c>
      <c r="J156" s="33" t="s">
        <v>61</v>
      </c>
      <c r="K156" s="31" t="str">
        <f t="shared" si="237"/>
        <v>No of Racks</v>
      </c>
      <c r="L156" s="33">
        <v>1</v>
      </c>
      <c r="M156" s="33">
        <v>1</v>
      </c>
      <c r="N156" s="35">
        <f t="shared" si="207"/>
        <v>0</v>
      </c>
      <c r="O156" s="33">
        <v>1</v>
      </c>
      <c r="P156" s="33"/>
      <c r="Q156" s="42">
        <f>(410000)/12</f>
        <v>34166.666666666664</v>
      </c>
      <c r="R156" s="43" t="str">
        <f t="shared" si="243"/>
        <v>Rated</v>
      </c>
      <c r="S156" s="33" t="s">
        <v>54</v>
      </c>
      <c r="T156" s="34">
        <v>3</v>
      </c>
      <c r="U156" s="45">
        <v>5.32</v>
      </c>
      <c r="V156" s="46">
        <f t="shared" si="208"/>
        <v>-2.3200000000000003</v>
      </c>
      <c r="W156" s="34"/>
      <c r="X156" s="34">
        <f t="shared" si="209"/>
        <v>0</v>
      </c>
      <c r="Y156" s="34">
        <f t="shared" si="202"/>
        <v>1.5</v>
      </c>
      <c r="Z156" s="65">
        <v>1.37</v>
      </c>
      <c r="AA156" s="34">
        <f t="shared" si="246"/>
        <v>2.3200000000000003</v>
      </c>
      <c r="AB156" s="47">
        <f>100000/12</f>
        <v>8333.3333333333339</v>
      </c>
      <c r="AC156" s="48" t="str">
        <f t="shared" si="211"/>
        <v>Bundled</v>
      </c>
      <c r="AD156" s="34"/>
      <c r="AE156" s="34"/>
      <c r="AF156" s="49"/>
      <c r="AG156" s="34"/>
      <c r="AH156" s="50"/>
      <c r="AI156" s="51" t="str">
        <f>IF(AH156="No of Seats","No of Seats",(IF(AH156="Space","Sq Ft","")))</f>
        <v/>
      </c>
      <c r="AJ156" s="34"/>
      <c r="AK156" s="34"/>
      <c r="AL156" s="34">
        <f t="shared" si="249"/>
        <v>0</v>
      </c>
      <c r="AM156" s="34"/>
      <c r="AN156" s="34"/>
      <c r="AO156" s="42"/>
      <c r="AP156" s="52">
        <f t="shared" si="250"/>
        <v>34166.666666666664</v>
      </c>
      <c r="AQ156" s="52">
        <f t="shared" si="251"/>
        <v>19333.333333333336</v>
      </c>
      <c r="AR156" s="53">
        <f t="shared" si="252"/>
        <v>0</v>
      </c>
      <c r="AS156" s="52">
        <f t="shared" si="253"/>
        <v>0</v>
      </c>
      <c r="AT156" s="54"/>
      <c r="AU156" s="55">
        <f t="shared" si="254"/>
        <v>53500</v>
      </c>
      <c r="AV156" s="55"/>
      <c r="AW156" s="67"/>
      <c r="AX156" s="57"/>
      <c r="AY156" s="58"/>
      <c r="AZ156" s="57"/>
      <c r="BA156" s="198"/>
      <c r="BC156" s="25">
        <f t="shared" si="255"/>
        <v>53500</v>
      </c>
      <c r="BD156" s="25">
        <f t="shared" si="256"/>
        <v>35666.666666666664</v>
      </c>
      <c r="BE156" s="25">
        <f t="shared" si="257"/>
        <v>19001.146171666667</v>
      </c>
      <c r="BF156" s="25">
        <f t="shared" si="258"/>
        <v>19001.146171666667</v>
      </c>
      <c r="BG156" s="25">
        <f t="shared" si="259"/>
        <v>17419.746416666665</v>
      </c>
      <c r="BH156" s="25"/>
      <c r="BI156" s="26">
        <f t="shared" si="260"/>
        <v>53500</v>
      </c>
      <c r="BJ156" s="26" t="e">
        <f t="shared" si="261"/>
        <v>#REF!</v>
      </c>
      <c r="BK156" s="26" t="e">
        <f>IF(H156="Bundled",MIN(Y156*$AG$1*(1+#REF!),BI156),AR156)</f>
        <v>#REF!</v>
      </c>
      <c r="BL156" s="27">
        <f t="shared" si="262"/>
        <v>24998.280742499999</v>
      </c>
      <c r="BM156" s="27">
        <f t="shared" si="263"/>
        <v>24998.280742499999</v>
      </c>
      <c r="BN156" s="27">
        <f t="shared" si="226"/>
        <v>27370.380375000001</v>
      </c>
      <c r="BO156" s="27">
        <f t="shared" si="264"/>
        <v>28501.719257500001</v>
      </c>
      <c r="BP156" s="27" t="e">
        <f>+#REF!*Y156</f>
        <v>#REF!</v>
      </c>
      <c r="BQ156" s="27" t="e">
        <f t="shared" si="265"/>
        <v>#REF!</v>
      </c>
      <c r="BR156" s="27" t="e">
        <f t="shared" si="266"/>
        <v>#REF!</v>
      </c>
      <c r="BS156" s="27" t="e">
        <f t="shared" si="267"/>
        <v>#REF!</v>
      </c>
      <c r="BT156" s="27">
        <f t="shared" si="231"/>
        <v>1.5</v>
      </c>
      <c r="BU156" s="27">
        <f t="shared" si="268"/>
        <v>19001.146171666667</v>
      </c>
      <c r="BV156" s="27">
        <f t="shared" si="269"/>
        <v>2372.0996325000015</v>
      </c>
      <c r="BW156" s="27" t="e">
        <f>IF(H156="Bundled",+(BG156-#REF!)*Y156,(AP156+AQ156)-Y156*#REF!)</f>
        <v>#REF!</v>
      </c>
      <c r="BX156" s="27" t="e">
        <f t="shared" si="270"/>
        <v>#REF!</v>
      </c>
      <c r="BY156" s="27">
        <f t="shared" si="271"/>
        <v>1581.3997550000011</v>
      </c>
      <c r="BZ156" s="27" t="e">
        <f t="shared" si="272"/>
        <v>#REF!</v>
      </c>
      <c r="CA156" s="27" t="e">
        <f t="shared" si="273"/>
        <v>#REF!</v>
      </c>
    </row>
    <row r="157" spans="1:79" s="16" customFormat="1" x14ac:dyDescent="0.3">
      <c r="A157" s="199" t="s">
        <v>130</v>
      </c>
      <c r="B157" s="81" t="s">
        <v>179</v>
      </c>
      <c r="C157" s="132" t="s">
        <v>174</v>
      </c>
      <c r="D157" s="132"/>
      <c r="E157" s="132"/>
      <c r="F157" s="132"/>
      <c r="G157" s="33" t="s">
        <v>11</v>
      </c>
      <c r="H157" s="34" t="s">
        <v>52</v>
      </c>
      <c r="I157" s="33" t="s">
        <v>8</v>
      </c>
      <c r="J157" s="33" t="s">
        <v>61</v>
      </c>
      <c r="K157" s="31" t="str">
        <f t="shared" si="237"/>
        <v>No of Racks</v>
      </c>
      <c r="L157" s="33">
        <v>1</v>
      </c>
      <c r="M157" s="33">
        <v>1</v>
      </c>
      <c r="N157" s="35">
        <f t="shared" si="207"/>
        <v>0</v>
      </c>
      <c r="O157" s="33">
        <v>0</v>
      </c>
      <c r="P157" s="33"/>
      <c r="Q157" s="42">
        <f>(0)/12</f>
        <v>0</v>
      </c>
      <c r="R157" s="43" t="str">
        <f t="shared" si="243"/>
        <v>Rated</v>
      </c>
      <c r="S157" s="33" t="s">
        <v>54</v>
      </c>
      <c r="T157" s="34">
        <v>3</v>
      </c>
      <c r="U157" s="45">
        <v>4.3099999999999996</v>
      </c>
      <c r="V157" s="46">
        <f t="shared" si="208"/>
        <v>-1.3099999999999996</v>
      </c>
      <c r="W157" s="34"/>
      <c r="X157" s="34">
        <f t="shared" si="209"/>
        <v>0</v>
      </c>
      <c r="Y157" s="34">
        <f t="shared" si="202"/>
        <v>1.5</v>
      </c>
      <c r="Z157" s="65">
        <v>1.8</v>
      </c>
      <c r="AA157" s="34">
        <f t="shared" si="246"/>
        <v>1.3099999999999996</v>
      </c>
      <c r="AB157" s="47">
        <f>0/12</f>
        <v>0</v>
      </c>
      <c r="AC157" s="48" t="str">
        <f t="shared" si="211"/>
        <v>Bundled</v>
      </c>
      <c r="AD157" s="34"/>
      <c r="AE157" s="34"/>
      <c r="AF157" s="49"/>
      <c r="AG157" s="34"/>
      <c r="AH157" s="50"/>
      <c r="AI157" s="51" t="str">
        <f>IF(AH157="No of Seats","No of Seats",(IF(AH157="Space","Sq Ft","")))</f>
        <v/>
      </c>
      <c r="AJ157" s="34"/>
      <c r="AK157" s="34"/>
      <c r="AL157" s="34">
        <f t="shared" si="249"/>
        <v>0</v>
      </c>
      <c r="AM157" s="34"/>
      <c r="AN157" s="34"/>
      <c r="AO157" s="42"/>
      <c r="AP157" s="52">
        <f t="shared" si="250"/>
        <v>0</v>
      </c>
      <c r="AQ157" s="52">
        <f t="shared" si="251"/>
        <v>0</v>
      </c>
      <c r="AR157" s="53">
        <f t="shared" si="252"/>
        <v>0</v>
      </c>
      <c r="AS157" s="52">
        <f t="shared" si="253"/>
        <v>0</v>
      </c>
      <c r="AT157" s="54"/>
      <c r="AU157" s="55">
        <f t="shared" si="254"/>
        <v>0</v>
      </c>
      <c r="AV157" s="55"/>
      <c r="AW157" s="67"/>
      <c r="AX157" s="57"/>
      <c r="AY157" s="58"/>
      <c r="AZ157" s="57"/>
      <c r="BA157" s="198"/>
      <c r="BC157" s="25">
        <f t="shared" si="255"/>
        <v>0</v>
      </c>
      <c r="BD157" s="25">
        <f t="shared" si="256"/>
        <v>0</v>
      </c>
      <c r="BE157" s="25">
        <f t="shared" si="257"/>
        <v>-21896.3043</v>
      </c>
      <c r="BF157" s="25">
        <f t="shared" si="258"/>
        <v>-21896.3043</v>
      </c>
      <c r="BG157" s="25">
        <f t="shared" si="259"/>
        <v>-18246.920249999999</v>
      </c>
      <c r="BH157" s="25"/>
      <c r="BI157" s="26">
        <f t="shared" si="260"/>
        <v>0</v>
      </c>
      <c r="BJ157" s="26" t="e">
        <f t="shared" si="261"/>
        <v>#REF!</v>
      </c>
      <c r="BK157" s="26" t="e">
        <f>IF(H157="Bundled",MIN(Y157*$AG$1*(1+#REF!),BI157),AR157)</f>
        <v>#REF!</v>
      </c>
      <c r="BL157" s="27">
        <f t="shared" si="262"/>
        <v>32844.456449999998</v>
      </c>
      <c r="BM157" s="27">
        <f t="shared" si="263"/>
        <v>32844.456449999998</v>
      </c>
      <c r="BN157" s="27">
        <f t="shared" si="226"/>
        <v>27370.380375000001</v>
      </c>
      <c r="BO157" s="27">
        <f t="shared" si="264"/>
        <v>-32844.456449999998</v>
      </c>
      <c r="BP157" s="27" t="e">
        <f>+#REF!*Y157</f>
        <v>#REF!</v>
      </c>
      <c r="BQ157" s="27" t="e">
        <f t="shared" si="265"/>
        <v>#REF!</v>
      </c>
      <c r="BR157" s="27" t="e">
        <f t="shared" si="266"/>
        <v>#REF!</v>
      </c>
      <c r="BS157" s="27" t="e">
        <f t="shared" si="267"/>
        <v>#REF!</v>
      </c>
      <c r="BT157" s="27">
        <f t="shared" si="231"/>
        <v>1.5</v>
      </c>
      <c r="BU157" s="27">
        <f t="shared" si="268"/>
        <v>-21896.3043</v>
      </c>
      <c r="BV157" s="27">
        <f t="shared" si="269"/>
        <v>-5474.0760749999972</v>
      </c>
      <c r="BW157" s="27" t="e">
        <f>IF(H157="Bundled",+(BG157-#REF!)*Y157,(AP157+AQ157)-Y157*#REF!)</f>
        <v>#REF!</v>
      </c>
      <c r="BX157" s="27" t="e">
        <f t="shared" si="270"/>
        <v>#REF!</v>
      </c>
      <c r="BY157" s="27">
        <f t="shared" si="271"/>
        <v>-3649.3840499999983</v>
      </c>
      <c r="BZ157" s="27" t="e">
        <f t="shared" si="272"/>
        <v>#REF!</v>
      </c>
      <c r="CA157" s="27" t="e">
        <f t="shared" si="273"/>
        <v>#REF!</v>
      </c>
    </row>
    <row r="158" spans="1:79" s="16" customFormat="1" ht="39" x14ac:dyDescent="0.3">
      <c r="A158" s="199" t="s">
        <v>130</v>
      </c>
      <c r="B158" s="32" t="s">
        <v>411</v>
      </c>
      <c r="C158" s="32" t="s">
        <v>517</v>
      </c>
      <c r="D158" s="32" t="s">
        <v>405</v>
      </c>
      <c r="E158" s="34">
        <v>1</v>
      </c>
      <c r="F158" s="34"/>
      <c r="G158" s="33" t="s">
        <v>11</v>
      </c>
      <c r="H158" s="34" t="s">
        <v>52</v>
      </c>
      <c r="I158" s="33" t="s">
        <v>3</v>
      </c>
      <c r="J158" s="33" t="s">
        <v>53</v>
      </c>
      <c r="K158" s="31" t="s">
        <v>479</v>
      </c>
      <c r="L158" s="33">
        <v>224</v>
      </c>
      <c r="M158" s="33">
        <v>224</v>
      </c>
      <c r="N158" s="35">
        <v>0</v>
      </c>
      <c r="O158" s="33">
        <v>10</v>
      </c>
      <c r="P158" s="33"/>
      <c r="Q158" s="42">
        <f>(0)/12</f>
        <v>0</v>
      </c>
      <c r="R158" s="43" t="str">
        <f t="shared" si="243"/>
        <v>Rated</v>
      </c>
      <c r="S158" s="33" t="s">
        <v>58</v>
      </c>
      <c r="T158" s="34">
        <v>76</v>
      </c>
      <c r="U158" s="45">
        <v>40.1</v>
      </c>
      <c r="V158" s="46">
        <f t="shared" si="208"/>
        <v>35.9</v>
      </c>
      <c r="W158" s="34"/>
      <c r="X158" s="34">
        <f t="shared" si="209"/>
        <v>17.95</v>
      </c>
      <c r="Y158" s="34">
        <f t="shared" si="202"/>
        <v>38</v>
      </c>
      <c r="Z158" s="65">
        <f>AG158/28/24</f>
        <v>13.971547619047618</v>
      </c>
      <c r="AA158" s="34">
        <f t="shared" si="246"/>
        <v>0</v>
      </c>
      <c r="AB158" s="47">
        <f>0/12</f>
        <v>0</v>
      </c>
      <c r="AC158" s="48" t="str">
        <f t="shared" si="211"/>
        <v>Bundled</v>
      </c>
      <c r="AD158" s="34"/>
      <c r="AE158" s="34"/>
      <c r="AF158" s="49">
        <v>0</v>
      </c>
      <c r="AG158" s="34">
        <v>9388.8799999999992</v>
      </c>
      <c r="AH158" s="50" t="s">
        <v>55</v>
      </c>
      <c r="AI158" s="50" t="s">
        <v>55</v>
      </c>
      <c r="AJ158" s="34">
        <v>1</v>
      </c>
      <c r="AK158" s="34">
        <v>1</v>
      </c>
      <c r="AL158" s="34">
        <f t="shared" si="249"/>
        <v>0</v>
      </c>
      <c r="AM158" s="34">
        <v>1</v>
      </c>
      <c r="AN158" s="34"/>
      <c r="AO158" s="42">
        <f>(0)/12</f>
        <v>0</v>
      </c>
      <c r="AP158" s="52">
        <f t="shared" si="250"/>
        <v>0</v>
      </c>
      <c r="AQ158" s="52">
        <f t="shared" si="251"/>
        <v>0</v>
      </c>
      <c r="AR158" s="53">
        <f t="shared" si="252"/>
        <v>0</v>
      </c>
      <c r="AS158" s="52">
        <f t="shared" si="253"/>
        <v>0</v>
      </c>
      <c r="AT158" s="54">
        <f>0/12</f>
        <v>0</v>
      </c>
      <c r="AU158" s="55">
        <f t="shared" si="254"/>
        <v>0</v>
      </c>
      <c r="AV158" s="55"/>
      <c r="AW158" s="67"/>
      <c r="AX158" s="68"/>
      <c r="AY158" s="69"/>
      <c r="AZ158" s="68"/>
      <c r="BA158" s="89"/>
      <c r="BB158" s="5"/>
      <c r="BC158" s="29">
        <f t="shared" si="255"/>
        <v>0</v>
      </c>
      <c r="BD158" s="29">
        <f t="shared" si="256"/>
        <v>0</v>
      </c>
      <c r="BE158" s="25">
        <f t="shared" si="257"/>
        <v>-6703.2816054702325</v>
      </c>
      <c r="BF158" s="25">
        <f t="shared" si="258"/>
        <v>-6703.2816054702325</v>
      </c>
      <c r="BG158" s="25">
        <f t="shared" si="259"/>
        <v>-18246.920249999999</v>
      </c>
      <c r="BH158" s="29"/>
      <c r="BI158" s="26">
        <f t="shared" si="260"/>
        <v>0</v>
      </c>
      <c r="BJ158" s="26" t="e">
        <f t="shared" si="261"/>
        <v>#REF!</v>
      </c>
      <c r="BK158" s="26" t="e">
        <f>IF(H158="Bundled",MIN(Y158*$AG$1*(1+#REF!),BI158),AR158)</f>
        <v>#REF!</v>
      </c>
      <c r="BL158" s="27">
        <f t="shared" si="262"/>
        <v>254724.70100786883</v>
      </c>
      <c r="BM158" s="27">
        <f t="shared" si="263"/>
        <v>254724.70100786883</v>
      </c>
      <c r="BN158" s="27">
        <f t="shared" si="226"/>
        <v>693382.96950000001</v>
      </c>
      <c r="BO158" s="27">
        <f t="shared" si="264"/>
        <v>-254724.70100786883</v>
      </c>
      <c r="BP158" s="27" t="e">
        <f>+#REF!*Y158</f>
        <v>#REF!</v>
      </c>
      <c r="BQ158" s="27" t="e">
        <f t="shared" si="265"/>
        <v>#REF!</v>
      </c>
      <c r="BR158" s="27" t="e">
        <f t="shared" si="266"/>
        <v>#REF!</v>
      </c>
      <c r="BS158" s="27" t="e">
        <f t="shared" si="267"/>
        <v>#REF!</v>
      </c>
      <c r="BT158" s="27">
        <f t="shared" si="231"/>
        <v>38</v>
      </c>
      <c r="BU158" s="27">
        <f t="shared" si="268"/>
        <v>-6703.2816054702325</v>
      </c>
      <c r="BV158" s="27">
        <f t="shared" si="269"/>
        <v>438658.26849213114</v>
      </c>
      <c r="BW158" s="27" t="e">
        <f>IF(H158="Bundled",+(BG158-#REF!)*Y158,(AP158+AQ158)-Y158*#REF!)</f>
        <v>#REF!</v>
      </c>
      <c r="BX158" s="27" t="e">
        <f t="shared" si="270"/>
        <v>#REF!</v>
      </c>
      <c r="BY158" s="27">
        <f t="shared" si="271"/>
        <v>11543.638644529767</v>
      </c>
      <c r="BZ158" s="27" t="e">
        <f t="shared" si="272"/>
        <v>#REF!</v>
      </c>
      <c r="CA158" s="27" t="e">
        <f t="shared" si="273"/>
        <v>#REF!</v>
      </c>
    </row>
    <row r="159" spans="1:79" s="16" customFormat="1" x14ac:dyDescent="0.3">
      <c r="A159" s="199" t="s">
        <v>130</v>
      </c>
      <c r="B159" s="144" t="s">
        <v>455</v>
      </c>
      <c r="C159" s="132" t="s">
        <v>113</v>
      </c>
      <c r="D159" s="132" t="s">
        <v>404</v>
      </c>
      <c r="E159" s="132"/>
      <c r="F159" s="132"/>
      <c r="G159" s="33" t="s">
        <v>11</v>
      </c>
      <c r="H159" s="34" t="s">
        <v>52</v>
      </c>
      <c r="I159" s="33" t="s">
        <v>8</v>
      </c>
      <c r="J159" s="33" t="s">
        <v>61</v>
      </c>
      <c r="K159" s="31" t="str">
        <f>IF(I159="Rack","No of Racks",(IF(I159="Space","Sq Ft","U Space")))</f>
        <v>No of Racks</v>
      </c>
      <c r="L159" s="33">
        <v>8</v>
      </c>
      <c r="M159" s="33">
        <v>8</v>
      </c>
      <c r="N159" s="35">
        <f t="shared" ref="N159" si="275">L159-M159</f>
        <v>0</v>
      </c>
      <c r="O159" s="33">
        <v>0</v>
      </c>
      <c r="P159" s="33"/>
      <c r="Q159" s="42">
        <f>(0)/12</f>
        <v>0</v>
      </c>
      <c r="R159" s="43" t="str">
        <f t="shared" si="243"/>
        <v>Rated</v>
      </c>
      <c r="S159" s="33" t="s">
        <v>54</v>
      </c>
      <c r="T159" s="34">
        <v>24</v>
      </c>
      <c r="U159" s="45">
        <v>18</v>
      </c>
      <c r="V159" s="46">
        <f t="shared" si="208"/>
        <v>6</v>
      </c>
      <c r="W159" s="34"/>
      <c r="X159" s="34">
        <f t="shared" si="209"/>
        <v>3</v>
      </c>
      <c r="Y159" s="34">
        <f t="shared" si="202"/>
        <v>12</v>
      </c>
      <c r="Z159" s="65">
        <v>1</v>
      </c>
      <c r="AA159" s="34">
        <f t="shared" si="246"/>
        <v>0</v>
      </c>
      <c r="AB159" s="250"/>
      <c r="AC159" s="48" t="str">
        <f t="shared" si="211"/>
        <v>Bundled</v>
      </c>
      <c r="AD159" s="34"/>
      <c r="AE159" s="34"/>
      <c r="AF159" s="49"/>
      <c r="AG159" s="34"/>
      <c r="AH159" s="50"/>
      <c r="AI159" s="51"/>
      <c r="AJ159" s="34"/>
      <c r="AK159" s="34"/>
      <c r="AL159" s="34">
        <f t="shared" si="249"/>
        <v>0</v>
      </c>
      <c r="AM159" s="34"/>
      <c r="AN159" s="34"/>
      <c r="AO159" s="42">
        <f>(0)/12</f>
        <v>0</v>
      </c>
      <c r="AP159" s="52">
        <f t="shared" si="250"/>
        <v>0</v>
      </c>
      <c r="AQ159" s="52">
        <f t="shared" si="251"/>
        <v>0</v>
      </c>
      <c r="AR159" s="53">
        <f t="shared" si="252"/>
        <v>0</v>
      </c>
      <c r="AS159" s="52">
        <f t="shared" si="253"/>
        <v>0</v>
      </c>
      <c r="AT159" s="54">
        <f>0/12</f>
        <v>0</v>
      </c>
      <c r="AU159" s="55">
        <f t="shared" si="254"/>
        <v>0</v>
      </c>
      <c r="AV159" s="55"/>
      <c r="AW159" s="67" t="s">
        <v>5</v>
      </c>
      <c r="AX159" s="68"/>
      <c r="AY159" s="69"/>
      <c r="AZ159" s="68"/>
      <c r="BA159" s="89"/>
      <c r="BB159" s="5"/>
      <c r="BC159" s="29">
        <f t="shared" si="255"/>
        <v>0</v>
      </c>
      <c r="BD159" s="29">
        <f t="shared" si="256"/>
        <v>0</v>
      </c>
      <c r="BE159" s="25">
        <f t="shared" si="257"/>
        <v>-1520.5766874999999</v>
      </c>
      <c r="BF159" s="25">
        <f t="shared" si="258"/>
        <v>-6082.3067499999997</v>
      </c>
      <c r="BG159" s="25">
        <f t="shared" si="259"/>
        <v>-18246.920249999999</v>
      </c>
      <c r="BH159" s="29"/>
      <c r="BI159" s="26">
        <f t="shared" si="260"/>
        <v>0</v>
      </c>
      <c r="BJ159" s="26" t="e">
        <f t="shared" si="261"/>
        <v>#REF!</v>
      </c>
      <c r="BK159" s="26" t="e">
        <f>IF(H159="Bundled",MIN(Y159*$AG$1*(1+#REF!),BI159),AR159)</f>
        <v>#REF!</v>
      </c>
      <c r="BL159" s="27">
        <f t="shared" si="262"/>
        <v>18246.920249999999</v>
      </c>
      <c r="BM159" s="27">
        <f t="shared" si="263"/>
        <v>72987.680999999997</v>
      </c>
      <c r="BN159" s="27">
        <f t="shared" si="226"/>
        <v>218963.04300000001</v>
      </c>
      <c r="BO159" s="27">
        <f t="shared" si="264"/>
        <v>-18246.920249999999</v>
      </c>
      <c r="BP159" s="27" t="e">
        <f>+#REF!*Y159</f>
        <v>#REF!</v>
      </c>
      <c r="BQ159" s="27" t="e">
        <f t="shared" si="265"/>
        <v>#REF!</v>
      </c>
      <c r="BR159" s="27" t="e">
        <f t="shared" si="266"/>
        <v>#REF!</v>
      </c>
      <c r="BS159" s="27" t="e">
        <f t="shared" si="267"/>
        <v>#REF!</v>
      </c>
      <c r="BT159" s="27">
        <f t="shared" si="231"/>
        <v>12</v>
      </c>
      <c r="BU159" s="27">
        <f t="shared" si="268"/>
        <v>-1520.5766874999999</v>
      </c>
      <c r="BV159" s="27">
        <f t="shared" si="269"/>
        <v>200716.12275000001</v>
      </c>
      <c r="BW159" s="27" t="e">
        <f>IF(H159="Bundled",+(BG159-#REF!)*Y159,(AP159+AQ159)-Y159*#REF!)</f>
        <v>#REF!</v>
      </c>
      <c r="BX159" s="27" t="e">
        <f t="shared" si="270"/>
        <v>#REF!</v>
      </c>
      <c r="BY159" s="27">
        <f t="shared" ref="BY159" si="276">+BV159/$BT159</f>
        <v>16726.343562500002</v>
      </c>
      <c r="BZ159" s="27" t="e">
        <f t="shared" ref="BZ159" si="277">+BW159/$BT159</f>
        <v>#REF!</v>
      </c>
      <c r="CA159" s="27" t="e">
        <f t="shared" ref="CA159" si="278">+BX159/$BT159</f>
        <v>#REF!</v>
      </c>
    </row>
    <row r="160" spans="1:79" s="220" customFormat="1" ht="13.5" thickBot="1" x14ac:dyDescent="0.35">
      <c r="A160" s="205"/>
      <c r="B160" s="207" t="s">
        <v>133</v>
      </c>
      <c r="C160" s="207"/>
      <c r="D160" s="207"/>
      <c r="E160" s="207"/>
      <c r="F160" s="207"/>
      <c r="G160" s="208"/>
      <c r="H160" s="208"/>
      <c r="I160" s="208"/>
      <c r="J160" s="208"/>
      <c r="K160" s="208"/>
      <c r="L160" s="207"/>
      <c r="M160" s="207"/>
      <c r="N160" s="209"/>
      <c r="O160" s="207"/>
      <c r="P160" s="207"/>
      <c r="Q160" s="207"/>
      <c r="R160" s="210"/>
      <c r="S160" s="207"/>
      <c r="T160" s="211">
        <f>SUM(T128:T159)</f>
        <v>1080.4899999999998</v>
      </c>
      <c r="U160" s="211">
        <f>SUM(U128:U159)</f>
        <v>766.87330654761911</v>
      </c>
      <c r="V160" s="212"/>
      <c r="W160" s="211"/>
      <c r="X160" s="211">
        <f>SUM(X128:X159)</f>
        <v>262.82220833333332</v>
      </c>
      <c r="Y160" s="211">
        <f>SUM(Y128:Y159)</f>
        <v>831.245</v>
      </c>
      <c r="Z160" s="211">
        <f>SUM(Z128:Z159)</f>
        <v>500.87619047619057</v>
      </c>
      <c r="AA160" s="211"/>
      <c r="AB160" s="211"/>
      <c r="AC160" s="213"/>
      <c r="AD160" s="211"/>
      <c r="AE160" s="211"/>
      <c r="AF160" s="211"/>
      <c r="AG160" s="211"/>
      <c r="AH160" s="214" t="s">
        <v>55</v>
      </c>
      <c r="AI160" s="215" t="str">
        <f>IF(AH160="No of Seats","No of Seats",(IF(AH160="Space","Sq Ft","")))</f>
        <v>No of Seats</v>
      </c>
      <c r="AJ160" s="211">
        <f>SUM(AJ128:AJ158)</f>
        <v>13</v>
      </c>
      <c r="AK160" s="211">
        <f>SUM(AK128:AK158)</f>
        <v>13</v>
      </c>
      <c r="AL160" s="211">
        <f>SUM(AL128:AL158)</f>
        <v>0</v>
      </c>
      <c r="AM160" s="211">
        <f>SUM(AM128:AM158)</f>
        <v>13</v>
      </c>
      <c r="AN160" s="211"/>
      <c r="AO160" s="211"/>
      <c r="AP160" s="216"/>
      <c r="AQ160" s="216"/>
      <c r="AR160" s="216"/>
      <c r="AS160" s="216"/>
      <c r="AT160" s="216"/>
      <c r="AU160" s="211" t="e">
        <f>SUM(AU128:AU158)</f>
        <v>#VALUE!</v>
      </c>
      <c r="AV160" s="208" t="s">
        <v>73</v>
      </c>
      <c r="AW160" s="217"/>
      <c r="AX160" s="217"/>
      <c r="AY160" s="218"/>
      <c r="AZ160" s="217"/>
      <c r="BA160" s="219"/>
      <c r="CA160" s="221"/>
    </row>
    <row r="161" spans="1:79" s="16" customFormat="1" x14ac:dyDescent="0.3">
      <c r="A161" s="199"/>
      <c r="B161" s="32"/>
      <c r="C161" s="32"/>
      <c r="D161" s="32"/>
      <c r="E161" s="32"/>
      <c r="F161" s="32"/>
      <c r="G161" s="33"/>
      <c r="H161" s="269" t="s">
        <v>8</v>
      </c>
      <c r="I161" s="270">
        <f>COUNTIF(I128:I158,"=Rack")</f>
        <v>16</v>
      </c>
      <c r="J161" s="270"/>
      <c r="K161" s="270" t="s">
        <v>298</v>
      </c>
      <c r="L161" s="271">
        <f>SUMIF(I128:I159,"Rack",L128:L159)</f>
        <v>68</v>
      </c>
      <c r="M161" s="33"/>
      <c r="N161" s="35"/>
      <c r="O161" s="33"/>
      <c r="P161" s="33"/>
      <c r="Q161" s="42"/>
      <c r="R161" s="43"/>
      <c r="S161" s="33"/>
      <c r="T161" s="34"/>
      <c r="U161" s="66"/>
      <c r="V161" s="46"/>
      <c r="W161" s="34"/>
      <c r="X161" s="34"/>
      <c r="Y161" s="34"/>
      <c r="Z161" s="65"/>
      <c r="AA161" s="34"/>
      <c r="AB161" s="47"/>
      <c r="AC161" s="48"/>
      <c r="AD161" s="34"/>
      <c r="AE161" s="34"/>
      <c r="AF161" s="49"/>
      <c r="AG161" s="34"/>
      <c r="AH161" s="50"/>
      <c r="AI161" s="51"/>
      <c r="AJ161" s="34"/>
      <c r="AK161" s="34"/>
      <c r="AL161" s="34"/>
      <c r="AM161" s="34"/>
      <c r="AN161" s="34"/>
      <c r="AO161" s="42"/>
      <c r="AP161" s="52"/>
      <c r="AQ161" s="52"/>
      <c r="AR161" s="53"/>
      <c r="AS161" s="52"/>
      <c r="AT161" s="54"/>
      <c r="AU161" s="55"/>
      <c r="AV161" s="55"/>
      <c r="AW161" s="67"/>
      <c r="AX161" s="68"/>
      <c r="AY161" s="69"/>
      <c r="AZ161" s="68"/>
      <c r="BA161" s="89"/>
      <c r="BB161" s="5"/>
      <c r="BC161" s="71"/>
      <c r="BD161" s="71"/>
      <c r="BE161" s="71"/>
      <c r="BF161" s="71"/>
      <c r="BG161" s="71"/>
      <c r="BH161" s="71"/>
      <c r="BI161" s="72"/>
      <c r="BJ161" s="72"/>
      <c r="BK161" s="72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</row>
    <row r="162" spans="1:79" s="16" customFormat="1" x14ac:dyDescent="0.3">
      <c r="A162" s="199"/>
      <c r="B162" s="32"/>
      <c r="C162" s="32"/>
      <c r="D162" s="32"/>
      <c r="E162" s="32"/>
      <c r="F162" s="32"/>
      <c r="G162" s="33"/>
      <c r="H162" s="272" t="s">
        <v>3</v>
      </c>
      <c r="I162" s="259">
        <f>COUNTIF(I128:I158,"=Space")</f>
        <v>5</v>
      </c>
      <c r="J162" s="259"/>
      <c r="K162" s="259" t="s">
        <v>299</v>
      </c>
      <c r="L162" s="273">
        <f>SUMIF(I128:I159,"Space",L128:L159)/21</f>
        <v>173.71428571428572</v>
      </c>
      <c r="M162" s="33"/>
      <c r="N162" s="35"/>
      <c r="O162" s="33"/>
      <c r="P162" s="33"/>
      <c r="Q162" s="42"/>
      <c r="R162" s="43"/>
      <c r="S162" s="33"/>
      <c r="T162" s="34"/>
      <c r="U162" s="66"/>
      <c r="V162" s="46"/>
      <c r="W162" s="34"/>
      <c r="X162" s="34"/>
      <c r="Y162" s="34"/>
      <c r="Z162" s="65"/>
      <c r="AA162" s="34"/>
      <c r="AB162" s="47"/>
      <c r="AC162" s="48"/>
      <c r="AD162" s="34"/>
      <c r="AE162" s="34"/>
      <c r="AF162" s="49"/>
      <c r="AG162" s="34"/>
      <c r="AH162" s="50"/>
      <c r="AI162" s="51"/>
      <c r="AJ162" s="34"/>
      <c r="AK162" s="34"/>
      <c r="AL162" s="34"/>
      <c r="AM162" s="34"/>
      <c r="AN162" s="34"/>
      <c r="AO162" s="42"/>
      <c r="AP162" s="52"/>
      <c r="AQ162" s="52"/>
      <c r="AR162" s="53"/>
      <c r="AS162" s="52"/>
      <c r="AT162" s="54"/>
      <c r="AU162" s="55"/>
      <c r="AV162" s="55"/>
      <c r="AW162" s="67"/>
      <c r="AX162" s="68"/>
      <c r="AY162" s="69"/>
      <c r="AZ162" s="68"/>
      <c r="BA162" s="89"/>
      <c r="BB162" s="5"/>
      <c r="BC162" s="71"/>
      <c r="BD162" s="71"/>
      <c r="BE162" s="71"/>
      <c r="BF162" s="71"/>
      <c r="BG162" s="71"/>
      <c r="BH162" s="71"/>
      <c r="BI162" s="72"/>
      <c r="BJ162" s="72"/>
      <c r="BK162" s="72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</row>
    <row r="163" spans="1:79" s="16" customFormat="1" x14ac:dyDescent="0.3">
      <c r="A163" s="199"/>
      <c r="B163" s="32"/>
      <c r="C163" s="32"/>
      <c r="D163" s="32"/>
      <c r="E163" s="32"/>
      <c r="F163" s="32"/>
      <c r="G163" s="33"/>
      <c r="H163" s="272" t="s">
        <v>60</v>
      </c>
      <c r="I163" s="259">
        <f>COUNTIF(I128:I158,"=U space")</f>
        <v>10</v>
      </c>
      <c r="J163" s="259"/>
      <c r="K163" s="259" t="s">
        <v>60</v>
      </c>
      <c r="L163" s="274">
        <v>3</v>
      </c>
      <c r="M163" s="33"/>
      <c r="N163" s="35"/>
      <c r="O163" s="33"/>
      <c r="P163" s="33"/>
      <c r="Q163" s="42"/>
      <c r="R163" s="43"/>
      <c r="S163" s="33"/>
      <c r="T163" s="34"/>
      <c r="U163" s="66"/>
      <c r="V163" s="46"/>
      <c r="W163" s="34"/>
      <c r="X163" s="34"/>
      <c r="Y163" s="34"/>
      <c r="Z163" s="65"/>
      <c r="AA163" s="34"/>
      <c r="AB163" s="47"/>
      <c r="AC163" s="48"/>
      <c r="AD163" s="34"/>
      <c r="AE163" s="34"/>
      <c r="AF163" s="49"/>
      <c r="AG163" s="34"/>
      <c r="AH163" s="50"/>
      <c r="AI163" s="51"/>
      <c r="AJ163" s="34"/>
      <c r="AK163" s="34"/>
      <c r="AL163" s="34"/>
      <c r="AM163" s="34"/>
      <c r="AN163" s="34"/>
      <c r="AO163" s="42"/>
      <c r="AP163" s="52"/>
      <c r="AQ163" s="52"/>
      <c r="AR163" s="53"/>
      <c r="AS163" s="52"/>
      <c r="AT163" s="54"/>
      <c r="AU163" s="55"/>
      <c r="AV163" s="55"/>
      <c r="AW163" s="67"/>
      <c r="AX163" s="68"/>
      <c r="AY163" s="69"/>
      <c r="AZ163" s="68"/>
      <c r="BA163" s="89"/>
      <c r="BB163" s="5"/>
      <c r="BC163" s="71"/>
      <c r="BD163" s="71"/>
      <c r="BE163" s="71"/>
      <c r="BF163" s="71"/>
      <c r="BG163" s="71"/>
      <c r="BH163" s="71"/>
      <c r="BI163" s="72"/>
      <c r="BJ163" s="72"/>
      <c r="BK163" s="72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</row>
    <row r="164" spans="1:79" s="16" customFormat="1" ht="13.5" thickBot="1" x14ac:dyDescent="0.35">
      <c r="A164" s="199"/>
      <c r="B164" s="32"/>
      <c r="C164" s="32"/>
      <c r="D164" s="32"/>
      <c r="E164" s="32"/>
      <c r="F164" s="32"/>
      <c r="G164" s="33"/>
      <c r="H164" s="275"/>
      <c r="I164" s="276"/>
      <c r="J164" s="276"/>
      <c r="K164" s="277" t="s">
        <v>0</v>
      </c>
      <c r="L164" s="278">
        <f>SUM(L161:L163)</f>
        <v>244.71428571428572</v>
      </c>
      <c r="M164" s="33"/>
      <c r="N164" s="35"/>
      <c r="O164" s="33"/>
      <c r="P164" s="33"/>
      <c r="Q164" s="42"/>
      <c r="R164" s="43"/>
      <c r="S164" s="33"/>
      <c r="T164" s="34"/>
      <c r="U164" s="66"/>
      <c r="V164" s="46"/>
      <c r="W164" s="34"/>
      <c r="X164" s="34"/>
      <c r="Y164" s="34"/>
      <c r="Z164" s="65"/>
      <c r="AA164" s="34"/>
      <c r="AB164" s="47"/>
      <c r="AC164" s="48"/>
      <c r="AD164" s="34"/>
      <c r="AE164" s="34"/>
      <c r="AF164" s="49"/>
      <c r="AG164" s="34"/>
      <c r="AH164" s="50"/>
      <c r="AI164" s="51"/>
      <c r="AJ164" s="34"/>
      <c r="AK164" s="34"/>
      <c r="AL164" s="34"/>
      <c r="AM164" s="34"/>
      <c r="AN164" s="34"/>
      <c r="AO164" s="42"/>
      <c r="AP164" s="52"/>
      <c r="AQ164" s="52"/>
      <c r="AR164" s="53"/>
      <c r="AS164" s="52"/>
      <c r="AT164" s="54"/>
      <c r="AU164" s="55"/>
      <c r="AV164" s="55"/>
      <c r="AW164" s="67"/>
      <c r="AX164" s="68"/>
      <c r="AY164" s="69"/>
      <c r="AZ164" s="68"/>
      <c r="BA164" s="89"/>
      <c r="BB164" s="5"/>
      <c r="BC164" s="71"/>
      <c r="BD164" s="71"/>
      <c r="BE164" s="71"/>
      <c r="BF164" s="71"/>
      <c r="BG164" s="71"/>
      <c r="BH164" s="71"/>
      <c r="BI164" s="72"/>
      <c r="BJ164" s="72"/>
      <c r="BK164" s="72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</row>
    <row r="165" spans="1:79" s="16" customFormat="1" ht="28.5" customHeight="1" x14ac:dyDescent="0.3">
      <c r="A165" s="199"/>
      <c r="B165" s="32"/>
      <c r="C165" s="32"/>
      <c r="D165" s="32"/>
      <c r="E165" s="32"/>
      <c r="F165" s="32"/>
      <c r="G165" s="33"/>
      <c r="H165" s="34"/>
      <c r="I165" s="33"/>
      <c r="J165" s="33"/>
      <c r="K165" s="31"/>
      <c r="L165" s="33"/>
      <c r="M165" s="33"/>
      <c r="N165" s="35"/>
      <c r="O165" s="33"/>
      <c r="P165" s="33"/>
      <c r="Q165" s="42"/>
      <c r="R165" s="43"/>
      <c r="S165" s="33"/>
      <c r="T165" s="34"/>
      <c r="U165" s="66"/>
      <c r="V165" s="46"/>
      <c r="W165" s="34"/>
      <c r="X165" s="34"/>
      <c r="Y165" s="34"/>
      <c r="Z165" s="65"/>
      <c r="AA165" s="34"/>
      <c r="AB165" s="47"/>
      <c r="AC165" s="48"/>
      <c r="AD165" s="34"/>
      <c r="AE165" s="34"/>
      <c r="AF165" s="49"/>
      <c r="AG165" s="34"/>
      <c r="AH165" s="50"/>
      <c r="AI165" s="51"/>
      <c r="AJ165" s="34"/>
      <c r="AK165" s="34"/>
      <c r="AL165" s="34"/>
      <c r="AM165" s="34"/>
      <c r="AN165" s="34"/>
      <c r="AO165" s="42"/>
      <c r="AP165" s="52"/>
      <c r="AQ165" s="52"/>
      <c r="AR165" s="53"/>
      <c r="AS165" s="52"/>
      <c r="AT165" s="54"/>
      <c r="AU165" s="55"/>
      <c r="AV165" s="55"/>
      <c r="AW165" s="67"/>
      <c r="AX165" s="68"/>
      <c r="AY165" s="69"/>
      <c r="AZ165" s="68"/>
      <c r="BA165" s="89"/>
      <c r="BB165" s="5"/>
      <c r="BC165" s="71"/>
      <c r="BD165" s="71"/>
      <c r="BE165" s="71"/>
      <c r="BF165" s="71"/>
      <c r="BG165" s="71"/>
      <c r="BH165" s="71"/>
      <c r="BI165" s="72"/>
      <c r="BJ165" s="72"/>
      <c r="BK165" s="72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</row>
    <row r="166" spans="1:79" s="16" customFormat="1" x14ac:dyDescent="0.3">
      <c r="A166" s="199"/>
      <c r="B166" s="32" t="s">
        <v>161</v>
      </c>
      <c r="C166" s="33" t="s">
        <v>359</v>
      </c>
      <c r="D166" s="33" t="s">
        <v>404</v>
      </c>
      <c r="E166" s="33"/>
      <c r="F166" s="33"/>
      <c r="G166" s="33" t="s">
        <v>11</v>
      </c>
      <c r="H166" s="34" t="s">
        <v>52</v>
      </c>
      <c r="I166" s="33" t="s">
        <v>8</v>
      </c>
      <c r="J166" s="33" t="s">
        <v>61</v>
      </c>
      <c r="K166" s="31" t="str">
        <f>IF(I166="Rack","No of Racks",(IF(I166="Space","Sq Ft","U Space")))</f>
        <v>No of Racks</v>
      </c>
      <c r="L166" s="33">
        <v>1</v>
      </c>
      <c r="M166" s="33">
        <v>1</v>
      </c>
      <c r="N166" s="35">
        <f>L166-M166</f>
        <v>0</v>
      </c>
      <c r="O166" s="33">
        <v>1</v>
      </c>
      <c r="P166" s="33"/>
      <c r="Q166" s="42">
        <f>(395000)/12</f>
        <v>32916.666666666664</v>
      </c>
      <c r="R166" s="43" t="str">
        <f>G166</f>
        <v>Rated</v>
      </c>
      <c r="S166" s="33" t="s">
        <v>54</v>
      </c>
      <c r="T166" s="34">
        <v>3</v>
      </c>
      <c r="U166" s="45">
        <v>2.67</v>
      </c>
      <c r="V166" s="46">
        <f>T166-U166</f>
        <v>0.33000000000000007</v>
      </c>
      <c r="W166" s="34"/>
      <c r="X166" s="34">
        <f>IF(V166&lt;=0,0,(IF(R166="Rated",(V166+W166)*$X$1,(V166+W166))))</f>
        <v>0.16500000000000004</v>
      </c>
      <c r="Y166" s="34">
        <f>IF(R166="Rated",T166*$X$1,T166)</f>
        <v>1.5</v>
      </c>
      <c r="Z166" s="65">
        <v>1.5</v>
      </c>
      <c r="AA166" s="34">
        <f>IF((V166*-1)&gt;0, (V166*-1), 0)</f>
        <v>0</v>
      </c>
      <c r="AB166" s="47">
        <f>100000/12</f>
        <v>8333.3333333333339</v>
      </c>
      <c r="AC166" s="48" t="str">
        <f>H166</f>
        <v>Bundled</v>
      </c>
      <c r="AD166" s="34">
        <v>1.7</v>
      </c>
      <c r="AE166" s="34" t="s">
        <v>59</v>
      </c>
      <c r="AF166" s="49"/>
      <c r="AG166" s="34"/>
      <c r="AH166" s="50"/>
      <c r="AI166" s="51" t="str">
        <f>IF(AH166="No of Seats","No of Seats",(IF(AH166="Space","Sq Ft","")))</f>
        <v/>
      </c>
      <c r="AJ166" s="34"/>
      <c r="AK166" s="34"/>
      <c r="AL166" s="34">
        <f>AJ166-AK166</f>
        <v>0</v>
      </c>
      <c r="AM166" s="34"/>
      <c r="AN166" s="34"/>
      <c r="AO166" s="42"/>
      <c r="AP166" s="52">
        <f>Q166*O166</f>
        <v>32916.666666666664</v>
      </c>
      <c r="AQ166" s="52">
        <f>AB166*AA166</f>
        <v>0</v>
      </c>
      <c r="AR166" s="53">
        <f>AG166*AF166*AD166</f>
        <v>0</v>
      </c>
      <c r="AS166" s="52">
        <f>AO166*AM166</f>
        <v>0</v>
      </c>
      <c r="AT166" s="54"/>
      <c r="AU166" s="55">
        <f>SUBTOTAL(9,AP166:AT166)</f>
        <v>32916.666666666664</v>
      </c>
      <c r="AV166" s="55"/>
      <c r="AW166" s="67"/>
      <c r="AX166" s="57"/>
      <c r="AY166" s="58"/>
      <c r="AZ166" s="57"/>
      <c r="BA166" s="198"/>
      <c r="BC166" s="25">
        <f>IF(I166="Rack",AU166/L166,0)+IF(I166="U Space",AU166*40/L166,0)+IF(I166="Space",AU166*30/L166,0)</f>
        <v>32916.666666666664</v>
      </c>
      <c r="BD166" s="25">
        <f>+AU166/Y166</f>
        <v>21944.444444444442</v>
      </c>
      <c r="BE166" s="25">
        <f>+($AP166+$AQ166+$AR166-BL166)/$Y166</f>
        <v>3697.5241944444424</v>
      </c>
      <c r="BF166" s="25">
        <f>+($AP166+$AQ166+$AR166-BM166)/$Y166</f>
        <v>1690.3629669444442</v>
      </c>
      <c r="BG166" s="25">
        <f>+($AP166+$AQ166+IF(H166="Bundled",0,Y166*0.85*AD166*AF166*30.5*24)-BN166)/$Y166</f>
        <v>3697.5241944444424</v>
      </c>
      <c r="BH166" s="25"/>
      <c r="BI166" s="26">
        <f>+AP166+AQ166+AR166</f>
        <v>32916.666666666664</v>
      </c>
      <c r="BJ166" s="26" t="e">
        <f>+BI166-BK166</f>
        <v>#REF!</v>
      </c>
      <c r="BK166" s="26" t="e">
        <f>IF(H166="Bundled",MIN(Y166*$AG$1*(1+#REF!),BI166),AR166)</f>
        <v>#REF!</v>
      </c>
      <c r="BL166" s="27">
        <f>IF($AG166&gt;0,$AG166*$AD$1*$AF$1*(1+$AI$1*(20/$AF$1)/732),$AG$1*Z166)</f>
        <v>27370.380375000001</v>
      </c>
      <c r="BM166" s="27">
        <f>IF($AG166&gt;0,$AG166*$AD$1*$AF$1*(1+$AI$1*(20/$AF$1)/732),+$AG$1*(Z166+X166))</f>
        <v>30381.122216249998</v>
      </c>
      <c r="BN166" s="27">
        <f>IF(H166="Bundled",$AG$1*Y166,$AG$1*Y166*0.85)</f>
        <v>27370.380375000001</v>
      </c>
      <c r="BO166" s="27">
        <f>+BE166*Y166</f>
        <v>5546.2862916666636</v>
      </c>
      <c r="BP166" s="27" t="e">
        <f>+#REF!*Y166</f>
        <v>#REF!</v>
      </c>
      <c r="BQ166" s="27" t="e">
        <f>+BJ166-BP166</f>
        <v>#REF!</v>
      </c>
      <c r="BR166" s="27" t="e">
        <f>+BK166-BL166</f>
        <v>#REF!</v>
      </c>
      <c r="BS166" s="27" t="e">
        <f>+BQ166+BR166</f>
        <v>#REF!</v>
      </c>
      <c r="BT166" s="27">
        <f>+Y166</f>
        <v>1.5</v>
      </c>
      <c r="BU166" s="27">
        <f>+BE166</f>
        <v>3697.5241944444424</v>
      </c>
      <c r="BV166" s="27">
        <f>IF(H166="Bundled",BN166-BL166,AR166-BL166)</f>
        <v>0</v>
      </c>
      <c r="BW166" s="27" t="e">
        <f>IF(H166="Bundled",+(BG166-#REF!)*Y166,(AP166+AQ166)-Y166*#REF!)</f>
        <v>#REF!</v>
      </c>
      <c r="BX166" s="27" t="e">
        <f>+BV166+BW166</f>
        <v>#REF!</v>
      </c>
      <c r="BY166" s="27">
        <f t="shared" ref="BY166:CA167" si="279">+BV166/$BT166</f>
        <v>0</v>
      </c>
      <c r="BZ166" s="27" t="e">
        <f t="shared" si="279"/>
        <v>#REF!</v>
      </c>
      <c r="CA166" s="27" t="e">
        <f t="shared" si="279"/>
        <v>#REF!</v>
      </c>
    </row>
    <row r="167" spans="1:79" s="16" customFormat="1" x14ac:dyDescent="0.3">
      <c r="A167" s="199"/>
      <c r="B167" s="32"/>
      <c r="C167" s="32"/>
      <c r="D167" s="32"/>
      <c r="E167" s="32"/>
      <c r="F167" s="32"/>
      <c r="G167" s="33" t="s">
        <v>56</v>
      </c>
      <c r="H167" s="34" t="s">
        <v>57</v>
      </c>
      <c r="I167" s="33" t="s">
        <v>8</v>
      </c>
      <c r="J167" s="33" t="s">
        <v>61</v>
      </c>
      <c r="K167" s="31" t="str">
        <f>IF(I167="Rack","No of Racks",(IF(I167="Space","Sq Ft","U Space")))</f>
        <v>No of Racks</v>
      </c>
      <c r="L167" s="33">
        <v>0</v>
      </c>
      <c r="M167" s="33">
        <v>0</v>
      </c>
      <c r="N167" s="35">
        <f>L167-M167</f>
        <v>0</v>
      </c>
      <c r="O167" s="33">
        <v>0</v>
      </c>
      <c r="P167" s="33"/>
      <c r="Q167" s="42">
        <f>(0)/12</f>
        <v>0</v>
      </c>
      <c r="R167" s="43" t="str">
        <f>G167</f>
        <v>Subscribed</v>
      </c>
      <c r="S167" s="33" t="s">
        <v>58</v>
      </c>
      <c r="T167" s="34">
        <v>0</v>
      </c>
      <c r="U167" s="66">
        <f>Z167</f>
        <v>0</v>
      </c>
      <c r="V167" s="46">
        <f>T167-U167</f>
        <v>0</v>
      </c>
      <c r="W167" s="34"/>
      <c r="X167" s="34">
        <f>IF(V167&lt;=0,0,(IF(R167="Rated",(V167+W167)*$X$1,(V167+W167))))</f>
        <v>0</v>
      </c>
      <c r="Y167" s="34">
        <f>IF(R167="Rated",T167*$X$1,T167)</f>
        <v>0</v>
      </c>
      <c r="Z167" s="65">
        <f>AG167/31/24</f>
        <v>0</v>
      </c>
      <c r="AA167" s="34">
        <f>IF((V167*-1)&gt;0, (V167*-1), 0)</f>
        <v>0</v>
      </c>
      <c r="AB167" s="47">
        <f>0/12</f>
        <v>0</v>
      </c>
      <c r="AC167" s="48" t="str">
        <f>H167</f>
        <v>Metered</v>
      </c>
      <c r="AD167" s="34"/>
      <c r="AE167" s="34"/>
      <c r="AF167" s="49">
        <v>0</v>
      </c>
      <c r="AG167" s="34"/>
      <c r="AH167" s="50"/>
      <c r="AI167" s="51"/>
      <c r="AJ167" s="34"/>
      <c r="AK167" s="34"/>
      <c r="AL167" s="34">
        <f>AJ167-AK167</f>
        <v>0</v>
      </c>
      <c r="AM167" s="34"/>
      <c r="AN167" s="34"/>
      <c r="AO167" s="42">
        <f t="shared" ref="AO167" si="280">(0)/12</f>
        <v>0</v>
      </c>
      <c r="AP167" s="52">
        <f>Q167*O167</f>
        <v>0</v>
      </c>
      <c r="AQ167" s="52">
        <f>AB167*AA167</f>
        <v>0</v>
      </c>
      <c r="AR167" s="53">
        <f>AG167*AF167*AD167</f>
        <v>0</v>
      </c>
      <c r="AS167" s="52">
        <f>AO167*AM167</f>
        <v>0</v>
      </c>
      <c r="AT167" s="54">
        <f>0/12</f>
        <v>0</v>
      </c>
      <c r="AU167" s="55">
        <f>SUBTOTAL(9,AP167:AT167)</f>
        <v>0</v>
      </c>
      <c r="AV167" s="55"/>
      <c r="AW167" s="67"/>
      <c r="AX167" s="68"/>
      <c r="AY167" s="69"/>
      <c r="AZ167" s="68"/>
      <c r="BA167" s="89"/>
      <c r="BB167" s="5"/>
      <c r="BC167" s="29" t="e">
        <f>IF(I167="Rack",AU167/L167,0)+IF(I167="U Space",AU167*40/L167,0)+IF(I167="Space",AU167*30/L167,0)</f>
        <v>#DIV/0!</v>
      </c>
      <c r="BD167" s="29" t="e">
        <f>+AU167/Y167</f>
        <v>#DIV/0!</v>
      </c>
      <c r="BE167" s="25" t="e">
        <f>+($AP167+$AQ167+$AR167-BL167)/$Y167</f>
        <v>#DIV/0!</v>
      </c>
      <c r="BF167" s="25" t="e">
        <f>+($AP167+$AQ167+$AR167-BM167)/$Y167</f>
        <v>#DIV/0!</v>
      </c>
      <c r="BG167" s="25" t="e">
        <f>+($AP167+$AQ167+IF(H167="Bundled",0,Y167*0.85*AD167*AF167*30.5*24)-BN167)/$Y167</f>
        <v>#DIV/0!</v>
      </c>
      <c r="BH167" s="29"/>
      <c r="BI167" s="26">
        <f>+AP167+AQ167+AR167</f>
        <v>0</v>
      </c>
      <c r="BJ167" s="26">
        <f>+BI167-BK167</f>
        <v>0</v>
      </c>
      <c r="BK167" s="26">
        <f>IF(H167="Bundled",MIN(Y167*$AG$1*(1+#REF!),BI167),AR167)</f>
        <v>0</v>
      </c>
      <c r="BL167" s="27">
        <f>IF($AG167&gt;0,$AG167*$AD$1*$AF$1*(1+$AI$1*(20/$AF$1)/732),$AG$1*Z167)</f>
        <v>0</v>
      </c>
      <c r="BM167" s="27">
        <f>IF($AG167&gt;0,$AG167*$AD$1*$AF$1*(1+$AI$1*(20/$AF$1)/732),+$AG$1*(Z167+X167))</f>
        <v>0</v>
      </c>
      <c r="BN167" s="27">
        <f>IF(H167="Bundled",$AG$1*Y167,$AG$1*Y167*0.85)</f>
        <v>0</v>
      </c>
      <c r="BO167" s="27" t="e">
        <f>+BE167*Y167</f>
        <v>#DIV/0!</v>
      </c>
      <c r="BP167" s="27" t="e">
        <f>+#REF!*Y167</f>
        <v>#REF!</v>
      </c>
      <c r="BQ167" s="27" t="e">
        <f>+BJ167-BP167</f>
        <v>#REF!</v>
      </c>
      <c r="BR167" s="27">
        <f>+BK167-BL167</f>
        <v>0</v>
      </c>
      <c r="BS167" s="27" t="e">
        <f>+BQ167+BR167</f>
        <v>#REF!</v>
      </c>
      <c r="BT167" s="27">
        <f>+Y167</f>
        <v>0</v>
      </c>
      <c r="BU167" s="27" t="e">
        <f>+BE167</f>
        <v>#DIV/0!</v>
      </c>
      <c r="BV167" s="27">
        <f>IF(H167="Bundled",BN167-BL167,AR167-BL167)</f>
        <v>0</v>
      </c>
      <c r="BW167" s="27" t="e">
        <f>IF(H167="Bundled",+(BG167-#REF!)*Y167,(AP167+AQ167)-Y167*#REF!)</f>
        <v>#REF!</v>
      </c>
      <c r="BX167" s="27" t="e">
        <f>+BV167+BW167</f>
        <v>#REF!</v>
      </c>
      <c r="BY167" s="27" t="e">
        <f t="shared" si="279"/>
        <v>#DIV/0!</v>
      </c>
      <c r="BZ167" s="27" t="e">
        <f t="shared" si="279"/>
        <v>#REF!</v>
      </c>
      <c r="CA167" s="27" t="e">
        <f t="shared" si="279"/>
        <v>#REF!</v>
      </c>
    </row>
    <row r="168" spans="1:79" x14ac:dyDescent="0.3">
      <c r="A168" s="195"/>
      <c r="B168" s="145" t="s">
        <v>162</v>
      </c>
      <c r="C168" s="145"/>
      <c r="D168" s="145"/>
      <c r="E168" s="145"/>
      <c r="F168" s="145"/>
      <c r="G168" s="70"/>
      <c r="H168" s="70"/>
      <c r="I168" s="70"/>
      <c r="J168" s="70"/>
      <c r="K168" s="70"/>
      <c r="L168" s="145"/>
      <c r="M168" s="145"/>
      <c r="N168" s="146"/>
      <c r="O168" s="145"/>
      <c r="P168" s="145"/>
      <c r="Q168" s="145"/>
      <c r="R168" s="43"/>
      <c r="S168" s="145"/>
      <c r="T168" s="147">
        <f>SUM(T166:T167)</f>
        <v>3</v>
      </c>
      <c r="U168" s="147">
        <f>SUM(U166:U167)</f>
        <v>2.67</v>
      </c>
      <c r="V168" s="148"/>
      <c r="W168" s="147"/>
      <c r="X168" s="147">
        <f>SUM(X166:X167)</f>
        <v>0.16500000000000004</v>
      </c>
      <c r="Y168" s="147">
        <f>SUM(Y166:Y167)</f>
        <v>1.5</v>
      </c>
      <c r="Z168" s="147">
        <f>SUM(Z166:Z167)</f>
        <v>1.5</v>
      </c>
      <c r="AA168" s="147"/>
      <c r="AB168" s="147"/>
      <c r="AC168" s="48"/>
      <c r="AD168" s="147"/>
      <c r="AE168" s="147"/>
      <c r="AF168" s="147"/>
      <c r="AG168" s="147"/>
      <c r="AH168" s="50" t="s">
        <v>55</v>
      </c>
      <c r="AI168" s="51" t="str">
        <f>IF(AH168="No of Seats","No of Seats",(IF(AH168="Space","Sq Ft","")))</f>
        <v>No of Seats</v>
      </c>
      <c r="AJ168" s="147">
        <f>SUM(AJ166:AJ167)</f>
        <v>0</v>
      </c>
      <c r="AK168" s="147">
        <f>SUM(AK166:AK167)</f>
        <v>0</v>
      </c>
      <c r="AL168" s="147">
        <f>SUM(AL166:AL167)</f>
        <v>0</v>
      </c>
      <c r="AM168" s="147">
        <f>SUM(AM166:AM167)</f>
        <v>0</v>
      </c>
      <c r="AN168" s="147"/>
      <c r="AO168" s="147"/>
      <c r="AP168" s="149"/>
      <c r="AQ168" s="149"/>
      <c r="AR168" s="149"/>
      <c r="AS168" s="149"/>
      <c r="AT168" s="149"/>
      <c r="AU168" s="147">
        <f>SUM(AU166:AU167)</f>
        <v>32916.666666666664</v>
      </c>
      <c r="AV168" s="70" t="s">
        <v>73</v>
      </c>
      <c r="AW168" s="85"/>
      <c r="AX168" s="85"/>
      <c r="AY168" s="69"/>
      <c r="AZ168" s="85"/>
      <c r="BA168" s="89"/>
      <c r="CA168" s="28"/>
    </row>
    <row r="169" spans="1:79" x14ac:dyDescent="0.3">
      <c r="A169" s="195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151"/>
      <c r="O169" s="152"/>
      <c r="P169" s="152"/>
      <c r="Q169" s="153"/>
      <c r="R169" s="152"/>
      <c r="S169" s="152"/>
      <c r="T169" s="154"/>
      <c r="U169" s="70"/>
      <c r="V169" s="151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155"/>
      <c r="AH169" s="155"/>
      <c r="AI169" s="155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54"/>
      <c r="AV169" s="70"/>
      <c r="AW169" s="85"/>
      <c r="AX169" s="85"/>
      <c r="AY169" s="85"/>
      <c r="AZ169" s="85"/>
      <c r="BA169" s="89"/>
    </row>
    <row r="170" spans="1:79" s="243" customFormat="1" x14ac:dyDescent="0.3">
      <c r="A170" s="222" t="s">
        <v>244</v>
      </c>
      <c r="B170" s="223" t="s">
        <v>244</v>
      </c>
      <c r="C170" s="224" t="s">
        <v>308</v>
      </c>
      <c r="D170" s="224"/>
      <c r="E170" s="486">
        <v>1</v>
      </c>
      <c r="F170" s="364"/>
      <c r="G170" s="224" t="s">
        <v>56</v>
      </c>
      <c r="H170" s="225" t="s">
        <v>57</v>
      </c>
      <c r="I170" s="224" t="s">
        <v>3</v>
      </c>
      <c r="J170" s="224" t="s">
        <v>61</v>
      </c>
      <c r="K170" s="226" t="str">
        <f>IF(I170="Rack","No of Racks",(IF(I170="Space","Sq Ft","U Space")))</f>
        <v>Sq Ft</v>
      </c>
      <c r="L170" s="224">
        <v>7384</v>
      </c>
      <c r="M170" s="224">
        <v>7384</v>
      </c>
      <c r="N170" s="227">
        <f>L170-M170</f>
        <v>0</v>
      </c>
      <c r="O170" s="224">
        <v>7384</v>
      </c>
      <c r="P170" s="224"/>
      <c r="Q170" s="228">
        <f>(0)/12</f>
        <v>0</v>
      </c>
      <c r="R170" s="210" t="str">
        <f>G170</f>
        <v>Subscribed</v>
      </c>
      <c r="S170" s="224" t="s">
        <v>58</v>
      </c>
      <c r="T170" s="225">
        <v>2160</v>
      </c>
      <c r="U170" s="229">
        <f>Z170</f>
        <v>954.80061011904763</v>
      </c>
      <c r="V170" s="230">
        <f>T170-U170</f>
        <v>1205.1993898809524</v>
      </c>
      <c r="W170" s="225"/>
      <c r="X170" s="225">
        <f>IF(V170&lt;=0,0,(IF(R170="Rated",(V170+W170)*$X$1,(V170+W170))))</f>
        <v>1205.1993898809524</v>
      </c>
      <c r="Y170" s="225">
        <f>IF(R170="Rated",T170*$X$1,T170)</f>
        <v>2160</v>
      </c>
      <c r="Z170" s="229">
        <f>AG170/28/24</f>
        <v>954.80061011904763</v>
      </c>
      <c r="AA170" s="225">
        <f>IF((V170*-1)&gt;0, (V170*-1), 0)</f>
        <v>0</v>
      </c>
      <c r="AB170" s="231">
        <f>0/12</f>
        <v>0</v>
      </c>
      <c r="AC170" s="213" t="str">
        <f>H170</f>
        <v>Metered</v>
      </c>
      <c r="AD170" s="225" t="s">
        <v>428</v>
      </c>
      <c r="AE170" s="225" t="s">
        <v>59</v>
      </c>
      <c r="AF170" s="232">
        <v>0</v>
      </c>
      <c r="AG170" s="225">
        <v>641626.01</v>
      </c>
      <c r="AH170" s="214" t="s">
        <v>55</v>
      </c>
      <c r="AI170" s="215"/>
      <c r="AJ170" s="486">
        <v>1</v>
      </c>
      <c r="AK170" s="225"/>
      <c r="AL170" s="225">
        <f>AJ170-AK170</f>
        <v>1</v>
      </c>
      <c r="AM170" s="225"/>
      <c r="AN170" s="225"/>
      <c r="AO170" s="228">
        <f t="shared" ref="AO170:AO172" si="281">(0)/12</f>
        <v>0</v>
      </c>
      <c r="AP170" s="233">
        <f>Q170*O170</f>
        <v>0</v>
      </c>
      <c r="AQ170" s="233">
        <f>AB170*AA170</f>
        <v>0</v>
      </c>
      <c r="AR170" s="234" t="e">
        <f>AG170*AF170*AD170</f>
        <v>#VALUE!</v>
      </c>
      <c r="AS170" s="233">
        <f>AO170*AM170</f>
        <v>0</v>
      </c>
      <c r="AT170" s="235">
        <f>0/12</f>
        <v>0</v>
      </c>
      <c r="AU170" s="236" t="e">
        <f>SUBTOTAL(9,AP170:AT170)</f>
        <v>#VALUE!</v>
      </c>
      <c r="AV170" s="236"/>
      <c r="AW170" s="237"/>
      <c r="AX170" s="238"/>
      <c r="AY170" s="218"/>
      <c r="AZ170" s="238"/>
      <c r="BA170" s="219"/>
      <c r="BB170" s="220"/>
      <c r="BC170" s="239" t="e">
        <f>IF(I170="Rack",AU170/L170,0)+IF(I170="U Space",AU170*40/L170,0)+IF(I170="Space",AU170*30/L170,0)</f>
        <v>#VALUE!</v>
      </c>
      <c r="BD170" s="239" t="e">
        <f>+AU170/Y170</f>
        <v>#VALUE!</v>
      </c>
      <c r="BE170" s="240" t="e">
        <f t="shared" ref="BE170:BF172" si="282">+($AP170+$AQ170+$AR170-BL170)/$Y170</f>
        <v>#VALUE!</v>
      </c>
      <c r="BF170" s="240" t="e">
        <f t="shared" si="282"/>
        <v>#VALUE!</v>
      </c>
      <c r="BG170" s="240" t="e">
        <f>+($AP170+$AQ170+IF(H170="Bundled",0,Y170*0.85*AD170*AF170*30.5*24)-BN170)/$Y170</f>
        <v>#VALUE!</v>
      </c>
      <c r="BH170" s="239"/>
      <c r="BI170" s="241" t="e">
        <f>+AP170+AQ170+AR170</f>
        <v>#VALUE!</v>
      </c>
      <c r="BJ170" s="241" t="e">
        <f>+BI170-BK170</f>
        <v>#VALUE!</v>
      </c>
      <c r="BK170" s="241" t="e">
        <f>IF(H170="Bundled",MIN(Y170*$AG$1*(1+#REF!),BI170),AR170)</f>
        <v>#VALUE!</v>
      </c>
      <c r="BL170" s="242">
        <f>IF($AG170&gt;0,$AG170*$AD$1*$AF$1*(1+$AI$1*(20/$AF$1)/732),$AG$1*Z170)</f>
        <v>17407613.427386638</v>
      </c>
      <c r="BM170" s="242">
        <f>IF($AG170&gt;0,$AG170*$AD$1*$AF$1*(1+$AI$1*(20/$AF$1)/732),+$AG$1*(Z170+X170))</f>
        <v>17407613.427386638</v>
      </c>
      <c r="BN170" s="242">
        <f>IF(H170="Bundled",$AG$1*Y170,$AG$1*Y170*0.85)</f>
        <v>33501345.578999996</v>
      </c>
      <c r="BO170" s="242" t="e">
        <f>+BE170*Y170</f>
        <v>#VALUE!</v>
      </c>
      <c r="BP170" s="242" t="e">
        <f>+#REF!*Y170</f>
        <v>#REF!</v>
      </c>
      <c r="BQ170" s="242" t="e">
        <f>+BJ170-BP170</f>
        <v>#VALUE!</v>
      </c>
      <c r="BR170" s="242" t="e">
        <f>+BK170-BL170</f>
        <v>#VALUE!</v>
      </c>
      <c r="BS170" s="242" t="e">
        <f>+BQ170+BR170</f>
        <v>#VALUE!</v>
      </c>
      <c r="BT170" s="242">
        <f>+Y170</f>
        <v>2160</v>
      </c>
      <c r="BU170" s="242" t="e">
        <f>+BE170</f>
        <v>#VALUE!</v>
      </c>
      <c r="BV170" s="242" t="e">
        <f>IF(H170="Bundled",BN170-BL170,AR170-BL170)</f>
        <v>#VALUE!</v>
      </c>
      <c r="BW170" s="242" t="e">
        <f>IF(H170="Bundled",+(BG170-#REF!)*Y170,(AP170+AQ170)-Y170*#REF!)</f>
        <v>#REF!</v>
      </c>
      <c r="BX170" s="242" t="e">
        <f>+BV170+BW170</f>
        <v>#VALUE!</v>
      </c>
      <c r="BY170" s="242" t="e">
        <f t="shared" ref="BY170:CA172" si="283">+BV170/$BT170</f>
        <v>#VALUE!</v>
      </c>
      <c r="BZ170" s="242" t="e">
        <f t="shared" si="283"/>
        <v>#REF!</v>
      </c>
      <c r="CA170" s="242" t="e">
        <f t="shared" si="283"/>
        <v>#VALUE!</v>
      </c>
    </row>
    <row r="171" spans="1:79" s="243" customFormat="1" x14ac:dyDescent="0.3">
      <c r="A171" s="222" t="s">
        <v>245</v>
      </c>
      <c r="B171" s="223" t="s">
        <v>245</v>
      </c>
      <c r="C171" s="224" t="s">
        <v>308</v>
      </c>
      <c r="D171" s="224"/>
      <c r="E171" s="487"/>
      <c r="F171" s="365"/>
      <c r="G171" s="224" t="s">
        <v>56</v>
      </c>
      <c r="H171" s="225" t="s">
        <v>57</v>
      </c>
      <c r="I171" s="224" t="s">
        <v>3</v>
      </c>
      <c r="J171" s="224" t="s">
        <v>61</v>
      </c>
      <c r="K171" s="226" t="str">
        <f>IF(I171="Rack","No of Racks",(IF(I171="Space","Sq Ft","U Space")))</f>
        <v>Sq Ft</v>
      </c>
      <c r="L171" s="224">
        <v>7384</v>
      </c>
      <c r="M171" s="224">
        <v>7384</v>
      </c>
      <c r="N171" s="227">
        <f>L171-M171</f>
        <v>0</v>
      </c>
      <c r="O171" s="224">
        <v>7384</v>
      </c>
      <c r="P171" s="224"/>
      <c r="Q171" s="228">
        <f>(0)/12</f>
        <v>0</v>
      </c>
      <c r="R171" s="210" t="str">
        <f>G171</f>
        <v>Subscribed</v>
      </c>
      <c r="S171" s="224" t="s">
        <v>58</v>
      </c>
      <c r="T171" s="225">
        <v>2160</v>
      </c>
      <c r="U171" s="229">
        <f>Z171</f>
        <v>737.80375744047615</v>
      </c>
      <c r="V171" s="230">
        <f>T171-U171</f>
        <v>1422.1962425595239</v>
      </c>
      <c r="W171" s="225"/>
      <c r="X171" s="225">
        <f>IF(V171&lt;=0,0,(IF(R171="Rated",(V171+W171)*$X$1,(V171+W171))))</f>
        <v>1422.1962425595239</v>
      </c>
      <c r="Y171" s="225">
        <f>IF(R171="Rated",T171*$X$1,T171)</f>
        <v>2160</v>
      </c>
      <c r="Z171" s="229">
        <f t="shared" ref="Z171:Z172" si="284">AG171/28/24</f>
        <v>737.80375744047615</v>
      </c>
      <c r="AA171" s="225">
        <f>IF((V171*-1)&gt;0, (V171*-1), 0)</f>
        <v>0</v>
      </c>
      <c r="AB171" s="231">
        <f>0/12</f>
        <v>0</v>
      </c>
      <c r="AC171" s="213" t="str">
        <f>H171</f>
        <v>Metered</v>
      </c>
      <c r="AD171" s="225" t="s">
        <v>428</v>
      </c>
      <c r="AE171" s="225" t="s">
        <v>59</v>
      </c>
      <c r="AF171" s="232">
        <v>0</v>
      </c>
      <c r="AG171" s="225">
        <v>495804.125</v>
      </c>
      <c r="AH171" s="214"/>
      <c r="AI171" s="215"/>
      <c r="AJ171" s="487"/>
      <c r="AK171" s="225"/>
      <c r="AL171" s="225">
        <f>AJ171-AK171</f>
        <v>0</v>
      </c>
      <c r="AM171" s="225"/>
      <c r="AN171" s="225"/>
      <c r="AO171" s="228">
        <f t="shared" si="281"/>
        <v>0</v>
      </c>
      <c r="AP171" s="233">
        <f>Q171*O171</f>
        <v>0</v>
      </c>
      <c r="AQ171" s="233">
        <f>AB171*AA171</f>
        <v>0</v>
      </c>
      <c r="AR171" s="234" t="e">
        <f>AG171*AF171*AD171</f>
        <v>#VALUE!</v>
      </c>
      <c r="AS171" s="233">
        <f>AO171*AM171</f>
        <v>0</v>
      </c>
      <c r="AT171" s="235">
        <f>0/12</f>
        <v>0</v>
      </c>
      <c r="AU171" s="236" t="e">
        <f>SUBTOTAL(9,AP171:AT171)</f>
        <v>#VALUE!</v>
      </c>
      <c r="AV171" s="236"/>
      <c r="AW171" s="237"/>
      <c r="AX171" s="238"/>
      <c r="AY171" s="218"/>
      <c r="AZ171" s="238"/>
      <c r="BA171" s="219"/>
      <c r="BB171" s="220"/>
      <c r="BC171" s="239" t="e">
        <f>IF(I171="Rack",AU171/L171,0)+IF(I171="U Space",AU171*40/L171,0)+IF(I171="Space",AU171*30/L171,0)</f>
        <v>#VALUE!</v>
      </c>
      <c r="BD171" s="239" t="e">
        <f>+AU171/Y171</f>
        <v>#VALUE!</v>
      </c>
      <c r="BE171" s="240" t="e">
        <f t="shared" si="282"/>
        <v>#VALUE!</v>
      </c>
      <c r="BF171" s="240" t="e">
        <f t="shared" si="282"/>
        <v>#VALUE!</v>
      </c>
      <c r="BG171" s="240" t="e">
        <f>+($AP171+$AQ171+IF(H171="Bundled",0,Y171*0.85*AD171*AF171*30.5*24)-BN171)/$Y171</f>
        <v>#VALUE!</v>
      </c>
      <c r="BH171" s="239"/>
      <c r="BI171" s="241" t="e">
        <f>+AP171+AQ171+AR171</f>
        <v>#VALUE!</v>
      </c>
      <c r="BJ171" s="241" t="e">
        <f>+BI171-BK171</f>
        <v>#VALUE!</v>
      </c>
      <c r="BK171" s="241" t="e">
        <f>IF(H171="Bundled",MIN(Y171*$AG$1*(1+#REF!),BI171),AR171)</f>
        <v>#VALUE!</v>
      </c>
      <c r="BL171" s="242">
        <f>IF($AG171&gt;0,$AG171*$AD$1*$AF$1*(1+$AI$1*(20/$AF$1)/732),$AG$1*Z171)</f>
        <v>13451397.557439549</v>
      </c>
      <c r="BM171" s="242">
        <f>IF($AG171&gt;0,$AG171*$AD$1*$AF$1*(1+$AI$1*(20/$AF$1)/732),+$AG$1*(Z171+X171))</f>
        <v>13451397.557439549</v>
      </c>
      <c r="BN171" s="242">
        <f>IF(H171="Bundled",$AG$1*Y171,$AG$1*Y171*0.85)</f>
        <v>33501345.578999996</v>
      </c>
      <c r="BO171" s="242" t="e">
        <f>+BE171*Y171</f>
        <v>#VALUE!</v>
      </c>
      <c r="BP171" s="242" t="e">
        <f>+#REF!*Y171</f>
        <v>#REF!</v>
      </c>
      <c r="BQ171" s="242" t="e">
        <f>+BJ171-BP171</f>
        <v>#VALUE!</v>
      </c>
      <c r="BR171" s="242" t="e">
        <f>+BK171-BL171</f>
        <v>#VALUE!</v>
      </c>
      <c r="BS171" s="242" t="e">
        <f>+BQ171+BR171</f>
        <v>#VALUE!</v>
      </c>
      <c r="BT171" s="242">
        <f>+Y171</f>
        <v>2160</v>
      </c>
      <c r="BU171" s="242" t="e">
        <f>+BE171</f>
        <v>#VALUE!</v>
      </c>
      <c r="BV171" s="242" t="e">
        <f>IF(H171="Bundled",BN171-BL171,AR171-BL171)</f>
        <v>#VALUE!</v>
      </c>
      <c r="BW171" s="242" t="e">
        <f>IF(H171="Bundled",+(BG171-#REF!)*Y171,(AP171+AQ171)-Y171*#REF!)</f>
        <v>#REF!</v>
      </c>
      <c r="BX171" s="242" t="e">
        <f>+BV171+BW171</f>
        <v>#VALUE!</v>
      </c>
      <c r="BY171" s="242" t="e">
        <f t="shared" si="283"/>
        <v>#VALUE!</v>
      </c>
      <c r="BZ171" s="242" t="e">
        <f t="shared" si="283"/>
        <v>#REF!</v>
      </c>
      <c r="CA171" s="242" t="e">
        <f t="shared" si="283"/>
        <v>#VALUE!</v>
      </c>
    </row>
    <row r="172" spans="1:79" s="243" customFormat="1" x14ac:dyDescent="0.3">
      <c r="A172" s="222" t="s">
        <v>246</v>
      </c>
      <c r="B172" s="223" t="s">
        <v>246</v>
      </c>
      <c r="C172" s="224" t="s">
        <v>308</v>
      </c>
      <c r="D172" s="224"/>
      <c r="E172" s="488"/>
      <c r="F172" s="366"/>
      <c r="G172" s="224" t="s">
        <v>56</v>
      </c>
      <c r="H172" s="225" t="s">
        <v>57</v>
      </c>
      <c r="I172" s="224" t="s">
        <v>3</v>
      </c>
      <c r="J172" s="224" t="s">
        <v>61</v>
      </c>
      <c r="K172" s="226" t="str">
        <f>IF(I172="Rack","No of Racks",(IF(I172="Space","Sq Ft","U Space")))</f>
        <v>Sq Ft</v>
      </c>
      <c r="L172" s="224">
        <v>7384</v>
      </c>
      <c r="M172" s="224">
        <v>7384</v>
      </c>
      <c r="N172" s="227">
        <f>L172-M172</f>
        <v>0</v>
      </c>
      <c r="O172" s="224">
        <v>7384</v>
      </c>
      <c r="P172" s="224"/>
      <c r="Q172" s="228">
        <f>(0)/12</f>
        <v>0</v>
      </c>
      <c r="R172" s="210" t="str">
        <f>G172</f>
        <v>Subscribed</v>
      </c>
      <c r="S172" s="224" t="s">
        <v>58</v>
      </c>
      <c r="T172" s="225">
        <v>2160</v>
      </c>
      <c r="U172" s="229">
        <f>Z172</f>
        <v>914.58873511904767</v>
      </c>
      <c r="V172" s="230">
        <f>T172-U172</f>
        <v>1245.4112648809523</v>
      </c>
      <c r="W172" s="225"/>
      <c r="X172" s="225">
        <f>IF(V172&lt;=0,0,(IF(R172="Rated",(V172+W172)*$X$1,(V172+W172))))</f>
        <v>1245.4112648809523</v>
      </c>
      <c r="Y172" s="225">
        <f>IF(R172="Rated",T172*$X$1,T172)</f>
        <v>2160</v>
      </c>
      <c r="Z172" s="229">
        <f t="shared" si="284"/>
        <v>914.58873511904767</v>
      </c>
      <c r="AA172" s="225">
        <f>IF((V172*-1)&gt;0, (V172*-1), 0)</f>
        <v>0</v>
      </c>
      <c r="AB172" s="231">
        <f>0/12</f>
        <v>0</v>
      </c>
      <c r="AC172" s="213" t="str">
        <f>H172</f>
        <v>Metered</v>
      </c>
      <c r="AD172" s="225" t="s">
        <v>428</v>
      </c>
      <c r="AE172" s="225" t="s">
        <v>59</v>
      </c>
      <c r="AF172" s="232">
        <v>0</v>
      </c>
      <c r="AG172" s="225">
        <v>614603.63</v>
      </c>
      <c r="AH172" s="214"/>
      <c r="AI172" s="215"/>
      <c r="AJ172" s="488"/>
      <c r="AK172" s="225"/>
      <c r="AL172" s="225">
        <f>AJ172-AK172</f>
        <v>0</v>
      </c>
      <c r="AM172" s="225"/>
      <c r="AN172" s="225"/>
      <c r="AO172" s="228">
        <f t="shared" si="281"/>
        <v>0</v>
      </c>
      <c r="AP172" s="233">
        <f>Q172*O172</f>
        <v>0</v>
      </c>
      <c r="AQ172" s="233">
        <f>AB172*AA172</f>
        <v>0</v>
      </c>
      <c r="AR172" s="234" t="e">
        <f>AG172*AF172*AD172</f>
        <v>#VALUE!</v>
      </c>
      <c r="AS172" s="233">
        <f>AO172*AM172</f>
        <v>0</v>
      </c>
      <c r="AT172" s="235">
        <f>0/12</f>
        <v>0</v>
      </c>
      <c r="AU172" s="236" t="e">
        <f>SUBTOTAL(9,AP172:AT172)</f>
        <v>#VALUE!</v>
      </c>
      <c r="AV172" s="236"/>
      <c r="AW172" s="237"/>
      <c r="AX172" s="238"/>
      <c r="AY172" s="218"/>
      <c r="AZ172" s="238"/>
      <c r="BA172" s="219"/>
      <c r="BB172" s="220"/>
      <c r="BC172" s="239" t="e">
        <f>IF(I172="Rack",AU172/L172,0)+IF(I172="U Space",AU172*40/L172,0)+IF(I172="Space",AU172*30/L172,0)</f>
        <v>#VALUE!</v>
      </c>
      <c r="BD172" s="239" t="e">
        <f>+AU172/Y172</f>
        <v>#VALUE!</v>
      </c>
      <c r="BE172" s="240" t="e">
        <f t="shared" si="282"/>
        <v>#VALUE!</v>
      </c>
      <c r="BF172" s="240" t="e">
        <f t="shared" si="282"/>
        <v>#VALUE!</v>
      </c>
      <c r="BG172" s="240" t="e">
        <f>+($AP172+$AQ172+IF(H172="Bundled",0,Y172*0.85*AD172*AF172*30.5*24)-BN172)/$Y172</f>
        <v>#VALUE!</v>
      </c>
      <c r="BH172" s="239"/>
      <c r="BI172" s="241" t="e">
        <f>+AP172+AQ172+AR172</f>
        <v>#VALUE!</v>
      </c>
      <c r="BJ172" s="241" t="e">
        <f>+BI172-BK172</f>
        <v>#VALUE!</v>
      </c>
      <c r="BK172" s="241" t="e">
        <f>IF(H172="Bundled",MIN(Y172*$AG$1*(1+#REF!),BI172),AR172)</f>
        <v>#VALUE!</v>
      </c>
      <c r="BL172" s="242">
        <f>IF($AG172&gt;0,$AG172*$AD$1*$AF$1*(1+$AI$1*(20/$AF$1)/732),$AG$1*Z172)</f>
        <v>16674483.632776314</v>
      </c>
      <c r="BM172" s="242">
        <f>IF($AG172&gt;0,$AG172*$AD$1*$AF$1*(1+$AI$1*(20/$AF$1)/732),+$AG$1*(Z172+X172))</f>
        <v>16674483.632776314</v>
      </c>
      <c r="BN172" s="242">
        <f>IF(H172="Bundled",$AG$1*Y172,$AG$1*Y172*0.85)</f>
        <v>33501345.578999996</v>
      </c>
      <c r="BO172" s="242" t="e">
        <f>+BE172*Y172</f>
        <v>#VALUE!</v>
      </c>
      <c r="BP172" s="242" t="e">
        <f>+#REF!*Y172</f>
        <v>#REF!</v>
      </c>
      <c r="BQ172" s="242" t="e">
        <f>+BJ172-BP172</f>
        <v>#VALUE!</v>
      </c>
      <c r="BR172" s="242" t="e">
        <f>+BK172-BL172</f>
        <v>#VALUE!</v>
      </c>
      <c r="BS172" s="242" t="e">
        <f>+BQ172+BR172</f>
        <v>#VALUE!</v>
      </c>
      <c r="BT172" s="242">
        <f>+Y172</f>
        <v>2160</v>
      </c>
      <c r="BU172" s="242" t="e">
        <f>+BE172</f>
        <v>#VALUE!</v>
      </c>
      <c r="BV172" s="242" t="e">
        <f>IF(H172="Bundled",BN172-BL172,AR172-BL172)</f>
        <v>#VALUE!</v>
      </c>
      <c r="BW172" s="242" t="e">
        <f>IF(H172="Bundled",+(BG172-#REF!)*Y172,(AP172+AQ172)-Y172*#REF!)</f>
        <v>#REF!</v>
      </c>
      <c r="BX172" s="242" t="e">
        <f>+BV172+BW172</f>
        <v>#VALUE!</v>
      </c>
      <c r="BY172" s="242" t="e">
        <f t="shared" si="283"/>
        <v>#VALUE!</v>
      </c>
      <c r="BZ172" s="242" t="e">
        <f t="shared" si="283"/>
        <v>#REF!</v>
      </c>
      <c r="CA172" s="242" t="e">
        <f t="shared" si="283"/>
        <v>#VALUE!</v>
      </c>
    </row>
    <row r="173" spans="1:79" x14ac:dyDescent="0.3">
      <c r="A173" s="195"/>
      <c r="B173" s="145" t="s">
        <v>138</v>
      </c>
      <c r="C173" s="145"/>
      <c r="D173" s="145"/>
      <c r="E173" s="145"/>
      <c r="F173" s="145"/>
      <c r="G173" s="70"/>
      <c r="H173" s="70"/>
      <c r="I173" s="70"/>
      <c r="J173" s="70"/>
      <c r="K173" s="70"/>
      <c r="L173" s="145"/>
      <c r="M173" s="145"/>
      <c r="N173" s="146"/>
      <c r="O173" s="145"/>
      <c r="P173" s="145"/>
      <c r="Q173" s="145"/>
      <c r="R173" s="43"/>
      <c r="S173" s="145"/>
      <c r="T173" s="147"/>
      <c r="U173" s="147"/>
      <c r="V173" s="148"/>
      <c r="W173" s="147"/>
      <c r="X173" s="147"/>
      <c r="Y173" s="147"/>
      <c r="Z173" s="147"/>
      <c r="AA173" s="147"/>
      <c r="AB173" s="147"/>
      <c r="AC173" s="48"/>
      <c r="AD173" s="147"/>
      <c r="AE173" s="147"/>
      <c r="AF173" s="147"/>
      <c r="AG173" s="147"/>
      <c r="AH173" s="50" t="s">
        <v>55</v>
      </c>
      <c r="AI173" s="51" t="str">
        <f>IF(AH173="No of Seats","No of Seats",(IF(AH173="Space","Sq Ft","")))</f>
        <v>No of Seats</v>
      </c>
      <c r="AJ173" s="147">
        <f>SUM(AJ172:AJ172)</f>
        <v>0</v>
      </c>
      <c r="AK173" s="147">
        <f>SUM(AK172:AK172)</f>
        <v>0</v>
      </c>
      <c r="AL173" s="147">
        <f>SUM(AL172:AL172)</f>
        <v>0</v>
      </c>
      <c r="AM173" s="147">
        <f>SUM(AM172:AM172)</f>
        <v>0</v>
      </c>
      <c r="AN173" s="147"/>
      <c r="AO173" s="147"/>
      <c r="AP173" s="149"/>
      <c r="AQ173" s="149"/>
      <c r="AR173" s="149"/>
      <c r="AS173" s="149"/>
      <c r="AT173" s="149"/>
      <c r="AU173" s="147" t="e">
        <f>SUM(AU172:AU172)</f>
        <v>#VALUE!</v>
      </c>
      <c r="AV173" s="70" t="s">
        <v>73</v>
      </c>
      <c r="AW173" s="85"/>
      <c r="AX173" s="85"/>
      <c r="AY173" s="69"/>
      <c r="AZ173" s="85"/>
      <c r="BA173" s="89"/>
      <c r="CA173" s="28"/>
    </row>
    <row r="174" spans="1:79" x14ac:dyDescent="0.3">
      <c r="A174" s="195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151"/>
      <c r="O174" s="152"/>
      <c r="P174" s="152"/>
      <c r="Q174" s="152"/>
      <c r="R174" s="152"/>
      <c r="S174" s="152"/>
      <c r="T174" s="154"/>
      <c r="U174" s="70"/>
      <c r="V174" s="151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155"/>
      <c r="AH174" s="155"/>
      <c r="AI174" s="155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85"/>
      <c r="AX174" s="85"/>
      <c r="AY174" s="85"/>
      <c r="AZ174" s="85"/>
      <c r="BA174" s="89"/>
    </row>
    <row r="175" spans="1:79" s="16" customFormat="1" x14ac:dyDescent="0.3">
      <c r="A175" s="199" t="s">
        <v>249</v>
      </c>
      <c r="B175" s="81" t="s">
        <v>180</v>
      </c>
      <c r="C175" s="33" t="s">
        <v>308</v>
      </c>
      <c r="D175" s="33"/>
      <c r="E175" s="33"/>
      <c r="F175" s="33"/>
      <c r="G175" s="33" t="s">
        <v>56</v>
      </c>
      <c r="H175" s="34" t="s">
        <v>57</v>
      </c>
      <c r="I175" s="33" t="s">
        <v>3</v>
      </c>
      <c r="J175" s="33" t="s">
        <v>53</v>
      </c>
      <c r="K175" s="31" t="str">
        <f>IF(I175="Rack","No of Racks",(IF(I175="Space","Sq Ft","U Space")))</f>
        <v>Sq Ft</v>
      </c>
      <c r="L175" s="33">
        <v>1320</v>
      </c>
      <c r="M175" s="33">
        <v>1320</v>
      </c>
      <c r="N175" s="35">
        <f t="shared" ref="N175:N182" si="285">L175-M175</f>
        <v>0</v>
      </c>
      <c r="O175" s="33">
        <v>1320</v>
      </c>
      <c r="P175" s="33"/>
      <c r="Q175" s="42">
        <f t="shared" ref="Q175" si="286">(0)/12</f>
        <v>0</v>
      </c>
      <c r="R175" s="43" t="str">
        <f t="shared" ref="R175:R182" si="287">G175</f>
        <v>Subscribed</v>
      </c>
      <c r="S175" s="33" t="s">
        <v>58</v>
      </c>
      <c r="T175" s="34">
        <v>392</v>
      </c>
      <c r="U175" s="66">
        <f t="shared" ref="U175:U180" si="288">Z175</f>
        <v>161.38244047619048</v>
      </c>
      <c r="V175" s="46">
        <f t="shared" ref="V175:V198" si="289">T175-U175</f>
        <v>230.61755952380952</v>
      </c>
      <c r="W175" s="34"/>
      <c r="X175" s="34" t="s">
        <v>494</v>
      </c>
      <c r="Y175" s="34">
        <f t="shared" ref="Y175:Y207" si="290">IF(R175="Rated",T175*$X$1,T175)</f>
        <v>392</v>
      </c>
      <c r="Z175" s="65">
        <f>AG175/28/24</f>
        <v>161.38244047619048</v>
      </c>
      <c r="AA175" s="34">
        <f t="shared" ref="AA175:AA198" si="291">IF((V175*-1)&gt;0, (V175*-1), 0)</f>
        <v>0</v>
      </c>
      <c r="AB175" s="47">
        <f>0/12</f>
        <v>0</v>
      </c>
      <c r="AC175" s="48" t="str">
        <f t="shared" ref="AC175:AC182" si="292">H175</f>
        <v>Metered</v>
      </c>
      <c r="AD175" s="34" t="s">
        <v>428</v>
      </c>
      <c r="AE175" s="34" t="s">
        <v>59</v>
      </c>
      <c r="AF175" s="49">
        <v>0</v>
      </c>
      <c r="AG175" s="34">
        <v>108449</v>
      </c>
      <c r="AH175" s="50"/>
      <c r="AI175" s="51"/>
      <c r="AJ175" s="34"/>
      <c r="AK175" s="34"/>
      <c r="AL175" s="34"/>
      <c r="AM175" s="34"/>
      <c r="AN175" s="34"/>
      <c r="AO175" s="42"/>
      <c r="AP175" s="52">
        <f t="shared" ref="AP175:AP182" si="293">Q175*O175</f>
        <v>0</v>
      </c>
      <c r="AQ175" s="52">
        <f t="shared" ref="AQ175:AQ182" si="294">AB175*AA175</f>
        <v>0</v>
      </c>
      <c r="AR175" s="53" t="e">
        <f t="shared" ref="AR175:AR182" si="295">AG175*AF175*AD175</f>
        <v>#VALUE!</v>
      </c>
      <c r="AS175" s="52">
        <f t="shared" ref="AS175:AS182" si="296">AO175*AM175</f>
        <v>0</v>
      </c>
      <c r="AT175" s="54"/>
      <c r="AU175" s="55" t="e">
        <f t="shared" ref="AU175:AU182" si="297">SUBTOTAL(9,AP175:AT175)</f>
        <v>#VALUE!</v>
      </c>
      <c r="AV175" s="55"/>
      <c r="AW175" s="67"/>
      <c r="AX175" s="57"/>
      <c r="AY175" s="58"/>
      <c r="AZ175" s="57"/>
      <c r="BA175" s="198"/>
      <c r="BC175" s="25" t="e">
        <f t="shared" ref="BC175:BC182" si="298">IF(I175="Rack",AU175/L175,0)+IF(I175="U Space",AU175*40/L175,0)+IF(I175="Space",AU175*30/L175,0)</f>
        <v>#VALUE!</v>
      </c>
      <c r="BD175" s="25" t="e">
        <f t="shared" ref="BD175:BD182" si="299">+AU175/Y175</f>
        <v>#VALUE!</v>
      </c>
      <c r="BE175" s="25" t="e">
        <f t="shared" ref="BE175:BF182" si="300">+($AP175+$AQ175+$AR175-BL175)/$Y175</f>
        <v>#VALUE!</v>
      </c>
      <c r="BF175" s="25" t="e">
        <f t="shared" si="300"/>
        <v>#VALUE!</v>
      </c>
      <c r="BG175" s="25" t="e">
        <f t="shared" ref="BG175:BG182" si="301">+($AP175+$AQ175+IF(H175="Bundled",0,Y175*0.85*AD175*AF175*30.5*24)-BN175)/$Y175</f>
        <v>#VALUE!</v>
      </c>
      <c r="BH175" s="25"/>
      <c r="BI175" s="26" t="e">
        <f t="shared" ref="BI175:BI182" si="302">+AP175+AQ175+AR175</f>
        <v>#VALUE!</v>
      </c>
      <c r="BJ175" s="26" t="e">
        <f t="shared" ref="BJ175:BJ182" si="303">+BI175-BK175</f>
        <v>#VALUE!</v>
      </c>
      <c r="BK175" s="26" t="e">
        <f>IF(H175="Bundled",MIN(Y175*$AG$1*(1+#REF!),BI175),AR175)</f>
        <v>#VALUE!</v>
      </c>
      <c r="BL175" s="27">
        <f t="shared" ref="BL175:BL182" si="304">IF($AG175&gt;0,$AG175*$AD$1*$AF$1*(1+$AI$1*(20/$AF$1)/732),$AG$1*Z175)</f>
        <v>2942272.0387950824</v>
      </c>
      <c r="BM175" s="27">
        <f t="shared" ref="BM175:BM182" si="305">IF($AG175&gt;0,$AG175*$AD$1*$AF$1*(1+$AI$1*(20/$AF$1)/732),+$AG$1*(Z175+X175))</f>
        <v>2942272.0387950824</v>
      </c>
      <c r="BN175" s="27">
        <f t="shared" ref="BN175:BN182" si="306">IF(H175="Bundled",$AG$1*Y175,$AG$1*Y175*0.85)</f>
        <v>6079873.8273</v>
      </c>
      <c r="BO175" s="27" t="e">
        <f t="shared" ref="BO175:BO182" si="307">+BE175*Y175</f>
        <v>#VALUE!</v>
      </c>
      <c r="BP175" s="27" t="e">
        <f>+#REF!*Y175</f>
        <v>#REF!</v>
      </c>
      <c r="BQ175" s="27" t="e">
        <f t="shared" ref="BQ175:BQ182" si="308">+BJ175-BP175</f>
        <v>#VALUE!</v>
      </c>
      <c r="BR175" s="27" t="e">
        <f t="shared" ref="BR175:BR182" si="309">+BK175-BL175</f>
        <v>#VALUE!</v>
      </c>
      <c r="BS175" s="27" t="e">
        <f t="shared" ref="BS175:BS182" si="310">+BQ175+BR175</f>
        <v>#VALUE!</v>
      </c>
      <c r="BT175" s="27">
        <f t="shared" ref="BT175:BT182" si="311">+Y175</f>
        <v>392</v>
      </c>
      <c r="BU175" s="27" t="e">
        <f t="shared" ref="BU175:BU182" si="312">+BE175</f>
        <v>#VALUE!</v>
      </c>
      <c r="BV175" s="27" t="e">
        <f t="shared" ref="BV175:BV182" si="313">IF(H175="Bundled",BN175-BL175,AR175-BL175)</f>
        <v>#VALUE!</v>
      </c>
      <c r="BW175" s="27" t="e">
        <f>IF(H175="Bundled",+(BG175-#REF!)*Y175,(AP175+AQ175)-Y175*#REF!)</f>
        <v>#REF!</v>
      </c>
      <c r="BX175" s="27" t="e">
        <f t="shared" ref="BX175:BX182" si="314">+BV175+BW175</f>
        <v>#VALUE!</v>
      </c>
      <c r="BY175" s="27" t="e">
        <f t="shared" ref="BY175:CA182" si="315">+BV175/$BT175</f>
        <v>#VALUE!</v>
      </c>
      <c r="BZ175" s="27" t="e">
        <f t="shared" si="315"/>
        <v>#REF!</v>
      </c>
      <c r="CA175" s="27" t="e">
        <f t="shared" si="315"/>
        <v>#VALUE!</v>
      </c>
    </row>
    <row r="176" spans="1:79" s="16" customFormat="1" x14ac:dyDescent="0.3">
      <c r="A176" s="199" t="s">
        <v>249</v>
      </c>
      <c r="B176" s="81" t="s">
        <v>182</v>
      </c>
      <c r="C176" s="280" t="s">
        <v>316</v>
      </c>
      <c r="D176" s="132" t="s">
        <v>405</v>
      </c>
      <c r="E176" s="132"/>
      <c r="F176" s="132"/>
      <c r="G176" s="33" t="s">
        <v>56</v>
      </c>
      <c r="H176" s="34" t="s">
        <v>52</v>
      </c>
      <c r="I176" s="33" t="s">
        <v>3</v>
      </c>
      <c r="J176" s="33" t="s">
        <v>53</v>
      </c>
      <c r="K176" s="31" t="s">
        <v>479</v>
      </c>
      <c r="L176" s="33">
        <v>128</v>
      </c>
      <c r="M176" s="33">
        <v>128</v>
      </c>
      <c r="N176" s="35">
        <f t="shared" si="285"/>
        <v>0</v>
      </c>
      <c r="O176" s="33">
        <v>6</v>
      </c>
      <c r="P176" s="33"/>
      <c r="Q176" s="156">
        <v>1250</v>
      </c>
      <c r="R176" s="43" t="str">
        <f t="shared" si="287"/>
        <v>Subscribed</v>
      </c>
      <c r="S176" s="33" t="s">
        <v>58</v>
      </c>
      <c r="T176" s="34">
        <v>30</v>
      </c>
      <c r="U176" s="66">
        <f t="shared" si="288"/>
        <v>9.3958630952380968</v>
      </c>
      <c r="V176" s="46">
        <f t="shared" si="289"/>
        <v>20.604136904761901</v>
      </c>
      <c r="W176" s="34"/>
      <c r="X176" s="34">
        <f t="shared" ref="X176:X198" si="316">IF(V176&lt;=0,0,(IF(R176="Rated",(V176+W176)*$X$1,(V176+W176))))</f>
        <v>20.604136904761901</v>
      </c>
      <c r="Y176" s="34">
        <f t="shared" si="290"/>
        <v>30</v>
      </c>
      <c r="Z176" s="65">
        <f t="shared" ref="Z176:Z180" si="317">AG176/28/24</f>
        <v>9.3958630952380968</v>
      </c>
      <c r="AA176" s="34">
        <f t="shared" si="291"/>
        <v>0</v>
      </c>
      <c r="AB176" s="174">
        <f>0/12</f>
        <v>0</v>
      </c>
      <c r="AC176" s="48" t="str">
        <f t="shared" si="292"/>
        <v>Bundled</v>
      </c>
      <c r="AD176" s="34">
        <v>1</v>
      </c>
      <c r="AE176" s="34" t="s">
        <v>62</v>
      </c>
      <c r="AF176" s="49">
        <v>0</v>
      </c>
      <c r="AG176" s="34">
        <v>6314.02</v>
      </c>
      <c r="AH176" s="50"/>
      <c r="AI176" s="51" t="str">
        <f>IF(AH176="No of Seats","No of Seats",(IF(AH176="Space","Sq Ft","")))</f>
        <v/>
      </c>
      <c r="AJ176" s="34"/>
      <c r="AK176" s="34"/>
      <c r="AL176" s="34">
        <f t="shared" ref="AL176:AL182" si="318">AJ176-AK176</f>
        <v>0</v>
      </c>
      <c r="AM176" s="34"/>
      <c r="AN176" s="34"/>
      <c r="AO176" s="42"/>
      <c r="AP176" s="156">
        <f t="shared" si="293"/>
        <v>7500</v>
      </c>
      <c r="AQ176" s="156">
        <f t="shared" si="294"/>
        <v>0</v>
      </c>
      <c r="AR176" s="156">
        <f t="shared" si="295"/>
        <v>0</v>
      </c>
      <c r="AS176" s="156">
        <f t="shared" si="296"/>
        <v>0</v>
      </c>
      <c r="AT176" s="156"/>
      <c r="AU176" s="157">
        <f t="shared" si="297"/>
        <v>7500</v>
      </c>
      <c r="AV176" s="55"/>
      <c r="AW176" s="67"/>
      <c r="AX176" s="68"/>
      <c r="AY176" s="69"/>
      <c r="AZ176" s="68"/>
      <c r="BA176" s="89"/>
      <c r="BB176" s="5"/>
      <c r="BC176" s="29">
        <f t="shared" si="298"/>
        <v>1757.8125</v>
      </c>
      <c r="BD176" s="29">
        <f t="shared" si="299"/>
        <v>250</v>
      </c>
      <c r="BE176" s="25">
        <f t="shared" si="300"/>
        <v>-5460.0770864316937</v>
      </c>
      <c r="BF176" s="25">
        <f t="shared" si="300"/>
        <v>-5460.0770864316937</v>
      </c>
      <c r="BG176" s="25">
        <f t="shared" si="301"/>
        <v>-17996.920249999999</v>
      </c>
      <c r="BH176" s="29"/>
      <c r="BI176" s="26">
        <f t="shared" si="302"/>
        <v>7500</v>
      </c>
      <c r="BJ176" s="26" t="e">
        <f t="shared" si="303"/>
        <v>#REF!</v>
      </c>
      <c r="BK176" s="26" t="e">
        <f>IF(H176="Bundled",MIN(Y176*$AG$1*(1+#REF!),BI176),AR176)</f>
        <v>#REF!</v>
      </c>
      <c r="BL176" s="27">
        <f t="shared" si="304"/>
        <v>171302.31259295082</v>
      </c>
      <c r="BM176" s="27">
        <f t="shared" si="305"/>
        <v>171302.31259295082</v>
      </c>
      <c r="BN176" s="27">
        <f t="shared" si="306"/>
        <v>547407.60749999993</v>
      </c>
      <c r="BO176" s="27">
        <f t="shared" si="307"/>
        <v>-163802.31259295082</v>
      </c>
      <c r="BP176" s="27" t="e">
        <f>+#REF!*Y176</f>
        <v>#REF!</v>
      </c>
      <c r="BQ176" s="27" t="e">
        <f t="shared" si="308"/>
        <v>#REF!</v>
      </c>
      <c r="BR176" s="27" t="e">
        <f t="shared" si="309"/>
        <v>#REF!</v>
      </c>
      <c r="BS176" s="27" t="e">
        <f t="shared" si="310"/>
        <v>#REF!</v>
      </c>
      <c r="BT176" s="27">
        <f t="shared" si="311"/>
        <v>30</v>
      </c>
      <c r="BU176" s="27">
        <f t="shared" si="312"/>
        <v>-5460.0770864316937</v>
      </c>
      <c r="BV176" s="27">
        <f t="shared" si="313"/>
        <v>376105.2949070491</v>
      </c>
      <c r="BW176" s="27" t="e">
        <f>IF(H176="Bundled",+(BG176-#REF!)*Y176,(AP176+AQ176)-Y176*#REF!)</f>
        <v>#REF!</v>
      </c>
      <c r="BX176" s="27" t="e">
        <f t="shared" si="314"/>
        <v>#REF!</v>
      </c>
      <c r="BY176" s="27">
        <f t="shared" si="315"/>
        <v>12536.843163568303</v>
      </c>
      <c r="BZ176" s="27" t="e">
        <f t="shared" si="315"/>
        <v>#REF!</v>
      </c>
      <c r="CA176" s="27" t="e">
        <f t="shared" si="315"/>
        <v>#REF!</v>
      </c>
    </row>
    <row r="177" spans="1:79" s="16" customFormat="1" ht="26" x14ac:dyDescent="0.3">
      <c r="A177" s="199" t="s">
        <v>249</v>
      </c>
      <c r="B177" s="81" t="s">
        <v>219</v>
      </c>
      <c r="C177" s="132" t="s">
        <v>335</v>
      </c>
      <c r="D177" s="132" t="s">
        <v>404</v>
      </c>
      <c r="E177" s="132"/>
      <c r="F177" s="132"/>
      <c r="G177" s="33" t="s">
        <v>56</v>
      </c>
      <c r="H177" s="34" t="s">
        <v>57</v>
      </c>
      <c r="I177" s="33" t="s">
        <v>8</v>
      </c>
      <c r="J177" s="33" t="s">
        <v>61</v>
      </c>
      <c r="K177" s="31" t="str">
        <f t="shared" ref="K177:K183" si="319">IF(I177="Rack","No of Racks",(IF(I177="Space","Sq Ft","U Space")))</f>
        <v>No of Racks</v>
      </c>
      <c r="L177" s="33">
        <v>5</v>
      </c>
      <c r="M177" s="175">
        <v>5</v>
      </c>
      <c r="N177" s="176">
        <f t="shared" si="285"/>
        <v>0</v>
      </c>
      <c r="O177" s="175">
        <v>5</v>
      </c>
      <c r="P177" s="175"/>
      <c r="Q177" s="177">
        <f>65945</f>
        <v>65945</v>
      </c>
      <c r="R177" s="43" t="str">
        <f t="shared" si="287"/>
        <v>Subscribed</v>
      </c>
      <c r="S177" s="33" t="s">
        <v>58</v>
      </c>
      <c r="T177" s="34">
        <v>43</v>
      </c>
      <c r="U177" s="66">
        <f t="shared" si="288"/>
        <v>31.613392857142859</v>
      </c>
      <c r="V177" s="46">
        <f t="shared" si="289"/>
        <v>11.386607142857141</v>
      </c>
      <c r="W177" s="34"/>
      <c r="X177" s="34">
        <f t="shared" si="316"/>
        <v>11.386607142857141</v>
      </c>
      <c r="Y177" s="34">
        <f t="shared" si="290"/>
        <v>43</v>
      </c>
      <c r="Z177" s="65">
        <f t="shared" si="317"/>
        <v>31.613392857142859</v>
      </c>
      <c r="AA177" s="34">
        <f t="shared" si="291"/>
        <v>0</v>
      </c>
      <c r="AB177" s="47">
        <f>0/12</f>
        <v>0</v>
      </c>
      <c r="AC177" s="48" t="str">
        <f t="shared" si="292"/>
        <v>Metered</v>
      </c>
      <c r="AD177" s="34">
        <v>1</v>
      </c>
      <c r="AE177" s="34" t="s">
        <v>62</v>
      </c>
      <c r="AF177" s="49">
        <v>0</v>
      </c>
      <c r="AG177" s="369">
        <v>21244.2</v>
      </c>
      <c r="AH177" s="50"/>
      <c r="AI177" s="51" t="str">
        <f>IF(AH177="No of Seats","No of Seats",(IF(AH177="Space","Sq Ft","")))</f>
        <v/>
      </c>
      <c r="AJ177" s="34"/>
      <c r="AK177" s="34"/>
      <c r="AL177" s="34">
        <f t="shared" si="318"/>
        <v>0</v>
      </c>
      <c r="AM177" s="34"/>
      <c r="AN177" s="34"/>
      <c r="AO177" s="42"/>
      <c r="AP177" s="52">
        <f t="shared" si="293"/>
        <v>329725</v>
      </c>
      <c r="AQ177" s="52">
        <f t="shared" si="294"/>
        <v>0</v>
      </c>
      <c r="AR177" s="53">
        <f t="shared" si="295"/>
        <v>0</v>
      </c>
      <c r="AS177" s="52">
        <f t="shared" si="296"/>
        <v>0</v>
      </c>
      <c r="AT177" s="54"/>
      <c r="AU177" s="55">
        <f t="shared" si="297"/>
        <v>329725</v>
      </c>
      <c r="AV177" s="55"/>
      <c r="AW177" s="67"/>
      <c r="AX177" s="57"/>
      <c r="AY177" s="58"/>
      <c r="AZ177" s="57"/>
      <c r="BA177" s="198"/>
      <c r="BC177" s="25">
        <f t="shared" si="298"/>
        <v>65945</v>
      </c>
      <c r="BD177" s="25">
        <f t="shared" si="299"/>
        <v>7668.0232558139533</v>
      </c>
      <c r="BE177" s="25">
        <f t="shared" si="300"/>
        <v>-5735.815617880291</v>
      </c>
      <c r="BF177" s="25">
        <f t="shared" si="300"/>
        <v>-5735.815617880291</v>
      </c>
      <c r="BG177" s="25">
        <f t="shared" si="301"/>
        <v>-7841.8589566860455</v>
      </c>
      <c r="BH177" s="25"/>
      <c r="BI177" s="26">
        <f t="shared" si="302"/>
        <v>329725</v>
      </c>
      <c r="BJ177" s="26">
        <f t="shared" si="303"/>
        <v>329725</v>
      </c>
      <c r="BK177" s="26">
        <f>IF(H177="Bundled",MIN(Y177*$AG$1*(1+#REF!),BI177),AR177)</f>
        <v>0</v>
      </c>
      <c r="BL177" s="27">
        <f t="shared" si="304"/>
        <v>576365.07156885252</v>
      </c>
      <c r="BM177" s="27">
        <f t="shared" si="305"/>
        <v>576365.07156885252</v>
      </c>
      <c r="BN177" s="27">
        <f t="shared" si="306"/>
        <v>666924.93513749994</v>
      </c>
      <c r="BO177" s="27">
        <f t="shared" si="307"/>
        <v>-246640.07156885252</v>
      </c>
      <c r="BP177" s="27" t="e">
        <f>+#REF!*Y177</f>
        <v>#REF!</v>
      </c>
      <c r="BQ177" s="27" t="e">
        <f t="shared" si="308"/>
        <v>#REF!</v>
      </c>
      <c r="BR177" s="27">
        <f t="shared" si="309"/>
        <v>-576365.07156885252</v>
      </c>
      <c r="BS177" s="27" t="e">
        <f t="shared" si="310"/>
        <v>#REF!</v>
      </c>
      <c r="BT177" s="27">
        <f t="shared" si="311"/>
        <v>43</v>
      </c>
      <c r="BU177" s="27">
        <f t="shared" si="312"/>
        <v>-5735.815617880291</v>
      </c>
      <c r="BV177" s="27">
        <f t="shared" si="313"/>
        <v>-576365.07156885252</v>
      </c>
      <c r="BW177" s="27" t="e">
        <f>IF(H177="Bundled",+(BG177-#REF!)*Y177,(AP177+AQ177)-Y177*#REF!)</f>
        <v>#REF!</v>
      </c>
      <c r="BX177" s="27" t="e">
        <f t="shared" si="314"/>
        <v>#REF!</v>
      </c>
      <c r="BY177" s="27">
        <f t="shared" si="315"/>
        <v>-13403.838873694245</v>
      </c>
      <c r="BZ177" s="27" t="e">
        <f t="shared" si="315"/>
        <v>#REF!</v>
      </c>
      <c r="CA177" s="27" t="e">
        <f t="shared" si="315"/>
        <v>#REF!</v>
      </c>
    </row>
    <row r="178" spans="1:79" s="16" customFormat="1" ht="26" x14ac:dyDescent="0.3">
      <c r="A178" s="283" t="s">
        <v>249</v>
      </c>
      <c r="B178" s="284" t="s">
        <v>396</v>
      </c>
      <c r="C178" s="132" t="s">
        <v>335</v>
      </c>
      <c r="D178" s="132" t="s">
        <v>404</v>
      </c>
      <c r="E178" s="132"/>
      <c r="F178" s="132"/>
      <c r="G178" s="33" t="s">
        <v>56</v>
      </c>
      <c r="H178" s="34" t="s">
        <v>57</v>
      </c>
      <c r="I178" s="33" t="s">
        <v>8</v>
      </c>
      <c r="J178" s="33" t="s">
        <v>61</v>
      </c>
      <c r="K178" s="31" t="str">
        <f t="shared" si="319"/>
        <v>No of Racks</v>
      </c>
      <c r="L178" s="33">
        <v>5</v>
      </c>
      <c r="M178" s="175">
        <v>5</v>
      </c>
      <c r="N178" s="176">
        <f t="shared" si="285"/>
        <v>0</v>
      </c>
      <c r="O178" s="175">
        <v>5</v>
      </c>
      <c r="P178" s="175"/>
      <c r="Q178" s="177">
        <f>65945</f>
        <v>65945</v>
      </c>
      <c r="R178" s="43" t="str">
        <f t="shared" si="287"/>
        <v>Subscribed</v>
      </c>
      <c r="S178" s="33" t="s">
        <v>58</v>
      </c>
      <c r="T178" s="34">
        <v>43</v>
      </c>
      <c r="U178" s="66">
        <f t="shared" si="288"/>
        <v>29.675297619047615</v>
      </c>
      <c r="V178" s="46">
        <f t="shared" si="289"/>
        <v>13.324702380952385</v>
      </c>
      <c r="W178" s="34"/>
      <c r="X178" s="34">
        <f t="shared" si="316"/>
        <v>13.324702380952385</v>
      </c>
      <c r="Y178" s="34">
        <f t="shared" si="290"/>
        <v>43</v>
      </c>
      <c r="Z178" s="65">
        <f t="shared" si="317"/>
        <v>29.675297619047615</v>
      </c>
      <c r="AA178" s="34">
        <f t="shared" si="291"/>
        <v>0</v>
      </c>
      <c r="AB178" s="47">
        <f>0/12</f>
        <v>0</v>
      </c>
      <c r="AC178" s="48" t="str">
        <f t="shared" si="292"/>
        <v>Metered</v>
      </c>
      <c r="AD178" s="34">
        <v>1</v>
      </c>
      <c r="AE178" s="34" t="s">
        <v>62</v>
      </c>
      <c r="AF178" s="49">
        <v>0</v>
      </c>
      <c r="AG178" s="369">
        <v>19941.8</v>
      </c>
      <c r="AH178" s="50"/>
      <c r="AI178" s="51" t="str">
        <f>IF(AH178="No of Seats","No of Seats",(IF(AH178="Space","Sq Ft","")))</f>
        <v/>
      </c>
      <c r="AJ178" s="34"/>
      <c r="AK178" s="34"/>
      <c r="AL178" s="34">
        <f t="shared" si="318"/>
        <v>0</v>
      </c>
      <c r="AM178" s="34"/>
      <c r="AN178" s="34"/>
      <c r="AO178" s="42"/>
      <c r="AP178" s="52">
        <f t="shared" si="293"/>
        <v>329725</v>
      </c>
      <c r="AQ178" s="52">
        <f t="shared" si="294"/>
        <v>0</v>
      </c>
      <c r="AR178" s="53">
        <f t="shared" si="295"/>
        <v>0</v>
      </c>
      <c r="AS178" s="52">
        <f t="shared" si="296"/>
        <v>0</v>
      </c>
      <c r="AT178" s="54"/>
      <c r="AU178" s="55">
        <f t="shared" si="297"/>
        <v>329725</v>
      </c>
      <c r="AV178" s="55"/>
      <c r="AW178" s="67"/>
      <c r="AX178" s="57"/>
      <c r="AY178" s="58"/>
      <c r="AZ178" s="57"/>
      <c r="BA178" s="198"/>
      <c r="BC178" s="25">
        <f t="shared" si="298"/>
        <v>65945</v>
      </c>
      <c r="BD178" s="25">
        <f t="shared" si="299"/>
        <v>7668.0232558139533</v>
      </c>
      <c r="BE178" s="25">
        <f t="shared" si="300"/>
        <v>-4914.0779318719033</v>
      </c>
      <c r="BF178" s="25">
        <f t="shared" si="300"/>
        <v>-4914.0779318719033</v>
      </c>
      <c r="BG178" s="25">
        <f t="shared" si="301"/>
        <v>-7841.8589566860455</v>
      </c>
      <c r="BH178" s="25"/>
      <c r="BI178" s="26">
        <f t="shared" si="302"/>
        <v>329725</v>
      </c>
      <c r="BJ178" s="26">
        <f t="shared" si="303"/>
        <v>329725</v>
      </c>
      <c r="BK178" s="26">
        <f>IF(H178="Bundled",MIN(Y178*$AG$1*(1+#REF!),BI178),AR178)</f>
        <v>0</v>
      </c>
      <c r="BL178" s="27">
        <f t="shared" si="304"/>
        <v>541030.35107049183</v>
      </c>
      <c r="BM178" s="27">
        <f t="shared" si="305"/>
        <v>541030.35107049183</v>
      </c>
      <c r="BN178" s="27">
        <f t="shared" si="306"/>
        <v>666924.93513749994</v>
      </c>
      <c r="BO178" s="27">
        <f t="shared" si="307"/>
        <v>-211305.35107049183</v>
      </c>
      <c r="BP178" s="27" t="e">
        <f>+#REF!*Y178</f>
        <v>#REF!</v>
      </c>
      <c r="BQ178" s="27" t="e">
        <f t="shared" si="308"/>
        <v>#REF!</v>
      </c>
      <c r="BR178" s="27">
        <f t="shared" si="309"/>
        <v>-541030.35107049183</v>
      </c>
      <c r="BS178" s="27" t="e">
        <f t="shared" si="310"/>
        <v>#REF!</v>
      </c>
      <c r="BT178" s="27">
        <f t="shared" si="311"/>
        <v>43</v>
      </c>
      <c r="BU178" s="27">
        <f t="shared" si="312"/>
        <v>-4914.0779318719033</v>
      </c>
      <c r="BV178" s="27">
        <f t="shared" si="313"/>
        <v>-541030.35107049183</v>
      </c>
      <c r="BW178" s="27" t="e">
        <f>IF(H178="Bundled",+(BG178-#REF!)*Y178,(AP178+AQ178)-Y178*#REF!)</f>
        <v>#REF!</v>
      </c>
      <c r="BX178" s="27" t="e">
        <f t="shared" si="314"/>
        <v>#REF!</v>
      </c>
      <c r="BY178" s="27">
        <f t="shared" si="315"/>
        <v>-12582.101187685856</v>
      </c>
      <c r="BZ178" s="27" t="e">
        <f t="shared" si="315"/>
        <v>#REF!</v>
      </c>
      <c r="CA178" s="27" t="e">
        <f t="shared" si="315"/>
        <v>#REF!</v>
      </c>
    </row>
    <row r="179" spans="1:79" s="16" customFormat="1" x14ac:dyDescent="0.3">
      <c r="A179" s="199" t="s">
        <v>249</v>
      </c>
      <c r="B179" s="81" t="s">
        <v>217</v>
      </c>
      <c r="C179" s="32" t="s">
        <v>303</v>
      </c>
      <c r="D179" s="32" t="s">
        <v>404</v>
      </c>
      <c r="E179" s="32"/>
      <c r="F179" s="32"/>
      <c r="G179" s="33" t="s">
        <v>56</v>
      </c>
      <c r="H179" s="34" t="s">
        <v>57</v>
      </c>
      <c r="I179" s="33" t="s">
        <v>8</v>
      </c>
      <c r="J179" s="33" t="s">
        <v>61</v>
      </c>
      <c r="K179" s="31" t="str">
        <f t="shared" si="319"/>
        <v>No of Racks</v>
      </c>
      <c r="L179" s="33">
        <v>1</v>
      </c>
      <c r="M179" s="175">
        <v>1</v>
      </c>
      <c r="N179" s="176">
        <f t="shared" si="285"/>
        <v>0</v>
      </c>
      <c r="O179" s="175">
        <v>1</v>
      </c>
      <c r="P179" s="175"/>
      <c r="Q179" s="177">
        <f>(340000)/12</f>
        <v>28333.333333333332</v>
      </c>
      <c r="R179" s="43" t="str">
        <f t="shared" si="287"/>
        <v>Subscribed</v>
      </c>
      <c r="S179" s="33" t="s">
        <v>58</v>
      </c>
      <c r="T179" s="34">
        <v>3</v>
      </c>
      <c r="U179" s="66">
        <f t="shared" si="288"/>
        <v>1.3232142857142859</v>
      </c>
      <c r="V179" s="46">
        <f t="shared" si="289"/>
        <v>1.6767857142857141</v>
      </c>
      <c r="W179" s="34"/>
      <c r="X179" s="34">
        <f t="shared" si="316"/>
        <v>1.6767857142857141</v>
      </c>
      <c r="Y179" s="34">
        <f t="shared" si="290"/>
        <v>3</v>
      </c>
      <c r="Z179" s="65">
        <f t="shared" si="317"/>
        <v>1.3232142857142859</v>
      </c>
      <c r="AA179" s="34">
        <f t="shared" si="291"/>
        <v>0</v>
      </c>
      <c r="AB179" s="47">
        <f>80000/12</f>
        <v>6666.666666666667</v>
      </c>
      <c r="AC179" s="48" t="str">
        <f t="shared" si="292"/>
        <v>Metered</v>
      </c>
      <c r="AD179" s="34">
        <v>1</v>
      </c>
      <c r="AE179" s="34" t="s">
        <v>62</v>
      </c>
      <c r="AF179" s="49">
        <v>20</v>
      </c>
      <c r="AG179" s="369">
        <v>889.2</v>
      </c>
      <c r="AH179" s="50"/>
      <c r="AI179" s="51"/>
      <c r="AJ179" s="34"/>
      <c r="AK179" s="34"/>
      <c r="AL179" s="34">
        <f t="shared" si="318"/>
        <v>0</v>
      </c>
      <c r="AM179" s="34"/>
      <c r="AN179" s="34"/>
      <c r="AO179" s="42">
        <f t="shared" ref="AO179:AO190" si="320">(0)/12</f>
        <v>0</v>
      </c>
      <c r="AP179" s="52">
        <f t="shared" si="293"/>
        <v>28333.333333333332</v>
      </c>
      <c r="AQ179" s="52">
        <f t="shared" si="294"/>
        <v>0</v>
      </c>
      <c r="AR179" s="53">
        <f t="shared" si="295"/>
        <v>17784</v>
      </c>
      <c r="AS179" s="52">
        <f t="shared" si="296"/>
        <v>0</v>
      </c>
      <c r="AT179" s="54">
        <f>0/12</f>
        <v>0</v>
      </c>
      <c r="AU179" s="55">
        <f t="shared" si="297"/>
        <v>46117.333333333328</v>
      </c>
      <c r="AV179" s="55"/>
      <c r="AW179" s="67"/>
      <c r="AX179" s="68"/>
      <c r="AY179" s="69"/>
      <c r="AZ179" s="68"/>
      <c r="BA179" s="89"/>
      <c r="BB179" s="5"/>
      <c r="BC179" s="29">
        <f t="shared" si="298"/>
        <v>46117.333333333328</v>
      </c>
      <c r="BD179" s="29">
        <f t="shared" si="299"/>
        <v>15372.444444444443</v>
      </c>
      <c r="BE179" s="25">
        <f t="shared" si="300"/>
        <v>7330.9739624772292</v>
      </c>
      <c r="BF179" s="25">
        <f t="shared" si="300"/>
        <v>7330.9739624772292</v>
      </c>
      <c r="BG179" s="25">
        <f t="shared" si="301"/>
        <v>6378.5622319444419</v>
      </c>
      <c r="BH179" s="29"/>
      <c r="BI179" s="26">
        <f t="shared" si="302"/>
        <v>46117.333333333328</v>
      </c>
      <c r="BJ179" s="26">
        <f t="shared" si="303"/>
        <v>28333.333333333328</v>
      </c>
      <c r="BK179" s="26">
        <f>IF(H179="Bundled",MIN(Y179*$AG$1*(1+#REF!),BI179),AR179)</f>
        <v>17784</v>
      </c>
      <c r="BL179" s="27">
        <f t="shared" si="304"/>
        <v>24124.411445901642</v>
      </c>
      <c r="BM179" s="27">
        <f t="shared" si="305"/>
        <v>24124.411445901642</v>
      </c>
      <c r="BN179" s="27">
        <f t="shared" si="306"/>
        <v>46529.646637500002</v>
      </c>
      <c r="BO179" s="27">
        <f t="shared" si="307"/>
        <v>21992.921887431687</v>
      </c>
      <c r="BP179" s="27" t="e">
        <f>+#REF!*Y179</f>
        <v>#REF!</v>
      </c>
      <c r="BQ179" s="27" t="e">
        <f t="shared" si="308"/>
        <v>#REF!</v>
      </c>
      <c r="BR179" s="27">
        <f t="shared" si="309"/>
        <v>-6340.4114459016419</v>
      </c>
      <c r="BS179" s="27" t="e">
        <f t="shared" si="310"/>
        <v>#REF!</v>
      </c>
      <c r="BT179" s="27">
        <f t="shared" si="311"/>
        <v>3</v>
      </c>
      <c r="BU179" s="27">
        <f t="shared" si="312"/>
        <v>7330.9739624772292</v>
      </c>
      <c r="BV179" s="27">
        <f t="shared" si="313"/>
        <v>-6340.4114459016419</v>
      </c>
      <c r="BW179" s="27" t="e">
        <f>IF(H179="Bundled",+(BG179-#REF!)*Y179,(AP179+AQ179)-Y179*#REF!)</f>
        <v>#REF!</v>
      </c>
      <c r="BX179" s="27" t="e">
        <f t="shared" si="314"/>
        <v>#REF!</v>
      </c>
      <c r="BY179" s="27">
        <f t="shared" si="315"/>
        <v>-2113.4704819672138</v>
      </c>
      <c r="BZ179" s="27" t="e">
        <f t="shared" si="315"/>
        <v>#REF!</v>
      </c>
      <c r="CA179" s="27" t="e">
        <f t="shared" si="315"/>
        <v>#REF!</v>
      </c>
    </row>
    <row r="180" spans="1:79" s="16" customFormat="1" x14ac:dyDescent="0.3">
      <c r="A180" s="199" t="s">
        <v>249</v>
      </c>
      <c r="B180" s="81" t="s">
        <v>218</v>
      </c>
      <c r="C180" s="179" t="s">
        <v>311</v>
      </c>
      <c r="D180" s="179" t="s">
        <v>405</v>
      </c>
      <c r="E180" s="179"/>
      <c r="F180" s="179"/>
      <c r="G180" s="33" t="s">
        <v>56</v>
      </c>
      <c r="H180" s="34" t="s">
        <v>57</v>
      </c>
      <c r="I180" s="33" t="s">
        <v>8</v>
      </c>
      <c r="J180" s="33" t="s">
        <v>61</v>
      </c>
      <c r="K180" s="31" t="str">
        <f t="shared" si="319"/>
        <v>No of Racks</v>
      </c>
      <c r="L180" s="33">
        <v>7</v>
      </c>
      <c r="M180" s="175">
        <v>7</v>
      </c>
      <c r="N180" s="176">
        <f t="shared" si="285"/>
        <v>0</v>
      </c>
      <c r="O180" s="175">
        <v>7</v>
      </c>
      <c r="P180" s="175"/>
      <c r="Q180" s="177">
        <f>(213750)/12</f>
        <v>17812.5</v>
      </c>
      <c r="R180" s="43" t="str">
        <f t="shared" si="287"/>
        <v>Subscribed</v>
      </c>
      <c r="S180" s="33" t="s">
        <v>58</v>
      </c>
      <c r="T180" s="34">
        <v>18</v>
      </c>
      <c r="U180" s="66">
        <f t="shared" si="288"/>
        <v>13.543601190476188</v>
      </c>
      <c r="V180" s="46">
        <f t="shared" si="289"/>
        <v>4.4563988095238116</v>
      </c>
      <c r="W180" s="34"/>
      <c r="X180" s="34">
        <f t="shared" si="316"/>
        <v>4.4563988095238116</v>
      </c>
      <c r="Y180" s="34">
        <f t="shared" si="290"/>
        <v>18</v>
      </c>
      <c r="Z180" s="65">
        <f t="shared" si="317"/>
        <v>13.543601190476188</v>
      </c>
      <c r="AA180" s="34">
        <f t="shared" si="291"/>
        <v>0</v>
      </c>
      <c r="AB180" s="47">
        <f>0/12</f>
        <v>0</v>
      </c>
      <c r="AC180" s="48" t="str">
        <f t="shared" si="292"/>
        <v>Metered</v>
      </c>
      <c r="AD180" s="34">
        <v>1</v>
      </c>
      <c r="AE180" s="34" t="s">
        <v>62</v>
      </c>
      <c r="AF180" s="49">
        <v>16</v>
      </c>
      <c r="AG180" s="369">
        <v>9101.2999999999993</v>
      </c>
      <c r="AH180" s="34">
        <v>1</v>
      </c>
      <c r="AI180" s="51"/>
      <c r="AJ180" s="34">
        <v>1</v>
      </c>
      <c r="AK180" s="34"/>
      <c r="AL180" s="34">
        <f t="shared" si="318"/>
        <v>1</v>
      </c>
      <c r="AM180" s="34"/>
      <c r="AN180" s="34"/>
      <c r="AO180" s="42">
        <f t="shared" si="320"/>
        <v>0</v>
      </c>
      <c r="AP180" s="52">
        <f t="shared" si="293"/>
        <v>124687.5</v>
      </c>
      <c r="AQ180" s="52">
        <f t="shared" si="294"/>
        <v>0</v>
      </c>
      <c r="AR180" s="53">
        <f t="shared" si="295"/>
        <v>145620.79999999999</v>
      </c>
      <c r="AS180" s="52">
        <f t="shared" si="296"/>
        <v>0</v>
      </c>
      <c r="AT180" s="54">
        <f>0/12</f>
        <v>0</v>
      </c>
      <c r="AU180" s="55">
        <f t="shared" si="297"/>
        <v>270308.3</v>
      </c>
      <c r="AV180" s="55"/>
      <c r="AW180" s="67"/>
      <c r="AX180" s="68"/>
      <c r="AY180" s="69"/>
      <c r="AZ180" s="68"/>
      <c r="BA180" s="89"/>
      <c r="BB180" s="5"/>
      <c r="BC180" s="29">
        <f t="shared" si="298"/>
        <v>38615.471428571429</v>
      </c>
      <c r="BD180" s="29">
        <f t="shared" si="299"/>
        <v>15017.127777777778</v>
      </c>
      <c r="BE180" s="25">
        <f t="shared" si="300"/>
        <v>1299.2099307377034</v>
      </c>
      <c r="BF180" s="25">
        <f t="shared" si="300"/>
        <v>1299.2099307377034</v>
      </c>
      <c r="BG180" s="25">
        <f t="shared" si="301"/>
        <v>1372.4011208333347</v>
      </c>
      <c r="BH180" s="29"/>
      <c r="BI180" s="26">
        <f t="shared" si="302"/>
        <v>270308.3</v>
      </c>
      <c r="BJ180" s="26">
        <f t="shared" si="303"/>
        <v>124687.5</v>
      </c>
      <c r="BK180" s="26">
        <f>IF(H180="Bundled",MIN(Y180*$AG$1*(1+#REF!),BI180),AR180)</f>
        <v>145620.79999999999</v>
      </c>
      <c r="BL180" s="27">
        <f t="shared" si="304"/>
        <v>246922.52124672133</v>
      </c>
      <c r="BM180" s="27">
        <f t="shared" si="305"/>
        <v>246922.52124672133</v>
      </c>
      <c r="BN180" s="27">
        <f t="shared" si="306"/>
        <v>279177.87982499995</v>
      </c>
      <c r="BO180" s="27">
        <f t="shared" si="307"/>
        <v>23385.778753278661</v>
      </c>
      <c r="BP180" s="27" t="e">
        <f>+#REF!*Y180</f>
        <v>#REF!</v>
      </c>
      <c r="BQ180" s="27" t="e">
        <f t="shared" si="308"/>
        <v>#REF!</v>
      </c>
      <c r="BR180" s="27">
        <f t="shared" si="309"/>
        <v>-101301.72124672134</v>
      </c>
      <c r="BS180" s="27" t="e">
        <f t="shared" si="310"/>
        <v>#REF!</v>
      </c>
      <c r="BT180" s="27">
        <f t="shared" si="311"/>
        <v>18</v>
      </c>
      <c r="BU180" s="27">
        <f t="shared" si="312"/>
        <v>1299.2099307377034</v>
      </c>
      <c r="BV180" s="27">
        <f t="shared" si="313"/>
        <v>-101301.72124672134</v>
      </c>
      <c r="BW180" s="27" t="e">
        <f>IF(H180="Bundled",+(BG180-#REF!)*Y180,(AP180+AQ180)-Y180*#REF!)</f>
        <v>#REF!</v>
      </c>
      <c r="BX180" s="27" t="e">
        <f t="shared" si="314"/>
        <v>#REF!</v>
      </c>
      <c r="BY180" s="27">
        <f t="shared" si="315"/>
        <v>-5627.8734025956301</v>
      </c>
      <c r="BZ180" s="27" t="e">
        <f t="shared" si="315"/>
        <v>#REF!</v>
      </c>
      <c r="CA180" s="27" t="e">
        <f t="shared" si="315"/>
        <v>#REF!</v>
      </c>
    </row>
    <row r="181" spans="1:79" s="16" customFormat="1" x14ac:dyDescent="0.3">
      <c r="A181" s="199" t="s">
        <v>249</v>
      </c>
      <c r="B181" s="482" t="s">
        <v>416</v>
      </c>
      <c r="C181" s="182" t="s">
        <v>376</v>
      </c>
      <c r="D181" s="279" t="s">
        <v>404</v>
      </c>
      <c r="E181" s="279"/>
      <c r="F181" s="279"/>
      <c r="G181" s="33" t="s">
        <v>11</v>
      </c>
      <c r="H181" s="34" t="s">
        <v>52</v>
      </c>
      <c r="I181" s="33" t="s">
        <v>60</v>
      </c>
      <c r="J181" s="33" t="s">
        <v>61</v>
      </c>
      <c r="K181" s="31" t="str">
        <f t="shared" si="319"/>
        <v>U Space</v>
      </c>
      <c r="L181" s="33">
        <v>21</v>
      </c>
      <c r="M181" s="175">
        <v>21</v>
      </c>
      <c r="N181" s="176">
        <f t="shared" si="285"/>
        <v>0</v>
      </c>
      <c r="O181" s="175">
        <v>21</v>
      </c>
      <c r="P181" s="175"/>
      <c r="Q181" s="177">
        <f>(300000)/12/21</f>
        <v>1190.4761904761904</v>
      </c>
      <c r="R181" s="43" t="str">
        <f t="shared" si="287"/>
        <v>Rated</v>
      </c>
      <c r="S181" s="33" t="s">
        <v>54</v>
      </c>
      <c r="T181" s="34">
        <v>2</v>
      </c>
      <c r="U181" s="45">
        <v>4.13</v>
      </c>
      <c r="V181" s="46">
        <f t="shared" si="289"/>
        <v>-2.13</v>
      </c>
      <c r="W181" s="34"/>
      <c r="X181" s="34">
        <f t="shared" si="316"/>
        <v>0</v>
      </c>
      <c r="Y181" s="34">
        <f t="shared" si="290"/>
        <v>1</v>
      </c>
      <c r="Z181" s="481">
        <v>3.12</v>
      </c>
      <c r="AA181" s="34">
        <f t="shared" si="291"/>
        <v>2.13</v>
      </c>
      <c r="AB181" s="47">
        <f>100000/12</f>
        <v>8333.3333333333339</v>
      </c>
      <c r="AC181" s="48" t="str">
        <f t="shared" si="292"/>
        <v>Bundled</v>
      </c>
      <c r="AD181" s="34"/>
      <c r="AE181" s="34"/>
      <c r="AF181" s="49"/>
      <c r="AG181" s="34"/>
      <c r="AH181" s="50"/>
      <c r="AI181" s="51"/>
      <c r="AJ181" s="34"/>
      <c r="AK181" s="34"/>
      <c r="AL181" s="34">
        <f t="shared" si="318"/>
        <v>0</v>
      </c>
      <c r="AM181" s="34"/>
      <c r="AN181" s="34"/>
      <c r="AO181" s="42">
        <f t="shared" si="320"/>
        <v>0</v>
      </c>
      <c r="AP181" s="52">
        <f t="shared" si="293"/>
        <v>24999.999999999996</v>
      </c>
      <c r="AQ181" s="52">
        <f t="shared" si="294"/>
        <v>17750</v>
      </c>
      <c r="AR181" s="53">
        <f t="shared" si="295"/>
        <v>0</v>
      </c>
      <c r="AS181" s="52">
        <f t="shared" si="296"/>
        <v>0</v>
      </c>
      <c r="AT181" s="54">
        <f>0/12</f>
        <v>0</v>
      </c>
      <c r="AU181" s="55">
        <f t="shared" si="297"/>
        <v>42750</v>
      </c>
      <c r="AV181" s="55"/>
      <c r="AW181" s="67"/>
      <c r="AX181" s="68"/>
      <c r="AY181" s="69"/>
      <c r="AZ181" s="68"/>
      <c r="BA181" s="89"/>
      <c r="BB181" s="5"/>
      <c r="BC181" s="29">
        <f t="shared" si="298"/>
        <v>81428.571428571435</v>
      </c>
      <c r="BD181" s="29">
        <f t="shared" si="299"/>
        <v>42750</v>
      </c>
      <c r="BE181" s="25">
        <f t="shared" si="300"/>
        <v>-14180.391179999999</v>
      </c>
      <c r="BF181" s="25">
        <f t="shared" si="300"/>
        <v>-14180.391179999999</v>
      </c>
      <c r="BG181" s="25">
        <f t="shared" si="301"/>
        <v>24503.079750000001</v>
      </c>
      <c r="BH181" s="29"/>
      <c r="BI181" s="26">
        <f t="shared" si="302"/>
        <v>42750</v>
      </c>
      <c r="BJ181" s="26" t="e">
        <f t="shared" si="303"/>
        <v>#REF!</v>
      </c>
      <c r="BK181" s="26" t="e">
        <f>IF(H181="Bundled",MIN(Y181*$AG$1*(1+#REF!),BI181),AR181)</f>
        <v>#REF!</v>
      </c>
      <c r="BL181" s="27">
        <f t="shared" si="304"/>
        <v>56930.391179999999</v>
      </c>
      <c r="BM181" s="27">
        <f t="shared" si="305"/>
        <v>56930.391179999999</v>
      </c>
      <c r="BN181" s="27">
        <f t="shared" si="306"/>
        <v>18246.920249999999</v>
      </c>
      <c r="BO181" s="27">
        <f t="shared" si="307"/>
        <v>-14180.391179999999</v>
      </c>
      <c r="BP181" s="27" t="e">
        <f>+#REF!*Y181</f>
        <v>#REF!</v>
      </c>
      <c r="BQ181" s="27" t="e">
        <f t="shared" si="308"/>
        <v>#REF!</v>
      </c>
      <c r="BR181" s="27" t="e">
        <f t="shared" si="309"/>
        <v>#REF!</v>
      </c>
      <c r="BS181" s="27" t="e">
        <f t="shared" si="310"/>
        <v>#REF!</v>
      </c>
      <c r="BT181" s="27">
        <f t="shared" si="311"/>
        <v>1</v>
      </c>
      <c r="BU181" s="27">
        <f t="shared" si="312"/>
        <v>-14180.391179999999</v>
      </c>
      <c r="BV181" s="27">
        <f t="shared" si="313"/>
        <v>-38683.470929999996</v>
      </c>
      <c r="BW181" s="27" t="e">
        <f>IF(H181="Bundled",+(BG181-#REF!)*Y181,(AP181+AQ181)-Y181*#REF!)</f>
        <v>#REF!</v>
      </c>
      <c r="BX181" s="27" t="e">
        <f t="shared" si="314"/>
        <v>#REF!</v>
      </c>
      <c r="BY181" s="27">
        <f t="shared" si="315"/>
        <v>-38683.470929999996</v>
      </c>
      <c r="BZ181" s="27" t="e">
        <f t="shared" si="315"/>
        <v>#REF!</v>
      </c>
      <c r="CA181" s="27" t="e">
        <f t="shared" si="315"/>
        <v>#REF!</v>
      </c>
    </row>
    <row r="182" spans="1:79" s="16" customFormat="1" x14ac:dyDescent="0.3">
      <c r="A182" s="199" t="s">
        <v>249</v>
      </c>
      <c r="B182" s="482"/>
      <c r="C182" s="182" t="s">
        <v>377</v>
      </c>
      <c r="D182" s="279" t="s">
        <v>404</v>
      </c>
      <c r="E182" s="279"/>
      <c r="F182" s="279"/>
      <c r="G182" s="33" t="s">
        <v>11</v>
      </c>
      <c r="H182" s="34" t="s">
        <v>52</v>
      </c>
      <c r="I182" s="33" t="s">
        <v>60</v>
      </c>
      <c r="J182" s="33" t="s">
        <v>61</v>
      </c>
      <c r="K182" s="31" t="str">
        <f t="shared" si="319"/>
        <v>U Space</v>
      </c>
      <c r="L182" s="33">
        <v>21</v>
      </c>
      <c r="M182" s="175">
        <v>21</v>
      </c>
      <c r="N182" s="176">
        <f t="shared" si="285"/>
        <v>0</v>
      </c>
      <c r="O182" s="175">
        <v>21</v>
      </c>
      <c r="P182" s="175"/>
      <c r="Q182" s="177">
        <f>(400000)/12/21</f>
        <v>1587.3015873015875</v>
      </c>
      <c r="R182" s="43" t="str">
        <f t="shared" si="287"/>
        <v>Rated</v>
      </c>
      <c r="S182" s="33" t="s">
        <v>54</v>
      </c>
      <c r="T182" s="34">
        <v>11</v>
      </c>
      <c r="U182" s="45">
        <v>3.02</v>
      </c>
      <c r="V182" s="46">
        <f t="shared" si="289"/>
        <v>7.98</v>
      </c>
      <c r="W182" s="34"/>
      <c r="X182" s="34">
        <f t="shared" si="316"/>
        <v>3.99</v>
      </c>
      <c r="Y182" s="34">
        <f t="shared" si="290"/>
        <v>5.5</v>
      </c>
      <c r="Z182" s="481"/>
      <c r="AA182" s="34">
        <f t="shared" si="291"/>
        <v>0</v>
      </c>
      <c r="AB182" s="47">
        <f>90000/12</f>
        <v>7500</v>
      </c>
      <c r="AC182" s="48" t="str">
        <f t="shared" si="292"/>
        <v>Bundled</v>
      </c>
      <c r="AD182" s="34"/>
      <c r="AE182" s="34"/>
      <c r="AF182" s="49"/>
      <c r="AG182" s="34"/>
      <c r="AH182" s="50"/>
      <c r="AI182" s="51"/>
      <c r="AJ182" s="34"/>
      <c r="AK182" s="34"/>
      <c r="AL182" s="34">
        <f t="shared" si="318"/>
        <v>0</v>
      </c>
      <c r="AM182" s="34"/>
      <c r="AN182" s="34"/>
      <c r="AO182" s="42">
        <f t="shared" si="320"/>
        <v>0</v>
      </c>
      <c r="AP182" s="52">
        <f t="shared" si="293"/>
        <v>33333.333333333336</v>
      </c>
      <c r="AQ182" s="52">
        <f t="shared" si="294"/>
        <v>0</v>
      </c>
      <c r="AR182" s="53">
        <f t="shared" si="295"/>
        <v>0</v>
      </c>
      <c r="AS182" s="52">
        <f t="shared" si="296"/>
        <v>0</v>
      </c>
      <c r="AT182" s="54">
        <f>0/12</f>
        <v>0</v>
      </c>
      <c r="AU182" s="55">
        <f t="shared" si="297"/>
        <v>33333.333333333336</v>
      </c>
      <c r="AV182" s="55"/>
      <c r="AW182" s="67"/>
      <c r="AX182" s="68"/>
      <c r="AY182" s="69"/>
      <c r="AZ182" s="68"/>
      <c r="BA182" s="89"/>
      <c r="BB182" s="5"/>
      <c r="BC182" s="29">
        <f t="shared" si="298"/>
        <v>63492.063492063498</v>
      </c>
      <c r="BD182" s="29">
        <f t="shared" si="299"/>
        <v>6060.606060606061</v>
      </c>
      <c r="BE182" s="25">
        <f t="shared" si="300"/>
        <v>6060.606060606061</v>
      </c>
      <c r="BF182" s="25">
        <f t="shared" si="300"/>
        <v>-7176.70517530303</v>
      </c>
      <c r="BG182" s="25">
        <f t="shared" si="301"/>
        <v>-12186.314189393936</v>
      </c>
      <c r="BH182" s="29"/>
      <c r="BI182" s="26">
        <f t="shared" si="302"/>
        <v>33333.333333333336</v>
      </c>
      <c r="BJ182" s="26" t="e">
        <f t="shared" si="303"/>
        <v>#REF!</v>
      </c>
      <c r="BK182" s="26" t="e">
        <f>IF(H182="Bundled",MIN(Y182*$AG$1*(1+#REF!),BI182),AR182)</f>
        <v>#REF!</v>
      </c>
      <c r="BL182" s="27">
        <f t="shared" si="304"/>
        <v>0</v>
      </c>
      <c r="BM182" s="27">
        <f t="shared" si="305"/>
        <v>72805.2117975</v>
      </c>
      <c r="BN182" s="27">
        <f t="shared" si="306"/>
        <v>100358.06137499999</v>
      </c>
      <c r="BO182" s="27">
        <f t="shared" si="307"/>
        <v>33333.333333333336</v>
      </c>
      <c r="BP182" s="27" t="e">
        <f>+#REF!*Y182</f>
        <v>#REF!</v>
      </c>
      <c r="BQ182" s="27" t="e">
        <f t="shared" si="308"/>
        <v>#REF!</v>
      </c>
      <c r="BR182" s="27" t="e">
        <f t="shared" si="309"/>
        <v>#REF!</v>
      </c>
      <c r="BS182" s="27" t="e">
        <f t="shared" si="310"/>
        <v>#REF!</v>
      </c>
      <c r="BT182" s="27">
        <f t="shared" si="311"/>
        <v>5.5</v>
      </c>
      <c r="BU182" s="27">
        <f t="shared" si="312"/>
        <v>6060.606060606061</v>
      </c>
      <c r="BV182" s="27">
        <f t="shared" si="313"/>
        <v>100358.06137499999</v>
      </c>
      <c r="BW182" s="27" t="e">
        <f>IF(H182="Bundled",+(BG182-#REF!)*Y182,(AP182+AQ182)-Y182*#REF!)</f>
        <v>#REF!</v>
      </c>
      <c r="BX182" s="27" t="e">
        <f t="shared" si="314"/>
        <v>#REF!</v>
      </c>
      <c r="BY182" s="27">
        <f t="shared" si="315"/>
        <v>18246.920249999999</v>
      </c>
      <c r="BZ182" s="27" t="e">
        <f t="shared" si="315"/>
        <v>#REF!</v>
      </c>
      <c r="CA182" s="27" t="e">
        <f t="shared" si="315"/>
        <v>#REF!</v>
      </c>
    </row>
    <row r="183" spans="1:79" s="16" customFormat="1" ht="26" customHeight="1" x14ac:dyDescent="0.3">
      <c r="A183" s="199" t="s">
        <v>249</v>
      </c>
      <c r="B183" s="483" t="s">
        <v>417</v>
      </c>
      <c r="C183" s="182" t="s">
        <v>573</v>
      </c>
      <c r="D183" s="279" t="s">
        <v>404</v>
      </c>
      <c r="E183" s="279"/>
      <c r="F183" s="279"/>
      <c r="G183" s="33" t="s">
        <v>11</v>
      </c>
      <c r="H183" s="34" t="s">
        <v>52</v>
      </c>
      <c r="I183" s="33" t="s">
        <v>60</v>
      </c>
      <c r="J183" s="33" t="s">
        <v>61</v>
      </c>
      <c r="K183" s="31" t="str">
        <f t="shared" si="319"/>
        <v>U Space</v>
      </c>
      <c r="L183" s="33">
        <v>5</v>
      </c>
      <c r="M183" s="175">
        <v>5</v>
      </c>
      <c r="N183" s="176">
        <v>0</v>
      </c>
      <c r="O183" s="175">
        <v>5</v>
      </c>
      <c r="P183" s="175"/>
      <c r="Q183" s="177"/>
      <c r="R183" s="43" t="s">
        <v>11</v>
      </c>
      <c r="S183" s="33" t="s">
        <v>54</v>
      </c>
      <c r="T183" s="34">
        <v>1.25</v>
      </c>
      <c r="U183" s="45">
        <v>1.49</v>
      </c>
      <c r="V183" s="46">
        <f t="shared" si="289"/>
        <v>-0.24</v>
      </c>
      <c r="W183" s="34"/>
      <c r="X183" s="34">
        <f t="shared" si="316"/>
        <v>0</v>
      </c>
      <c r="Y183" s="34">
        <f t="shared" si="290"/>
        <v>0.625</v>
      </c>
      <c r="Z183" s="481">
        <v>1.26</v>
      </c>
      <c r="AA183" s="34">
        <f t="shared" si="291"/>
        <v>0.24</v>
      </c>
      <c r="AB183" s="47"/>
      <c r="AC183" s="48"/>
      <c r="AD183" s="34"/>
      <c r="AE183" s="34"/>
      <c r="AF183" s="49"/>
      <c r="AG183" s="34"/>
      <c r="AH183" s="50"/>
      <c r="AI183" s="51"/>
      <c r="AJ183" s="34"/>
      <c r="AK183" s="34"/>
      <c r="AL183" s="34"/>
      <c r="AM183" s="34"/>
      <c r="AN183" s="34"/>
      <c r="AO183" s="42"/>
      <c r="AP183" s="52"/>
      <c r="AQ183" s="52"/>
      <c r="AR183" s="53"/>
      <c r="AS183" s="52"/>
      <c r="AT183" s="54"/>
      <c r="AU183" s="55"/>
      <c r="AV183" s="55"/>
      <c r="AW183" s="67"/>
      <c r="AX183" s="68"/>
      <c r="AY183" s="69"/>
      <c r="AZ183" s="68"/>
      <c r="BA183" s="89"/>
      <c r="BB183" s="5"/>
      <c r="BC183" s="59"/>
      <c r="BD183" s="59"/>
      <c r="BE183" s="59"/>
      <c r="BF183" s="59"/>
      <c r="BG183" s="59"/>
      <c r="BH183" s="59"/>
      <c r="BI183" s="60"/>
      <c r="BJ183" s="60"/>
      <c r="BK183" s="60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</row>
    <row r="184" spans="1:79" s="16" customFormat="1" ht="26" customHeight="1" x14ac:dyDescent="0.3">
      <c r="A184" s="199" t="s">
        <v>249</v>
      </c>
      <c r="B184" s="484"/>
      <c r="C184" s="182" t="s">
        <v>424</v>
      </c>
      <c r="D184" s="279" t="s">
        <v>404</v>
      </c>
      <c r="E184" s="279"/>
      <c r="F184" s="279"/>
      <c r="G184" s="33" t="s">
        <v>11</v>
      </c>
      <c r="H184" s="34" t="s">
        <v>52</v>
      </c>
      <c r="I184" s="33" t="s">
        <v>60</v>
      </c>
      <c r="J184" s="33" t="s">
        <v>61</v>
      </c>
      <c r="K184" s="31" t="s">
        <v>425</v>
      </c>
      <c r="L184" s="33">
        <v>7</v>
      </c>
      <c r="M184" s="175">
        <v>7</v>
      </c>
      <c r="N184" s="176">
        <v>0</v>
      </c>
      <c r="O184" s="175">
        <v>7</v>
      </c>
      <c r="P184" s="175"/>
      <c r="Q184" s="177"/>
      <c r="R184" s="43" t="s">
        <v>11</v>
      </c>
      <c r="S184" s="33" t="s">
        <v>54</v>
      </c>
      <c r="T184" s="181">
        <v>1.05</v>
      </c>
      <c r="U184" s="45">
        <v>2.23</v>
      </c>
      <c r="V184" s="46">
        <f t="shared" si="289"/>
        <v>-1.18</v>
      </c>
      <c r="W184" s="34"/>
      <c r="X184" s="34">
        <f t="shared" si="316"/>
        <v>0</v>
      </c>
      <c r="Y184" s="34">
        <f t="shared" si="290"/>
        <v>0.52500000000000002</v>
      </c>
      <c r="Z184" s="481"/>
      <c r="AA184" s="34">
        <f t="shared" si="291"/>
        <v>1.18</v>
      </c>
      <c r="AB184" s="47"/>
      <c r="AC184" s="48"/>
      <c r="AD184" s="34"/>
      <c r="AE184" s="34"/>
      <c r="AF184" s="49"/>
      <c r="AG184" s="34"/>
      <c r="AH184" s="50"/>
      <c r="AI184" s="51"/>
      <c r="AJ184" s="34"/>
      <c r="AK184" s="34"/>
      <c r="AL184" s="34"/>
      <c r="AM184" s="34"/>
      <c r="AN184" s="34"/>
      <c r="AO184" s="42"/>
      <c r="AP184" s="52"/>
      <c r="AQ184" s="52"/>
      <c r="AR184" s="53"/>
      <c r="AS184" s="52"/>
      <c r="AT184" s="54"/>
      <c r="AU184" s="55"/>
      <c r="AV184" s="55"/>
      <c r="AW184" s="67"/>
      <c r="AX184" s="68"/>
      <c r="AY184" s="69"/>
      <c r="AZ184" s="68"/>
      <c r="BA184" s="89"/>
      <c r="BB184" s="5"/>
      <c r="BC184" s="59"/>
      <c r="BD184" s="59"/>
      <c r="BE184" s="59"/>
      <c r="BF184" s="59"/>
      <c r="BG184" s="59"/>
      <c r="BH184" s="59"/>
      <c r="BI184" s="60"/>
      <c r="BJ184" s="60"/>
      <c r="BK184" s="60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</row>
    <row r="185" spans="1:79" s="16" customFormat="1" ht="26" customHeight="1" x14ac:dyDescent="0.3">
      <c r="A185" s="199"/>
      <c r="B185" s="484"/>
      <c r="C185" s="182" t="s">
        <v>539</v>
      </c>
      <c r="D185" s="279" t="s">
        <v>405</v>
      </c>
      <c r="E185" s="279"/>
      <c r="F185" s="279"/>
      <c r="G185" s="33" t="s">
        <v>11</v>
      </c>
      <c r="H185" s="34" t="s">
        <v>52</v>
      </c>
      <c r="I185" s="33" t="s">
        <v>60</v>
      </c>
      <c r="J185" s="33" t="s">
        <v>61</v>
      </c>
      <c r="K185" s="31" t="s">
        <v>425</v>
      </c>
      <c r="L185" s="33">
        <v>2</v>
      </c>
      <c r="M185" s="175">
        <v>2</v>
      </c>
      <c r="N185" s="176">
        <v>0</v>
      </c>
      <c r="O185" s="175">
        <v>2</v>
      </c>
      <c r="P185" s="175"/>
      <c r="Q185" s="177"/>
      <c r="R185" s="43" t="s">
        <v>11</v>
      </c>
      <c r="S185" s="33"/>
      <c r="T185" s="181">
        <v>0.5</v>
      </c>
      <c r="U185" s="45">
        <v>0.28000000000000003</v>
      </c>
      <c r="V185" s="46">
        <f t="shared" si="289"/>
        <v>0.21999999999999997</v>
      </c>
      <c r="W185" s="34"/>
      <c r="X185" s="34">
        <f t="shared" si="316"/>
        <v>0.10999999999999999</v>
      </c>
      <c r="Y185" s="34">
        <f t="shared" si="290"/>
        <v>0.25</v>
      </c>
      <c r="Z185" s="481"/>
      <c r="AA185" s="34">
        <f t="shared" si="291"/>
        <v>0</v>
      </c>
      <c r="AB185" s="47"/>
      <c r="AC185" s="48"/>
      <c r="AD185" s="34"/>
      <c r="AE185" s="34"/>
      <c r="AF185" s="49"/>
      <c r="AG185" s="34"/>
      <c r="AH185" s="50"/>
      <c r="AI185" s="51"/>
      <c r="AJ185" s="34"/>
      <c r="AK185" s="34"/>
      <c r="AL185" s="34"/>
      <c r="AM185" s="34"/>
      <c r="AN185" s="34"/>
      <c r="AO185" s="42"/>
      <c r="AP185" s="52"/>
      <c r="AQ185" s="52"/>
      <c r="AR185" s="53"/>
      <c r="AS185" s="52"/>
      <c r="AT185" s="54"/>
      <c r="AU185" s="55"/>
      <c r="AV185" s="55"/>
      <c r="AW185" s="67"/>
      <c r="AX185" s="68"/>
      <c r="AY185" s="69"/>
      <c r="AZ185" s="68"/>
      <c r="BA185" s="89"/>
      <c r="BB185" s="5"/>
      <c r="BC185" s="59"/>
      <c r="BD185" s="59"/>
      <c r="BE185" s="59"/>
      <c r="BF185" s="59"/>
      <c r="BG185" s="59"/>
      <c r="BH185" s="59"/>
      <c r="BI185" s="60"/>
      <c r="BJ185" s="60"/>
      <c r="BK185" s="60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</row>
    <row r="186" spans="1:79" s="16" customFormat="1" ht="26" customHeight="1" x14ac:dyDescent="0.3">
      <c r="A186" s="199" t="s">
        <v>249</v>
      </c>
      <c r="B186" s="485"/>
      <c r="C186" s="182" t="s">
        <v>397</v>
      </c>
      <c r="D186" s="279" t="s">
        <v>404</v>
      </c>
      <c r="E186" s="279"/>
      <c r="F186" s="279"/>
      <c r="G186" s="33" t="s">
        <v>11</v>
      </c>
      <c r="H186" s="34" t="s">
        <v>52</v>
      </c>
      <c r="I186" s="33" t="s">
        <v>60</v>
      </c>
      <c r="J186" s="33" t="s">
        <v>61</v>
      </c>
      <c r="K186" s="31" t="str">
        <f t="shared" ref="K186:K198" si="321">IF(I186="Rack","No of Racks",(IF(I186="Space","Sq Ft","U Space")))</f>
        <v>U Space</v>
      </c>
      <c r="L186" s="33">
        <v>8</v>
      </c>
      <c r="M186" s="175">
        <v>8</v>
      </c>
      <c r="N186" s="176">
        <v>0</v>
      </c>
      <c r="O186" s="175">
        <v>8</v>
      </c>
      <c r="P186" s="175"/>
      <c r="Q186" s="177"/>
      <c r="R186" s="43" t="s">
        <v>11</v>
      </c>
      <c r="S186" s="33" t="s">
        <v>54</v>
      </c>
      <c r="T186" s="34">
        <v>2</v>
      </c>
      <c r="U186" s="45">
        <v>1.49</v>
      </c>
      <c r="V186" s="46">
        <f t="shared" si="289"/>
        <v>0.51</v>
      </c>
      <c r="W186" s="34"/>
      <c r="X186" s="34">
        <f t="shared" si="316"/>
        <v>0.255</v>
      </c>
      <c r="Y186" s="34">
        <f t="shared" si="290"/>
        <v>1</v>
      </c>
      <c r="Z186" s="481"/>
      <c r="AA186" s="34">
        <f t="shared" si="291"/>
        <v>0</v>
      </c>
      <c r="AB186" s="47"/>
      <c r="AC186" s="48"/>
      <c r="AD186" s="34"/>
      <c r="AE186" s="34"/>
      <c r="AF186" s="49"/>
      <c r="AG186" s="34"/>
      <c r="AH186" s="50"/>
      <c r="AI186" s="51"/>
      <c r="AJ186" s="34"/>
      <c r="AK186" s="34"/>
      <c r="AL186" s="34"/>
      <c r="AM186" s="34"/>
      <c r="AN186" s="34"/>
      <c r="AO186" s="42"/>
      <c r="AP186" s="52"/>
      <c r="AQ186" s="52"/>
      <c r="AR186" s="53"/>
      <c r="AS186" s="52"/>
      <c r="AT186" s="54"/>
      <c r="AU186" s="55"/>
      <c r="AV186" s="55"/>
      <c r="AW186" s="67"/>
      <c r="AX186" s="68"/>
      <c r="AY186" s="69"/>
      <c r="AZ186" s="68"/>
      <c r="BA186" s="89"/>
      <c r="BB186" s="5"/>
      <c r="BC186" s="59"/>
      <c r="BD186" s="59"/>
      <c r="BE186" s="59"/>
      <c r="BF186" s="59"/>
      <c r="BG186" s="59"/>
      <c r="BH186" s="59"/>
      <c r="BI186" s="60"/>
      <c r="BJ186" s="60"/>
      <c r="BK186" s="60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</row>
    <row r="187" spans="1:79" s="16" customFormat="1" x14ac:dyDescent="0.3">
      <c r="A187" s="199" t="s">
        <v>249</v>
      </c>
      <c r="B187" s="81" t="s">
        <v>418</v>
      </c>
      <c r="C187" s="327" t="s">
        <v>415</v>
      </c>
      <c r="D187" s="279" t="s">
        <v>404</v>
      </c>
      <c r="E187" s="279"/>
      <c r="F187" s="279"/>
      <c r="G187" s="33" t="s">
        <v>11</v>
      </c>
      <c r="H187" s="34" t="s">
        <v>52</v>
      </c>
      <c r="I187" s="33" t="s">
        <v>60</v>
      </c>
      <c r="J187" s="33" t="s">
        <v>61</v>
      </c>
      <c r="K187" s="31" t="str">
        <f t="shared" si="321"/>
        <v>U Space</v>
      </c>
      <c r="L187" s="33">
        <v>21</v>
      </c>
      <c r="M187" s="175">
        <v>21</v>
      </c>
      <c r="N187" s="176">
        <v>0</v>
      </c>
      <c r="O187" s="175">
        <v>21</v>
      </c>
      <c r="P187" s="175"/>
      <c r="Q187" s="177"/>
      <c r="R187" s="43" t="s">
        <v>11</v>
      </c>
      <c r="S187" s="33"/>
      <c r="T187" s="34">
        <v>6</v>
      </c>
      <c r="U187" s="45">
        <v>5.61</v>
      </c>
      <c r="V187" s="46">
        <f t="shared" si="289"/>
        <v>0.38999999999999968</v>
      </c>
      <c r="W187" s="34"/>
      <c r="X187" s="34">
        <f t="shared" si="316"/>
        <v>0.19499999999999984</v>
      </c>
      <c r="Y187" s="34">
        <f t="shared" si="290"/>
        <v>3</v>
      </c>
      <c r="Z187" s="65">
        <v>1.37</v>
      </c>
      <c r="AA187" s="34">
        <f t="shared" si="291"/>
        <v>0</v>
      </c>
      <c r="AB187" s="47"/>
      <c r="AC187" s="48" t="s">
        <v>52</v>
      </c>
      <c r="AD187" s="34"/>
      <c r="AE187" s="34"/>
      <c r="AF187" s="49"/>
      <c r="AG187" s="34"/>
      <c r="AH187" s="50"/>
      <c r="AI187" s="51"/>
      <c r="AJ187" s="34"/>
      <c r="AK187" s="34"/>
      <c r="AL187" s="34"/>
      <c r="AM187" s="34"/>
      <c r="AN187" s="34"/>
      <c r="AO187" s="42"/>
      <c r="AP187" s="52"/>
      <c r="AQ187" s="52"/>
      <c r="AR187" s="53"/>
      <c r="AS187" s="52"/>
      <c r="AT187" s="54"/>
      <c r="AU187" s="55"/>
      <c r="AV187" s="55"/>
      <c r="AW187" s="67"/>
      <c r="AX187" s="68"/>
      <c r="AY187" s="69"/>
      <c r="AZ187" s="68"/>
      <c r="BA187" s="89"/>
      <c r="BB187" s="5"/>
      <c r="BC187" s="59"/>
      <c r="BD187" s="59"/>
      <c r="BE187" s="59"/>
      <c r="BF187" s="59"/>
      <c r="BG187" s="59"/>
      <c r="BH187" s="59"/>
      <c r="BI187" s="60"/>
      <c r="BJ187" s="60"/>
      <c r="BK187" s="60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</row>
    <row r="188" spans="1:79" s="16" customFormat="1" x14ac:dyDescent="0.3">
      <c r="A188" s="199"/>
      <c r="B188" s="81" t="s">
        <v>531</v>
      </c>
      <c r="C188" s="182" t="s">
        <v>530</v>
      </c>
      <c r="D188" s="279" t="s">
        <v>404</v>
      </c>
      <c r="E188" s="279"/>
      <c r="F188" s="279"/>
      <c r="G188" s="33" t="s">
        <v>11</v>
      </c>
      <c r="H188" s="34" t="s">
        <v>52</v>
      </c>
      <c r="I188" s="33" t="s">
        <v>60</v>
      </c>
      <c r="J188" s="33" t="s">
        <v>61</v>
      </c>
      <c r="K188" s="31" t="str">
        <f t="shared" si="321"/>
        <v>U Space</v>
      </c>
      <c r="L188" s="33">
        <v>21</v>
      </c>
      <c r="M188" s="175">
        <v>21</v>
      </c>
      <c r="N188" s="176">
        <v>0</v>
      </c>
      <c r="O188" s="175">
        <v>21</v>
      </c>
      <c r="P188" s="175"/>
      <c r="Q188" s="177"/>
      <c r="R188" s="43" t="s">
        <v>11</v>
      </c>
      <c r="S188" s="33" t="s">
        <v>54</v>
      </c>
      <c r="T188" s="34">
        <v>3</v>
      </c>
      <c r="U188" s="45">
        <v>2.5</v>
      </c>
      <c r="V188" s="46">
        <f t="shared" si="289"/>
        <v>0.5</v>
      </c>
      <c r="W188" s="34"/>
      <c r="X188" s="34">
        <f t="shared" si="316"/>
        <v>0.25</v>
      </c>
      <c r="Y188" s="34">
        <f t="shared" si="290"/>
        <v>1.5</v>
      </c>
      <c r="Z188" s="65">
        <f>AG188/28/24</f>
        <v>0.82589285714285721</v>
      </c>
      <c r="AA188" s="34">
        <f t="shared" si="291"/>
        <v>0</v>
      </c>
      <c r="AB188" s="47"/>
      <c r="AC188" s="48"/>
      <c r="AD188" s="34"/>
      <c r="AE188" s="34"/>
      <c r="AF188" s="49"/>
      <c r="AG188" s="34">
        <v>555</v>
      </c>
      <c r="AH188" s="50"/>
      <c r="AI188" s="51"/>
      <c r="AJ188" s="34"/>
      <c r="AK188" s="34"/>
      <c r="AL188" s="34"/>
      <c r="AM188" s="34"/>
      <c r="AN188" s="34"/>
      <c r="AO188" s="42"/>
      <c r="AP188" s="52"/>
      <c r="AQ188" s="52"/>
      <c r="AR188" s="53"/>
      <c r="AS188" s="52"/>
      <c r="AT188" s="54"/>
      <c r="AU188" s="55"/>
      <c r="AV188" s="55"/>
      <c r="AW188" s="67"/>
      <c r="AX188" s="68"/>
      <c r="AY188" s="69"/>
      <c r="AZ188" s="68"/>
      <c r="BA188" s="89"/>
      <c r="BB188" s="5"/>
      <c r="BC188" s="59"/>
      <c r="BD188" s="59"/>
      <c r="BE188" s="59"/>
      <c r="BF188" s="59"/>
      <c r="BG188" s="59"/>
      <c r="BH188" s="59"/>
      <c r="BI188" s="60"/>
      <c r="BJ188" s="60"/>
      <c r="BK188" s="60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</row>
    <row r="189" spans="1:79" s="16" customFormat="1" x14ac:dyDescent="0.3">
      <c r="A189" s="199" t="s">
        <v>249</v>
      </c>
      <c r="B189" s="482" t="s">
        <v>419</v>
      </c>
      <c r="C189" s="179" t="s">
        <v>378</v>
      </c>
      <c r="D189" s="179" t="s">
        <v>404</v>
      </c>
      <c r="E189" s="179"/>
      <c r="F189" s="179"/>
      <c r="G189" s="33" t="s">
        <v>11</v>
      </c>
      <c r="H189" s="34" t="s">
        <v>52</v>
      </c>
      <c r="I189" s="33" t="s">
        <v>60</v>
      </c>
      <c r="J189" s="33" t="s">
        <v>61</v>
      </c>
      <c r="K189" s="31" t="str">
        <f t="shared" si="321"/>
        <v>U Space</v>
      </c>
      <c r="L189" s="33">
        <v>21</v>
      </c>
      <c r="M189" s="175">
        <v>21</v>
      </c>
      <c r="N189" s="176">
        <f t="shared" ref="N189:N197" si="322">L189-M189</f>
        <v>0</v>
      </c>
      <c r="O189" s="175">
        <v>21</v>
      </c>
      <c r="P189" s="175"/>
      <c r="Q189" s="177">
        <f>(380000)/12/21</f>
        <v>1507.936507936508</v>
      </c>
      <c r="R189" s="43" t="str">
        <f t="shared" ref="R189:R205" si="323">G189</f>
        <v>Rated</v>
      </c>
      <c r="S189" s="33" t="s">
        <v>54</v>
      </c>
      <c r="T189" s="34">
        <v>1.5</v>
      </c>
      <c r="U189" s="45">
        <v>2.27</v>
      </c>
      <c r="V189" s="46">
        <f t="shared" si="289"/>
        <v>-0.77</v>
      </c>
      <c r="W189" s="34"/>
      <c r="X189" s="34">
        <f t="shared" si="316"/>
        <v>0</v>
      </c>
      <c r="Y189" s="34">
        <f t="shared" si="290"/>
        <v>0.75</v>
      </c>
      <c r="Z189" s="481">
        <v>1.31</v>
      </c>
      <c r="AA189" s="34">
        <f t="shared" si="291"/>
        <v>0.77</v>
      </c>
      <c r="AB189" s="47">
        <f t="shared" ref="AB189:AB196" si="324">0/12</f>
        <v>0</v>
      </c>
      <c r="AC189" s="48" t="str">
        <f t="shared" ref="AC189:AC205" si="325">H189</f>
        <v>Bundled</v>
      </c>
      <c r="AD189" s="34"/>
      <c r="AE189" s="34"/>
      <c r="AF189" s="49"/>
      <c r="AG189" s="34"/>
      <c r="AH189" s="50"/>
      <c r="AI189" s="51"/>
      <c r="AJ189" s="34"/>
      <c r="AK189" s="34"/>
      <c r="AL189" s="34">
        <f t="shared" ref="AL189:AL198" si="326">AJ189-AK189</f>
        <v>0</v>
      </c>
      <c r="AM189" s="34"/>
      <c r="AN189" s="34"/>
      <c r="AO189" s="42">
        <f t="shared" si="320"/>
        <v>0</v>
      </c>
      <c r="AP189" s="52">
        <f t="shared" ref="AP189:AP198" si="327">Q189*O189</f>
        <v>31666.666666666668</v>
      </c>
      <c r="AQ189" s="52">
        <f t="shared" ref="AQ189:AQ198" si="328">AB189*AA189</f>
        <v>0</v>
      </c>
      <c r="AR189" s="53">
        <f t="shared" ref="AR189:AR198" si="329">AG189*AF189*AD189</f>
        <v>0</v>
      </c>
      <c r="AS189" s="52">
        <f t="shared" ref="AS189:AS198" si="330">AO189*AM189</f>
        <v>0</v>
      </c>
      <c r="AT189" s="54">
        <f t="shared" ref="AT189:AT197" si="331">0/12</f>
        <v>0</v>
      </c>
      <c r="AU189" s="55">
        <f t="shared" ref="AU189:AU198" si="332">SUBTOTAL(9,AP189:AT189)</f>
        <v>31666.666666666668</v>
      </c>
      <c r="AV189" s="55"/>
      <c r="AW189" s="67"/>
      <c r="AX189" s="68"/>
      <c r="AY189" s="69"/>
      <c r="AZ189" s="68"/>
      <c r="BA189" s="89"/>
      <c r="BB189" s="5"/>
      <c r="BC189" s="29">
        <f t="shared" ref="BC189:BC198" si="333">IF(I189="Rack",AU189/L189,0)+IF(I189="U Space",AU189*40/L189,0)+IF(I189="Space",AU189*30/L189,0)</f>
        <v>60317.460317460318</v>
      </c>
      <c r="BD189" s="29">
        <f t="shared" ref="BD189:BD198" si="334">+AU189/Y189</f>
        <v>42222.222222222226</v>
      </c>
      <c r="BE189" s="25">
        <f t="shared" ref="BE189:BE198" si="335">+($AP189+$AQ189+$AR189-BL189)/$Y189</f>
        <v>10350.934852222223</v>
      </c>
      <c r="BF189" s="25">
        <f t="shared" ref="BF189:BF198" si="336">+($AP189+$AQ189+$AR189-BM189)/$Y189</f>
        <v>10350.934852222223</v>
      </c>
      <c r="BG189" s="25">
        <f t="shared" ref="BG189:BG198" si="337">+($AP189+$AQ189+IF(H189="Bundled",0,Y189*0.85*AD189*AF189*30.5*24)-BN189)/$Y189</f>
        <v>23975.301972222223</v>
      </c>
      <c r="BH189" s="29"/>
      <c r="BI189" s="26">
        <f t="shared" ref="BI189:BI198" si="338">+AP189+AQ189+AR189</f>
        <v>31666.666666666668</v>
      </c>
      <c r="BJ189" s="26" t="e">
        <f t="shared" ref="BJ189:BJ198" si="339">+BI189-BK189</f>
        <v>#REF!</v>
      </c>
      <c r="BK189" s="26" t="e">
        <f>IF(H189="Bundled",MIN(Y189*$AG$1*(1+#REF!),BI189),AR189)</f>
        <v>#REF!</v>
      </c>
      <c r="BL189" s="27">
        <f t="shared" ref="BL189:BL207" si="340">IF($AG189&gt;0,$AG189*$AD$1*$AF$1*(1+$AI$1*(20/$AF$1)/732),$AG$1*Z189)</f>
        <v>23903.4655275</v>
      </c>
      <c r="BM189" s="27">
        <f t="shared" ref="BM189:BM198" si="341">IF($AG189&gt;0,$AG189*$AD$1*$AF$1*(1+$AI$1*(20/$AF$1)/732),+$AG$1*(Z189+X189))</f>
        <v>23903.4655275</v>
      </c>
      <c r="BN189" s="27">
        <f t="shared" ref="BN189:BN207" si="342">IF(H189="Bundled",$AG$1*Y189,$AG$1*Y189*0.85)</f>
        <v>13685.1901875</v>
      </c>
      <c r="BO189" s="27">
        <f t="shared" ref="BO189:BO198" si="343">+BE189*Y189</f>
        <v>7763.2011391666674</v>
      </c>
      <c r="BP189" s="27" t="e">
        <f>+#REF!*Y189</f>
        <v>#REF!</v>
      </c>
      <c r="BQ189" s="27" t="e">
        <f t="shared" ref="BQ189:BQ198" si="344">+BJ189-BP189</f>
        <v>#REF!</v>
      </c>
      <c r="BR189" s="27" t="e">
        <f t="shared" ref="BR189:BR198" si="345">+BK189-BL189</f>
        <v>#REF!</v>
      </c>
      <c r="BS189" s="27" t="e">
        <f t="shared" ref="BS189:BS198" si="346">+BQ189+BR189</f>
        <v>#REF!</v>
      </c>
      <c r="BT189" s="27">
        <f t="shared" ref="BT189:BT205" si="347">+Y189</f>
        <v>0.75</v>
      </c>
      <c r="BU189" s="27">
        <f t="shared" ref="BU189:BU198" si="348">+BE189</f>
        <v>10350.934852222223</v>
      </c>
      <c r="BV189" s="27">
        <f t="shared" ref="BV189:BV198" si="349">IF(H189="Bundled",BN189-BL189,AR189-BL189)</f>
        <v>-10218.27534</v>
      </c>
      <c r="BW189" s="27" t="e">
        <f>IF(H189="Bundled",+(BG189-#REF!)*Y189,(AP189+AQ189)-Y189*#REF!)</f>
        <v>#REF!</v>
      </c>
      <c r="BX189" s="27" t="e">
        <f t="shared" ref="BX189:BX198" si="350">+BV189+BW189</f>
        <v>#REF!</v>
      </c>
      <c r="BY189" s="27">
        <f t="shared" ref="BY189:BY198" si="351">+BV189/$BT189</f>
        <v>-13624.367120000001</v>
      </c>
      <c r="BZ189" s="27" t="e">
        <f t="shared" ref="BZ189:BZ198" si="352">+BW189/$BT189</f>
        <v>#REF!</v>
      </c>
      <c r="CA189" s="27" t="e">
        <f t="shared" ref="CA189:CA198" si="353">+BX189/$BT189</f>
        <v>#REF!</v>
      </c>
    </row>
    <row r="190" spans="1:79" s="16" customFormat="1" x14ac:dyDescent="0.3">
      <c r="A190" s="199" t="s">
        <v>249</v>
      </c>
      <c r="B190" s="482"/>
      <c r="C190" s="179" t="s">
        <v>379</v>
      </c>
      <c r="D190" s="179" t="s">
        <v>404</v>
      </c>
      <c r="E190" s="179"/>
      <c r="F190" s="179"/>
      <c r="G190" s="33" t="s">
        <v>11</v>
      </c>
      <c r="H190" s="34" t="s">
        <v>52</v>
      </c>
      <c r="I190" s="33" t="s">
        <v>60</v>
      </c>
      <c r="J190" s="33" t="s">
        <v>61</v>
      </c>
      <c r="K190" s="31" t="str">
        <f t="shared" si="321"/>
        <v>U Space</v>
      </c>
      <c r="L190" s="33">
        <v>21</v>
      </c>
      <c r="M190" s="175">
        <v>21</v>
      </c>
      <c r="N190" s="176">
        <f t="shared" si="322"/>
        <v>0</v>
      </c>
      <c r="O190" s="175">
        <v>21</v>
      </c>
      <c r="P190" s="175"/>
      <c r="Q190" s="177">
        <f>(310000)/12/21</f>
        <v>1230.1587301587301</v>
      </c>
      <c r="R190" s="43" t="str">
        <f t="shared" si="323"/>
        <v>Rated</v>
      </c>
      <c r="S190" s="33" t="s">
        <v>54</v>
      </c>
      <c r="T190" s="34">
        <v>1.5</v>
      </c>
      <c r="U190" s="45">
        <v>1.82</v>
      </c>
      <c r="V190" s="46">
        <f t="shared" si="289"/>
        <v>-0.32000000000000006</v>
      </c>
      <c r="W190" s="34"/>
      <c r="X190" s="34">
        <f t="shared" si="316"/>
        <v>0</v>
      </c>
      <c r="Y190" s="34">
        <f t="shared" si="290"/>
        <v>0.75</v>
      </c>
      <c r="Z190" s="481"/>
      <c r="AA190" s="34">
        <f t="shared" si="291"/>
        <v>0.32000000000000006</v>
      </c>
      <c r="AB190" s="47">
        <f t="shared" si="324"/>
        <v>0</v>
      </c>
      <c r="AC190" s="48" t="str">
        <f t="shared" si="325"/>
        <v>Bundled</v>
      </c>
      <c r="AD190" s="34"/>
      <c r="AE190" s="34"/>
      <c r="AF190" s="49"/>
      <c r="AG190" s="34"/>
      <c r="AH190" s="50"/>
      <c r="AI190" s="51"/>
      <c r="AJ190" s="34"/>
      <c r="AK190" s="34"/>
      <c r="AL190" s="34">
        <f t="shared" si="326"/>
        <v>0</v>
      </c>
      <c r="AM190" s="34"/>
      <c r="AN190" s="34"/>
      <c r="AO190" s="42">
        <f t="shared" si="320"/>
        <v>0</v>
      </c>
      <c r="AP190" s="52">
        <f t="shared" si="327"/>
        <v>25833.333333333332</v>
      </c>
      <c r="AQ190" s="52">
        <f t="shared" si="328"/>
        <v>0</v>
      </c>
      <c r="AR190" s="53">
        <f t="shared" si="329"/>
        <v>0</v>
      </c>
      <c r="AS190" s="52">
        <f t="shared" si="330"/>
        <v>0</v>
      </c>
      <c r="AT190" s="54">
        <f t="shared" si="331"/>
        <v>0</v>
      </c>
      <c r="AU190" s="55">
        <f t="shared" si="332"/>
        <v>25833.333333333332</v>
      </c>
      <c r="AV190" s="55"/>
      <c r="AW190" s="67"/>
      <c r="AX190" s="68"/>
      <c r="AY190" s="69"/>
      <c r="AZ190" s="68"/>
      <c r="BA190" s="89"/>
      <c r="BB190" s="5"/>
      <c r="BC190" s="29">
        <f t="shared" si="333"/>
        <v>49206.349206349201</v>
      </c>
      <c r="BD190" s="29">
        <f t="shared" si="334"/>
        <v>34444.444444444445</v>
      </c>
      <c r="BE190" s="25">
        <f t="shared" si="335"/>
        <v>34444.444444444445</v>
      </c>
      <c r="BF190" s="25">
        <f t="shared" si="336"/>
        <v>34444.444444444445</v>
      </c>
      <c r="BG190" s="25">
        <f t="shared" si="337"/>
        <v>16197.524194444442</v>
      </c>
      <c r="BH190" s="29"/>
      <c r="BI190" s="26">
        <f t="shared" si="338"/>
        <v>25833.333333333332</v>
      </c>
      <c r="BJ190" s="26" t="e">
        <f t="shared" si="339"/>
        <v>#REF!</v>
      </c>
      <c r="BK190" s="26" t="e">
        <f>IF(H190="Bundled",MIN(Y190*$AG$1*(1+#REF!),BI190),AR190)</f>
        <v>#REF!</v>
      </c>
      <c r="BL190" s="27">
        <f t="shared" si="340"/>
        <v>0</v>
      </c>
      <c r="BM190" s="27">
        <f t="shared" si="341"/>
        <v>0</v>
      </c>
      <c r="BN190" s="27">
        <f t="shared" si="342"/>
        <v>13685.1901875</v>
      </c>
      <c r="BO190" s="27">
        <f t="shared" si="343"/>
        <v>25833.333333333336</v>
      </c>
      <c r="BP190" s="27" t="e">
        <f>+#REF!*Y190</f>
        <v>#REF!</v>
      </c>
      <c r="BQ190" s="27" t="e">
        <f t="shared" si="344"/>
        <v>#REF!</v>
      </c>
      <c r="BR190" s="27" t="e">
        <f t="shared" si="345"/>
        <v>#REF!</v>
      </c>
      <c r="BS190" s="27" t="e">
        <f t="shared" si="346"/>
        <v>#REF!</v>
      </c>
      <c r="BT190" s="27">
        <f t="shared" si="347"/>
        <v>0.75</v>
      </c>
      <c r="BU190" s="27">
        <f t="shared" si="348"/>
        <v>34444.444444444445</v>
      </c>
      <c r="BV190" s="27">
        <f t="shared" si="349"/>
        <v>13685.1901875</v>
      </c>
      <c r="BW190" s="27" t="e">
        <f>IF(H190="Bundled",+(BG190-#REF!)*Y190,(AP190+AQ190)-Y190*#REF!)</f>
        <v>#REF!</v>
      </c>
      <c r="BX190" s="27" t="e">
        <f t="shared" si="350"/>
        <v>#REF!</v>
      </c>
      <c r="BY190" s="27">
        <f t="shared" si="351"/>
        <v>18246.920249999999</v>
      </c>
      <c r="BZ190" s="27" t="e">
        <f t="shared" si="352"/>
        <v>#REF!</v>
      </c>
      <c r="CA190" s="27" t="e">
        <f t="shared" si="353"/>
        <v>#REF!</v>
      </c>
    </row>
    <row r="191" spans="1:79" s="16" customFormat="1" x14ac:dyDescent="0.3">
      <c r="A191" s="199" t="s">
        <v>249</v>
      </c>
      <c r="B191" s="81" t="s">
        <v>220</v>
      </c>
      <c r="C191" s="179" t="s">
        <v>330</v>
      </c>
      <c r="D191" s="179" t="s">
        <v>405</v>
      </c>
      <c r="E191" s="179"/>
      <c r="F191" s="179"/>
      <c r="G191" s="33" t="s">
        <v>11</v>
      </c>
      <c r="H191" s="34" t="s">
        <v>57</v>
      </c>
      <c r="I191" s="33" t="s">
        <v>3</v>
      </c>
      <c r="J191" s="33" t="s">
        <v>53</v>
      </c>
      <c r="K191" s="31" t="str">
        <f t="shared" si="321"/>
        <v>Sq Ft</v>
      </c>
      <c r="L191" s="33">
        <v>200</v>
      </c>
      <c r="M191" s="175">
        <v>200</v>
      </c>
      <c r="N191" s="176">
        <f t="shared" si="322"/>
        <v>0</v>
      </c>
      <c r="O191" s="175">
        <v>200</v>
      </c>
      <c r="P191" s="175"/>
      <c r="Q191" s="177">
        <f>(2300676)/200/12</f>
        <v>958.6149999999999</v>
      </c>
      <c r="R191" s="43" t="str">
        <f t="shared" si="323"/>
        <v>Rated</v>
      </c>
      <c r="S191" s="33" t="s">
        <v>54</v>
      </c>
      <c r="T191" s="34">
        <v>45</v>
      </c>
      <c r="U191" s="45">
        <v>56.12</v>
      </c>
      <c r="V191" s="46">
        <f t="shared" si="289"/>
        <v>-11.119999999999997</v>
      </c>
      <c r="W191" s="34"/>
      <c r="X191" s="34">
        <f t="shared" si="316"/>
        <v>0</v>
      </c>
      <c r="Y191" s="34">
        <f t="shared" si="290"/>
        <v>22.5</v>
      </c>
      <c r="Z191" s="65">
        <f>AG191/28/24</f>
        <v>12.645089285714285</v>
      </c>
      <c r="AA191" s="34">
        <f t="shared" si="291"/>
        <v>11.119999999999997</v>
      </c>
      <c r="AB191" s="47">
        <f t="shared" si="324"/>
        <v>0</v>
      </c>
      <c r="AC191" s="48" t="str">
        <f t="shared" si="325"/>
        <v>Metered</v>
      </c>
      <c r="AD191" s="34">
        <v>1</v>
      </c>
      <c r="AE191" s="34" t="s">
        <v>62</v>
      </c>
      <c r="AF191" s="49">
        <v>17.5</v>
      </c>
      <c r="AG191" s="368">
        <v>8497.5</v>
      </c>
      <c r="AH191" s="50"/>
      <c r="AI191" s="51"/>
      <c r="AJ191" s="34"/>
      <c r="AK191" s="34"/>
      <c r="AL191" s="34">
        <f t="shared" si="326"/>
        <v>0</v>
      </c>
      <c r="AM191" s="34"/>
      <c r="AN191" s="34"/>
      <c r="AO191" s="42">
        <f t="shared" ref="AO191:AO198" si="354">(0)/12</f>
        <v>0</v>
      </c>
      <c r="AP191" s="52">
        <f t="shared" si="327"/>
        <v>191722.99999999997</v>
      </c>
      <c r="AQ191" s="52">
        <f t="shared" si="328"/>
        <v>0</v>
      </c>
      <c r="AR191" s="53">
        <f t="shared" si="329"/>
        <v>148706.25</v>
      </c>
      <c r="AS191" s="52">
        <f t="shared" si="330"/>
        <v>0</v>
      </c>
      <c r="AT191" s="54">
        <f t="shared" si="331"/>
        <v>0</v>
      </c>
      <c r="AU191" s="55">
        <f t="shared" si="332"/>
        <v>340429.25</v>
      </c>
      <c r="AV191" s="55"/>
      <c r="AW191" s="67"/>
      <c r="AX191" s="68"/>
      <c r="AY191" s="69"/>
      <c r="AZ191" s="68"/>
      <c r="BA191" s="89"/>
      <c r="BB191" s="5"/>
      <c r="BC191" s="29">
        <f t="shared" si="333"/>
        <v>51064.387499999997</v>
      </c>
      <c r="BD191" s="29">
        <f t="shared" si="334"/>
        <v>15130.18888888889</v>
      </c>
      <c r="BE191" s="25">
        <f t="shared" si="335"/>
        <v>4883.9157714025505</v>
      </c>
      <c r="BF191" s="25">
        <f t="shared" si="336"/>
        <v>4883.9157714025505</v>
      </c>
      <c r="BG191" s="25">
        <f t="shared" si="337"/>
        <v>3899.6400097222222</v>
      </c>
      <c r="BH191" s="29"/>
      <c r="BI191" s="26">
        <f t="shared" si="338"/>
        <v>340429.25</v>
      </c>
      <c r="BJ191" s="26">
        <f t="shared" si="339"/>
        <v>191723</v>
      </c>
      <c r="BK191" s="26">
        <f>IF(H191="Bundled",MIN(Y191*$AG$1*(1+#REF!),BI191),AR191)</f>
        <v>148706.25</v>
      </c>
      <c r="BL191" s="27">
        <f t="shared" si="340"/>
        <v>230541.14514344261</v>
      </c>
      <c r="BM191" s="27">
        <f t="shared" si="341"/>
        <v>230541.14514344261</v>
      </c>
      <c r="BN191" s="27">
        <f t="shared" si="342"/>
        <v>348972.34978125</v>
      </c>
      <c r="BO191" s="27">
        <f t="shared" si="343"/>
        <v>109888.10485655739</v>
      </c>
      <c r="BP191" s="27" t="e">
        <f>+#REF!*Y191</f>
        <v>#REF!</v>
      </c>
      <c r="BQ191" s="27" t="e">
        <f t="shared" si="344"/>
        <v>#REF!</v>
      </c>
      <c r="BR191" s="27">
        <f t="shared" si="345"/>
        <v>-81834.895143442613</v>
      </c>
      <c r="BS191" s="27" t="e">
        <f t="shared" si="346"/>
        <v>#REF!</v>
      </c>
      <c r="BT191" s="27">
        <f t="shared" si="347"/>
        <v>22.5</v>
      </c>
      <c r="BU191" s="27">
        <f t="shared" si="348"/>
        <v>4883.9157714025505</v>
      </c>
      <c r="BV191" s="27">
        <f t="shared" si="349"/>
        <v>-81834.895143442613</v>
      </c>
      <c r="BW191" s="27" t="e">
        <f>IF(H191="Bundled",+(BG191-#REF!)*Y191,(AP191+AQ191)-Y191*#REF!)</f>
        <v>#REF!</v>
      </c>
      <c r="BX191" s="27" t="e">
        <f t="shared" si="350"/>
        <v>#REF!</v>
      </c>
      <c r="BY191" s="27">
        <f t="shared" si="351"/>
        <v>-3637.1064508196719</v>
      </c>
      <c r="BZ191" s="27" t="e">
        <f t="shared" si="352"/>
        <v>#REF!</v>
      </c>
      <c r="CA191" s="27" t="e">
        <f t="shared" si="353"/>
        <v>#REF!</v>
      </c>
    </row>
    <row r="192" spans="1:79" s="16" customFormat="1" x14ac:dyDescent="0.3">
      <c r="A192" s="199" t="s">
        <v>249</v>
      </c>
      <c r="B192" s="81" t="s">
        <v>225</v>
      </c>
      <c r="C192" s="179" t="s">
        <v>326</v>
      </c>
      <c r="D192" s="179" t="s">
        <v>405</v>
      </c>
      <c r="E192" s="179"/>
      <c r="F192" s="179"/>
      <c r="G192" s="33" t="s">
        <v>56</v>
      </c>
      <c r="H192" s="34" t="s">
        <v>57</v>
      </c>
      <c r="I192" s="33" t="s">
        <v>8</v>
      </c>
      <c r="J192" s="33" t="s">
        <v>61</v>
      </c>
      <c r="K192" s="31" t="str">
        <f t="shared" si="321"/>
        <v>No of Racks</v>
      </c>
      <c r="L192" s="33">
        <v>2</v>
      </c>
      <c r="M192" s="175">
        <v>2</v>
      </c>
      <c r="N192" s="176">
        <f t="shared" si="322"/>
        <v>0</v>
      </c>
      <c r="O192" s="175">
        <v>2</v>
      </c>
      <c r="P192" s="175"/>
      <c r="Q192" s="177">
        <f>(0)/12/2</f>
        <v>0</v>
      </c>
      <c r="R192" s="43" t="str">
        <f t="shared" si="323"/>
        <v>Subscribed</v>
      </c>
      <c r="S192" s="33" t="s">
        <v>58</v>
      </c>
      <c r="T192" s="34">
        <v>6</v>
      </c>
      <c r="U192" s="66">
        <f>Z192</f>
        <v>1.9095238095238096</v>
      </c>
      <c r="V192" s="46">
        <f t="shared" si="289"/>
        <v>4.0904761904761902</v>
      </c>
      <c r="W192" s="34"/>
      <c r="X192" s="34">
        <f t="shared" si="316"/>
        <v>4.0904761904761902</v>
      </c>
      <c r="Y192" s="34">
        <f t="shared" si="290"/>
        <v>6</v>
      </c>
      <c r="Z192" s="65">
        <f t="shared" ref="Z192:Z207" si="355">AG192/28/24</f>
        <v>1.9095238095238096</v>
      </c>
      <c r="AA192" s="34">
        <f t="shared" si="291"/>
        <v>0</v>
      </c>
      <c r="AB192" s="47">
        <f t="shared" si="324"/>
        <v>0</v>
      </c>
      <c r="AC192" s="48" t="str">
        <f t="shared" si="325"/>
        <v>Metered</v>
      </c>
      <c r="AD192" s="34">
        <v>1</v>
      </c>
      <c r="AE192" s="34" t="s">
        <v>62</v>
      </c>
      <c r="AF192" s="49">
        <v>0</v>
      </c>
      <c r="AG192" s="369">
        <v>1283.2</v>
      </c>
      <c r="AH192" s="50"/>
      <c r="AI192" s="51"/>
      <c r="AJ192" s="34"/>
      <c r="AK192" s="34"/>
      <c r="AL192" s="34">
        <f t="shared" si="326"/>
        <v>0</v>
      </c>
      <c r="AM192" s="34"/>
      <c r="AN192" s="34"/>
      <c r="AO192" s="42">
        <f t="shared" si="354"/>
        <v>0</v>
      </c>
      <c r="AP192" s="52">
        <f t="shared" si="327"/>
        <v>0</v>
      </c>
      <c r="AQ192" s="52">
        <f t="shared" si="328"/>
        <v>0</v>
      </c>
      <c r="AR192" s="53">
        <f t="shared" si="329"/>
        <v>0</v>
      </c>
      <c r="AS192" s="52">
        <f t="shared" si="330"/>
        <v>0</v>
      </c>
      <c r="AT192" s="54">
        <f t="shared" si="331"/>
        <v>0</v>
      </c>
      <c r="AU192" s="55">
        <f t="shared" si="332"/>
        <v>0</v>
      </c>
      <c r="AV192" s="55"/>
      <c r="AW192" s="67"/>
      <c r="AX192" s="68"/>
      <c r="AY192" s="69"/>
      <c r="AZ192" s="68"/>
      <c r="BA192" s="89"/>
      <c r="BB192" s="5"/>
      <c r="BC192" s="29">
        <f t="shared" si="333"/>
        <v>0</v>
      </c>
      <c r="BD192" s="29">
        <f t="shared" si="334"/>
        <v>0</v>
      </c>
      <c r="BE192" s="25">
        <f t="shared" si="335"/>
        <v>-5802.3025879781417</v>
      </c>
      <c r="BF192" s="25">
        <f t="shared" si="336"/>
        <v>-5802.3025879781417</v>
      </c>
      <c r="BG192" s="25">
        <f t="shared" si="337"/>
        <v>-15509.882212500001</v>
      </c>
      <c r="BH192" s="29"/>
      <c r="BI192" s="26">
        <f t="shared" si="338"/>
        <v>0</v>
      </c>
      <c r="BJ192" s="26">
        <f t="shared" si="339"/>
        <v>0</v>
      </c>
      <c r="BK192" s="26">
        <f>IF(H192="Bundled",MIN(Y192*$AG$1*(1+#REF!),BI192),AR192)</f>
        <v>0</v>
      </c>
      <c r="BL192" s="27">
        <f t="shared" si="340"/>
        <v>34813.81552786885</v>
      </c>
      <c r="BM192" s="27">
        <f t="shared" si="341"/>
        <v>34813.81552786885</v>
      </c>
      <c r="BN192" s="27">
        <f t="shared" si="342"/>
        <v>93059.293275000004</v>
      </c>
      <c r="BO192" s="27">
        <f t="shared" si="343"/>
        <v>-34813.81552786885</v>
      </c>
      <c r="BP192" s="27" t="e">
        <f>+#REF!*Y192</f>
        <v>#REF!</v>
      </c>
      <c r="BQ192" s="27" t="e">
        <f t="shared" si="344"/>
        <v>#REF!</v>
      </c>
      <c r="BR192" s="27">
        <f t="shared" si="345"/>
        <v>-34813.81552786885</v>
      </c>
      <c r="BS192" s="27" t="e">
        <f t="shared" si="346"/>
        <v>#REF!</v>
      </c>
      <c r="BT192" s="27">
        <f t="shared" si="347"/>
        <v>6</v>
      </c>
      <c r="BU192" s="27">
        <f t="shared" si="348"/>
        <v>-5802.3025879781417</v>
      </c>
      <c r="BV192" s="27">
        <f t="shared" si="349"/>
        <v>-34813.81552786885</v>
      </c>
      <c r="BW192" s="27" t="e">
        <f>IF(H192="Bundled",+(BG192-#REF!)*Y192,(AP192+AQ192)-Y192*#REF!)</f>
        <v>#REF!</v>
      </c>
      <c r="BX192" s="27" t="e">
        <f t="shared" si="350"/>
        <v>#REF!</v>
      </c>
      <c r="BY192" s="27">
        <f t="shared" si="351"/>
        <v>-5802.3025879781417</v>
      </c>
      <c r="BZ192" s="27" t="e">
        <f t="shared" si="352"/>
        <v>#REF!</v>
      </c>
      <c r="CA192" s="27" t="e">
        <f t="shared" si="353"/>
        <v>#REF!</v>
      </c>
    </row>
    <row r="193" spans="1:79" s="16" customFormat="1" x14ac:dyDescent="0.3">
      <c r="A193" s="199" t="s">
        <v>249</v>
      </c>
      <c r="B193" s="81" t="s">
        <v>222</v>
      </c>
      <c r="C193" s="179" t="s">
        <v>223</v>
      </c>
      <c r="D193" s="179" t="s">
        <v>405</v>
      </c>
      <c r="E193" s="179"/>
      <c r="F193" s="179"/>
      <c r="G193" s="33" t="s">
        <v>56</v>
      </c>
      <c r="H193" s="34" t="s">
        <v>57</v>
      </c>
      <c r="I193" s="33" t="s">
        <v>8</v>
      </c>
      <c r="J193" s="33" t="s">
        <v>61</v>
      </c>
      <c r="K193" s="31" t="str">
        <f t="shared" si="321"/>
        <v>No of Racks</v>
      </c>
      <c r="L193" s="33">
        <v>2</v>
      </c>
      <c r="M193" s="175">
        <v>2</v>
      </c>
      <c r="N193" s="176">
        <f t="shared" si="322"/>
        <v>0</v>
      </c>
      <c r="O193" s="175">
        <v>2</v>
      </c>
      <c r="P193" s="175"/>
      <c r="Q193" s="177">
        <f>(250000)/12</f>
        <v>20833.333333333332</v>
      </c>
      <c r="R193" s="43" t="str">
        <f t="shared" si="323"/>
        <v>Subscribed</v>
      </c>
      <c r="S193" s="33" t="s">
        <v>58</v>
      </c>
      <c r="T193" s="34">
        <v>6</v>
      </c>
      <c r="U193" s="66">
        <f>Z193</f>
        <v>3.2482142857142864</v>
      </c>
      <c r="V193" s="46">
        <f t="shared" si="289"/>
        <v>2.7517857142857136</v>
      </c>
      <c r="W193" s="34"/>
      <c r="X193" s="34">
        <f t="shared" si="316"/>
        <v>2.7517857142857136</v>
      </c>
      <c r="Y193" s="34">
        <f t="shared" si="290"/>
        <v>6</v>
      </c>
      <c r="Z193" s="65">
        <f t="shared" si="355"/>
        <v>3.2482142857142864</v>
      </c>
      <c r="AA193" s="34">
        <f t="shared" si="291"/>
        <v>0</v>
      </c>
      <c r="AB193" s="47">
        <f t="shared" si="324"/>
        <v>0</v>
      </c>
      <c r="AC193" s="48" t="str">
        <f t="shared" si="325"/>
        <v>Metered</v>
      </c>
      <c r="AD193" s="34">
        <v>1</v>
      </c>
      <c r="AE193" s="34" t="s">
        <v>62</v>
      </c>
      <c r="AF193" s="49">
        <v>0</v>
      </c>
      <c r="AG193" s="369">
        <v>2182.8000000000002</v>
      </c>
      <c r="AH193" s="50"/>
      <c r="AI193" s="51"/>
      <c r="AJ193" s="34"/>
      <c r="AK193" s="34"/>
      <c r="AL193" s="34">
        <f t="shared" si="326"/>
        <v>0</v>
      </c>
      <c r="AM193" s="34"/>
      <c r="AN193" s="34"/>
      <c r="AO193" s="42">
        <f t="shared" si="354"/>
        <v>0</v>
      </c>
      <c r="AP193" s="52">
        <f t="shared" si="327"/>
        <v>41666.666666666664</v>
      </c>
      <c r="AQ193" s="52">
        <f t="shared" si="328"/>
        <v>0</v>
      </c>
      <c r="AR193" s="53">
        <f t="shared" si="329"/>
        <v>0</v>
      </c>
      <c r="AS193" s="52">
        <f t="shared" si="330"/>
        <v>0</v>
      </c>
      <c r="AT193" s="54">
        <f t="shared" si="331"/>
        <v>0</v>
      </c>
      <c r="AU193" s="55">
        <f t="shared" si="332"/>
        <v>41666.666666666664</v>
      </c>
      <c r="AV193" s="55"/>
      <c r="AW193" s="67"/>
      <c r="AX193" s="68"/>
      <c r="AY193" s="69"/>
      <c r="AZ193" s="68"/>
      <c r="BA193" s="89"/>
      <c r="BB193" s="5"/>
      <c r="BC193" s="29">
        <f t="shared" si="333"/>
        <v>20833.333333333332</v>
      </c>
      <c r="BD193" s="29">
        <f t="shared" si="334"/>
        <v>6944.4444444444443</v>
      </c>
      <c r="BE193" s="25">
        <f t="shared" si="335"/>
        <v>-2925.6195276867052</v>
      </c>
      <c r="BF193" s="25">
        <f t="shared" si="336"/>
        <v>-2925.6195276867052</v>
      </c>
      <c r="BG193" s="25">
        <f t="shared" si="337"/>
        <v>-8565.4377680555572</v>
      </c>
      <c r="BH193" s="29"/>
      <c r="BI193" s="26">
        <f t="shared" si="338"/>
        <v>41666.666666666664</v>
      </c>
      <c r="BJ193" s="26">
        <f t="shared" si="339"/>
        <v>41666.666666666664</v>
      </c>
      <c r="BK193" s="26">
        <f>IF(H193="Bundled",MIN(Y193*$AG$1*(1+#REF!),BI193),AR193)</f>
        <v>0</v>
      </c>
      <c r="BL193" s="27">
        <f t="shared" si="340"/>
        <v>59220.383832786894</v>
      </c>
      <c r="BM193" s="27">
        <f t="shared" si="341"/>
        <v>59220.383832786894</v>
      </c>
      <c r="BN193" s="27">
        <f t="shared" si="342"/>
        <v>93059.293275000004</v>
      </c>
      <c r="BO193" s="27">
        <f t="shared" si="343"/>
        <v>-17553.71716612023</v>
      </c>
      <c r="BP193" s="27" t="e">
        <f>+#REF!*Y193</f>
        <v>#REF!</v>
      </c>
      <c r="BQ193" s="27" t="e">
        <f t="shared" si="344"/>
        <v>#REF!</v>
      </c>
      <c r="BR193" s="27">
        <f t="shared" si="345"/>
        <v>-59220.383832786894</v>
      </c>
      <c r="BS193" s="27" t="e">
        <f t="shared" si="346"/>
        <v>#REF!</v>
      </c>
      <c r="BT193" s="27">
        <f t="shared" si="347"/>
        <v>6</v>
      </c>
      <c r="BU193" s="27">
        <f t="shared" si="348"/>
        <v>-2925.6195276867052</v>
      </c>
      <c r="BV193" s="27">
        <f t="shared" si="349"/>
        <v>-59220.383832786894</v>
      </c>
      <c r="BW193" s="27" t="e">
        <f>IF(H193="Bundled",+(BG193-#REF!)*Y193,(AP193+AQ193)-Y193*#REF!)</f>
        <v>#REF!</v>
      </c>
      <c r="BX193" s="27" t="e">
        <f t="shared" si="350"/>
        <v>#REF!</v>
      </c>
      <c r="BY193" s="27">
        <f t="shared" si="351"/>
        <v>-9870.0639721311491</v>
      </c>
      <c r="BZ193" s="27" t="e">
        <f t="shared" si="352"/>
        <v>#REF!</v>
      </c>
      <c r="CA193" s="27" t="e">
        <f t="shared" si="353"/>
        <v>#REF!</v>
      </c>
    </row>
    <row r="194" spans="1:79" s="16" customFormat="1" x14ac:dyDescent="0.3">
      <c r="A194" s="199" t="s">
        <v>249</v>
      </c>
      <c r="B194" s="81" t="s">
        <v>400</v>
      </c>
      <c r="C194" s="179" t="s">
        <v>223</v>
      </c>
      <c r="D194" s="179" t="s">
        <v>405</v>
      </c>
      <c r="E194" s="179"/>
      <c r="F194" s="179"/>
      <c r="G194" s="33" t="s">
        <v>56</v>
      </c>
      <c r="H194" s="34" t="s">
        <v>57</v>
      </c>
      <c r="I194" s="33" t="s">
        <v>8</v>
      </c>
      <c r="J194" s="33" t="s">
        <v>61</v>
      </c>
      <c r="K194" s="31" t="str">
        <f t="shared" si="321"/>
        <v>No of Racks</v>
      </c>
      <c r="L194" s="33">
        <v>1</v>
      </c>
      <c r="M194" s="175">
        <v>1</v>
      </c>
      <c r="N194" s="176">
        <f t="shared" si="322"/>
        <v>0</v>
      </c>
      <c r="O194" s="175">
        <v>1</v>
      </c>
      <c r="P194" s="175"/>
      <c r="Q194" s="177"/>
      <c r="R194" s="43" t="str">
        <f t="shared" si="323"/>
        <v>Subscribed</v>
      </c>
      <c r="S194" s="33" t="s">
        <v>58</v>
      </c>
      <c r="T194" s="34">
        <v>6</v>
      </c>
      <c r="U194" s="66">
        <f>Z194</f>
        <v>1.5248511904761906</v>
      </c>
      <c r="V194" s="46">
        <f t="shared" si="289"/>
        <v>4.4751488095238097</v>
      </c>
      <c r="W194" s="34"/>
      <c r="X194" s="34">
        <f t="shared" si="316"/>
        <v>4.4751488095238097</v>
      </c>
      <c r="Y194" s="34">
        <f t="shared" si="290"/>
        <v>6</v>
      </c>
      <c r="Z194" s="65">
        <f t="shared" si="355"/>
        <v>1.5248511904761906</v>
      </c>
      <c r="AA194" s="34">
        <f t="shared" si="291"/>
        <v>0</v>
      </c>
      <c r="AB194" s="47">
        <f t="shared" si="324"/>
        <v>0</v>
      </c>
      <c r="AC194" s="48" t="str">
        <f t="shared" si="325"/>
        <v>Metered</v>
      </c>
      <c r="AD194" s="34">
        <v>1</v>
      </c>
      <c r="AE194" s="34" t="s">
        <v>62</v>
      </c>
      <c r="AF194" s="49">
        <v>0</v>
      </c>
      <c r="AG194" s="369">
        <v>1024.7</v>
      </c>
      <c r="AH194" s="50"/>
      <c r="AI194" s="51"/>
      <c r="AJ194" s="34"/>
      <c r="AK194" s="34"/>
      <c r="AL194" s="34">
        <f t="shared" si="326"/>
        <v>0</v>
      </c>
      <c r="AM194" s="34"/>
      <c r="AN194" s="34"/>
      <c r="AO194" s="42">
        <f t="shared" si="354"/>
        <v>0</v>
      </c>
      <c r="AP194" s="52">
        <f t="shared" si="327"/>
        <v>0</v>
      </c>
      <c r="AQ194" s="52">
        <f t="shared" si="328"/>
        <v>0</v>
      </c>
      <c r="AR194" s="53">
        <f t="shared" si="329"/>
        <v>0</v>
      </c>
      <c r="AS194" s="52">
        <f t="shared" si="330"/>
        <v>0</v>
      </c>
      <c r="AT194" s="54">
        <f t="shared" si="331"/>
        <v>0</v>
      </c>
      <c r="AU194" s="55">
        <f t="shared" si="332"/>
        <v>0</v>
      </c>
      <c r="AV194" s="55"/>
      <c r="AW194" s="67"/>
      <c r="AX194" s="68"/>
      <c r="AY194" s="69"/>
      <c r="AZ194" s="68"/>
      <c r="BA194" s="89"/>
      <c r="BB194" s="5"/>
      <c r="BC194" s="29">
        <f t="shared" si="333"/>
        <v>0</v>
      </c>
      <c r="BD194" s="29">
        <f t="shared" si="334"/>
        <v>0</v>
      </c>
      <c r="BE194" s="25">
        <f t="shared" si="335"/>
        <v>-4633.4316255464482</v>
      </c>
      <c r="BF194" s="25">
        <f t="shared" si="336"/>
        <v>-4633.4316255464482</v>
      </c>
      <c r="BG194" s="25">
        <f t="shared" si="337"/>
        <v>-15509.882212500001</v>
      </c>
      <c r="BH194" s="29"/>
      <c r="BI194" s="26">
        <f t="shared" si="338"/>
        <v>0</v>
      </c>
      <c r="BJ194" s="26">
        <f t="shared" si="339"/>
        <v>0</v>
      </c>
      <c r="BK194" s="26">
        <f>IF(H194="Bundled",MIN(Y194*$AG$1*(1+#REF!),BI194),AR194)</f>
        <v>0</v>
      </c>
      <c r="BL194" s="27">
        <f t="shared" si="340"/>
        <v>27800.589753278688</v>
      </c>
      <c r="BM194" s="27">
        <f t="shared" si="341"/>
        <v>27800.589753278688</v>
      </c>
      <c r="BN194" s="27">
        <f t="shared" si="342"/>
        <v>93059.293275000004</v>
      </c>
      <c r="BO194" s="27">
        <f t="shared" si="343"/>
        <v>-27800.589753278691</v>
      </c>
      <c r="BP194" s="27" t="e">
        <f>+#REF!*Y194</f>
        <v>#REF!</v>
      </c>
      <c r="BQ194" s="27" t="e">
        <f t="shared" si="344"/>
        <v>#REF!</v>
      </c>
      <c r="BR194" s="27">
        <f t="shared" si="345"/>
        <v>-27800.589753278688</v>
      </c>
      <c r="BS194" s="27" t="e">
        <f t="shared" si="346"/>
        <v>#REF!</v>
      </c>
      <c r="BT194" s="27">
        <f t="shared" si="347"/>
        <v>6</v>
      </c>
      <c r="BU194" s="27">
        <f t="shared" si="348"/>
        <v>-4633.4316255464482</v>
      </c>
      <c r="BV194" s="27">
        <f t="shared" si="349"/>
        <v>-27800.589753278688</v>
      </c>
      <c r="BW194" s="27" t="e">
        <f>IF(H194="Bundled",+(BG194-#REF!)*Y194,(AP194+AQ194)-Y194*#REF!)</f>
        <v>#REF!</v>
      </c>
      <c r="BX194" s="27" t="e">
        <f t="shared" si="350"/>
        <v>#REF!</v>
      </c>
      <c r="BY194" s="27">
        <f t="shared" si="351"/>
        <v>-4633.4316255464482</v>
      </c>
      <c r="BZ194" s="27" t="e">
        <f t="shared" si="352"/>
        <v>#REF!</v>
      </c>
      <c r="CA194" s="27" t="e">
        <f t="shared" si="353"/>
        <v>#REF!</v>
      </c>
    </row>
    <row r="195" spans="1:79" s="16" customFormat="1" x14ac:dyDescent="0.3">
      <c r="A195" s="199" t="s">
        <v>249</v>
      </c>
      <c r="B195" s="81" t="s">
        <v>408</v>
      </c>
      <c r="C195" s="179" t="s">
        <v>223</v>
      </c>
      <c r="D195" s="179" t="s">
        <v>405</v>
      </c>
      <c r="E195" s="179"/>
      <c r="F195" s="179"/>
      <c r="G195" s="33" t="s">
        <v>56</v>
      </c>
      <c r="H195" s="34" t="s">
        <v>57</v>
      </c>
      <c r="I195" s="33" t="s">
        <v>8</v>
      </c>
      <c r="J195" s="33" t="s">
        <v>61</v>
      </c>
      <c r="K195" s="31" t="str">
        <f t="shared" si="321"/>
        <v>No of Racks</v>
      </c>
      <c r="L195" s="33">
        <v>1</v>
      </c>
      <c r="M195" s="175">
        <v>1</v>
      </c>
      <c r="N195" s="176">
        <f t="shared" si="322"/>
        <v>0</v>
      </c>
      <c r="O195" s="175">
        <v>1</v>
      </c>
      <c r="P195" s="175"/>
      <c r="Q195" s="177"/>
      <c r="R195" s="43" t="str">
        <f t="shared" si="323"/>
        <v>Subscribed</v>
      </c>
      <c r="S195" s="33" t="s">
        <v>58</v>
      </c>
      <c r="T195" s="34">
        <v>6</v>
      </c>
      <c r="U195" s="66">
        <f>Z195</f>
        <v>1.6049107142857144</v>
      </c>
      <c r="V195" s="46">
        <f t="shared" si="289"/>
        <v>4.3950892857142856</v>
      </c>
      <c r="W195" s="34"/>
      <c r="X195" s="34">
        <f t="shared" si="316"/>
        <v>4.3950892857142856</v>
      </c>
      <c r="Y195" s="34">
        <f t="shared" si="290"/>
        <v>6</v>
      </c>
      <c r="Z195" s="65">
        <f t="shared" si="355"/>
        <v>1.6049107142857144</v>
      </c>
      <c r="AA195" s="34">
        <f t="shared" si="291"/>
        <v>0</v>
      </c>
      <c r="AB195" s="47">
        <f t="shared" si="324"/>
        <v>0</v>
      </c>
      <c r="AC195" s="48" t="str">
        <f t="shared" si="325"/>
        <v>Metered</v>
      </c>
      <c r="AD195" s="34">
        <v>1</v>
      </c>
      <c r="AE195" s="34" t="s">
        <v>62</v>
      </c>
      <c r="AF195" s="49">
        <v>0</v>
      </c>
      <c r="AG195" s="369">
        <v>1078.5</v>
      </c>
      <c r="AH195" s="50"/>
      <c r="AI195" s="51"/>
      <c r="AJ195" s="34"/>
      <c r="AK195" s="34"/>
      <c r="AL195" s="34">
        <f t="shared" si="326"/>
        <v>0</v>
      </c>
      <c r="AM195" s="34"/>
      <c r="AN195" s="34"/>
      <c r="AO195" s="42">
        <f t="shared" si="354"/>
        <v>0</v>
      </c>
      <c r="AP195" s="52">
        <f t="shared" si="327"/>
        <v>0</v>
      </c>
      <c r="AQ195" s="52">
        <f t="shared" si="328"/>
        <v>0</v>
      </c>
      <c r="AR195" s="53">
        <f t="shared" si="329"/>
        <v>0</v>
      </c>
      <c r="AS195" s="52">
        <f t="shared" si="330"/>
        <v>0</v>
      </c>
      <c r="AT195" s="54">
        <f t="shared" si="331"/>
        <v>0</v>
      </c>
      <c r="AU195" s="55">
        <f t="shared" si="332"/>
        <v>0</v>
      </c>
      <c r="AV195" s="55"/>
      <c r="AW195" s="67"/>
      <c r="AX195" s="68"/>
      <c r="AY195" s="69"/>
      <c r="AZ195" s="68"/>
      <c r="BA195" s="89"/>
      <c r="BB195" s="5"/>
      <c r="BC195" s="29">
        <f t="shared" si="333"/>
        <v>0</v>
      </c>
      <c r="BD195" s="29">
        <f t="shared" si="334"/>
        <v>0</v>
      </c>
      <c r="BE195" s="25">
        <f t="shared" si="335"/>
        <v>-4876.7014815573775</v>
      </c>
      <c r="BF195" s="25">
        <f t="shared" si="336"/>
        <v>-4876.7014815573775</v>
      </c>
      <c r="BG195" s="25">
        <f t="shared" si="337"/>
        <v>-15509.882212500001</v>
      </c>
      <c r="BH195" s="29"/>
      <c r="BI195" s="26">
        <f t="shared" si="338"/>
        <v>0</v>
      </c>
      <c r="BJ195" s="26">
        <f t="shared" si="339"/>
        <v>0</v>
      </c>
      <c r="BK195" s="26">
        <f>IF(H195="Bundled",MIN(Y195*$AG$1*(1+#REF!),BI195),AR195)</f>
        <v>0</v>
      </c>
      <c r="BL195" s="27">
        <f t="shared" si="340"/>
        <v>29260.208889344263</v>
      </c>
      <c r="BM195" s="27">
        <f t="shared" si="341"/>
        <v>29260.208889344263</v>
      </c>
      <c r="BN195" s="27">
        <f t="shared" si="342"/>
        <v>93059.293275000004</v>
      </c>
      <c r="BO195" s="27">
        <f t="shared" si="343"/>
        <v>-29260.208889344263</v>
      </c>
      <c r="BP195" s="27" t="e">
        <f>+#REF!*Y195</f>
        <v>#REF!</v>
      </c>
      <c r="BQ195" s="27" t="e">
        <f t="shared" si="344"/>
        <v>#REF!</v>
      </c>
      <c r="BR195" s="27">
        <f t="shared" si="345"/>
        <v>-29260.208889344263</v>
      </c>
      <c r="BS195" s="27" t="e">
        <f t="shared" si="346"/>
        <v>#REF!</v>
      </c>
      <c r="BT195" s="27">
        <f t="shared" si="347"/>
        <v>6</v>
      </c>
      <c r="BU195" s="27">
        <f t="shared" si="348"/>
        <v>-4876.7014815573775</v>
      </c>
      <c r="BV195" s="27">
        <f t="shared" si="349"/>
        <v>-29260.208889344263</v>
      </c>
      <c r="BW195" s="27" t="e">
        <f>IF(H195="Bundled",+(BG195-#REF!)*Y195,(AP195+AQ195)-Y195*#REF!)</f>
        <v>#REF!</v>
      </c>
      <c r="BX195" s="27" t="e">
        <f t="shared" si="350"/>
        <v>#REF!</v>
      </c>
      <c r="BY195" s="27">
        <f t="shared" si="351"/>
        <v>-4876.7014815573775</v>
      </c>
      <c r="BZ195" s="27" t="e">
        <f t="shared" si="352"/>
        <v>#REF!</v>
      </c>
      <c r="CA195" s="27" t="e">
        <f t="shared" si="353"/>
        <v>#REF!</v>
      </c>
    </row>
    <row r="196" spans="1:79" s="16" customFormat="1" ht="26" x14ac:dyDescent="0.3">
      <c r="A196" s="199" t="s">
        <v>249</v>
      </c>
      <c r="B196" s="81" t="s">
        <v>224</v>
      </c>
      <c r="C196" s="179" t="s">
        <v>506</v>
      </c>
      <c r="D196" s="179" t="s">
        <v>405</v>
      </c>
      <c r="E196" s="179"/>
      <c r="F196" s="179"/>
      <c r="G196" s="33" t="s">
        <v>11</v>
      </c>
      <c r="H196" s="34" t="s">
        <v>52</v>
      </c>
      <c r="I196" s="33" t="s">
        <v>8</v>
      </c>
      <c r="J196" s="33" t="s">
        <v>61</v>
      </c>
      <c r="K196" s="31" t="str">
        <f t="shared" si="321"/>
        <v>No of Racks</v>
      </c>
      <c r="L196" s="33">
        <v>1</v>
      </c>
      <c r="M196" s="175">
        <v>1</v>
      </c>
      <c r="N196" s="176">
        <f t="shared" si="322"/>
        <v>0</v>
      </c>
      <c r="O196" s="175">
        <v>1</v>
      </c>
      <c r="P196" s="175"/>
      <c r="Q196" s="177">
        <f>(260000)/12</f>
        <v>21666.666666666668</v>
      </c>
      <c r="R196" s="43" t="str">
        <f t="shared" si="323"/>
        <v>Rated</v>
      </c>
      <c r="S196" s="33" t="s">
        <v>54</v>
      </c>
      <c r="T196" s="34">
        <v>6</v>
      </c>
      <c r="U196" s="45">
        <v>7.72</v>
      </c>
      <c r="V196" s="46">
        <f t="shared" si="289"/>
        <v>-1.7199999999999998</v>
      </c>
      <c r="W196" s="34"/>
      <c r="X196" s="34">
        <f t="shared" si="316"/>
        <v>0</v>
      </c>
      <c r="Y196" s="34">
        <f t="shared" si="290"/>
        <v>3</v>
      </c>
      <c r="Z196" s="65">
        <f t="shared" si="355"/>
        <v>2.0416666666666665</v>
      </c>
      <c r="AA196" s="34">
        <f t="shared" si="291"/>
        <v>1.7199999999999998</v>
      </c>
      <c r="AB196" s="47">
        <f t="shared" si="324"/>
        <v>0</v>
      </c>
      <c r="AC196" s="48" t="str">
        <f t="shared" si="325"/>
        <v>Bundled</v>
      </c>
      <c r="AD196" s="34"/>
      <c r="AE196" s="34"/>
      <c r="AF196" s="49"/>
      <c r="AG196" s="34">
        <v>1372</v>
      </c>
      <c r="AH196" s="50"/>
      <c r="AI196" s="51"/>
      <c r="AJ196" s="34"/>
      <c r="AK196" s="34"/>
      <c r="AL196" s="34">
        <f t="shared" si="326"/>
        <v>0</v>
      </c>
      <c r="AM196" s="34"/>
      <c r="AN196" s="34"/>
      <c r="AO196" s="42">
        <f t="shared" si="354"/>
        <v>0</v>
      </c>
      <c r="AP196" s="52">
        <f t="shared" si="327"/>
        <v>21666.666666666668</v>
      </c>
      <c r="AQ196" s="52">
        <f t="shared" si="328"/>
        <v>0</v>
      </c>
      <c r="AR196" s="53">
        <f t="shared" si="329"/>
        <v>0</v>
      </c>
      <c r="AS196" s="52">
        <f t="shared" si="330"/>
        <v>0</v>
      </c>
      <c r="AT196" s="54">
        <f t="shared" si="331"/>
        <v>0</v>
      </c>
      <c r="AU196" s="55">
        <f t="shared" si="332"/>
        <v>21666.666666666668</v>
      </c>
      <c r="AV196" s="55"/>
      <c r="AW196" s="67"/>
      <c r="AX196" s="68"/>
      <c r="AY196" s="69"/>
      <c r="AZ196" s="68"/>
      <c r="BA196" s="89"/>
      <c r="BB196" s="5"/>
      <c r="BC196" s="29">
        <f t="shared" si="333"/>
        <v>21666.666666666668</v>
      </c>
      <c r="BD196" s="29">
        <f t="shared" si="334"/>
        <v>7222.2222222222226</v>
      </c>
      <c r="BE196" s="25">
        <f t="shared" si="335"/>
        <v>-5185.4447832422584</v>
      </c>
      <c r="BF196" s="25">
        <f t="shared" si="336"/>
        <v>-5185.4447832422584</v>
      </c>
      <c r="BG196" s="25">
        <f t="shared" si="337"/>
        <v>-11024.698027777777</v>
      </c>
      <c r="BH196" s="29"/>
      <c r="BI196" s="26">
        <f t="shared" si="338"/>
        <v>21666.666666666668</v>
      </c>
      <c r="BJ196" s="26" t="e">
        <f t="shared" si="339"/>
        <v>#REF!</v>
      </c>
      <c r="BK196" s="26" t="e">
        <f>IF(H196="Bundled",MIN(Y196*$AG$1*(1+#REF!),BI196),AR196)</f>
        <v>#REF!</v>
      </c>
      <c r="BL196" s="27">
        <f t="shared" si="340"/>
        <v>37223.001016393442</v>
      </c>
      <c r="BM196" s="27">
        <f t="shared" si="341"/>
        <v>37223.001016393442</v>
      </c>
      <c r="BN196" s="27">
        <f t="shared" si="342"/>
        <v>54740.760750000001</v>
      </c>
      <c r="BO196" s="27">
        <f t="shared" si="343"/>
        <v>-15556.334349726774</v>
      </c>
      <c r="BP196" s="27" t="e">
        <f>+#REF!*Y196</f>
        <v>#REF!</v>
      </c>
      <c r="BQ196" s="27" t="e">
        <f t="shared" si="344"/>
        <v>#REF!</v>
      </c>
      <c r="BR196" s="27" t="e">
        <f t="shared" si="345"/>
        <v>#REF!</v>
      </c>
      <c r="BS196" s="27" t="e">
        <f t="shared" si="346"/>
        <v>#REF!</v>
      </c>
      <c r="BT196" s="27">
        <f t="shared" si="347"/>
        <v>3</v>
      </c>
      <c r="BU196" s="27">
        <f t="shared" si="348"/>
        <v>-5185.4447832422584</v>
      </c>
      <c r="BV196" s="27">
        <f t="shared" si="349"/>
        <v>17517.759733606559</v>
      </c>
      <c r="BW196" s="27" t="e">
        <f>IF(H196="Bundled",+(BG196-#REF!)*Y196,(AP196+AQ196)-Y196*#REF!)</f>
        <v>#REF!</v>
      </c>
      <c r="BX196" s="27" t="e">
        <f t="shared" si="350"/>
        <v>#REF!</v>
      </c>
      <c r="BY196" s="27">
        <f t="shared" si="351"/>
        <v>5839.25324453552</v>
      </c>
      <c r="BZ196" s="27" t="e">
        <f t="shared" si="352"/>
        <v>#REF!</v>
      </c>
      <c r="CA196" s="27" t="e">
        <f t="shared" si="353"/>
        <v>#REF!</v>
      </c>
    </row>
    <row r="197" spans="1:79" s="16" customFormat="1" x14ac:dyDescent="0.3">
      <c r="A197" s="199" t="s">
        <v>249</v>
      </c>
      <c r="B197" s="81" t="s">
        <v>228</v>
      </c>
      <c r="C197" s="180" t="s">
        <v>339</v>
      </c>
      <c r="D197" s="180" t="s">
        <v>404</v>
      </c>
      <c r="E197" s="180"/>
      <c r="F197" s="180"/>
      <c r="G197" s="33" t="s">
        <v>11</v>
      </c>
      <c r="H197" s="34" t="s">
        <v>52</v>
      </c>
      <c r="I197" s="33" t="s">
        <v>8</v>
      </c>
      <c r="J197" s="33" t="s">
        <v>61</v>
      </c>
      <c r="K197" s="31" t="str">
        <f t="shared" si="321"/>
        <v>No of Racks</v>
      </c>
      <c r="L197" s="33">
        <v>1</v>
      </c>
      <c r="M197" s="175">
        <v>1</v>
      </c>
      <c r="N197" s="176">
        <f t="shared" si="322"/>
        <v>0</v>
      </c>
      <c r="O197" s="175">
        <v>1</v>
      </c>
      <c r="P197" s="175"/>
      <c r="Q197" s="177">
        <f>(485000)/12</f>
        <v>40416.666666666664</v>
      </c>
      <c r="R197" s="43" t="str">
        <f t="shared" si="323"/>
        <v>Rated</v>
      </c>
      <c r="S197" s="33" t="s">
        <v>54</v>
      </c>
      <c r="T197" s="34">
        <v>3</v>
      </c>
      <c r="U197" s="45">
        <v>3.6</v>
      </c>
      <c r="V197" s="46">
        <f t="shared" si="289"/>
        <v>-0.60000000000000009</v>
      </c>
      <c r="W197" s="34"/>
      <c r="X197" s="34">
        <f t="shared" si="316"/>
        <v>0</v>
      </c>
      <c r="Y197" s="34">
        <f t="shared" si="290"/>
        <v>1.5</v>
      </c>
      <c r="Z197" s="65">
        <f t="shared" si="355"/>
        <v>0.73630952380952375</v>
      </c>
      <c r="AA197" s="34">
        <f t="shared" si="291"/>
        <v>0.60000000000000009</v>
      </c>
      <c r="AB197" s="47">
        <f>0/12</f>
        <v>0</v>
      </c>
      <c r="AC197" s="48" t="str">
        <f t="shared" si="325"/>
        <v>Bundled</v>
      </c>
      <c r="AD197" s="34"/>
      <c r="AE197" s="34"/>
      <c r="AF197" s="49"/>
      <c r="AG197" s="34">
        <v>494.8</v>
      </c>
      <c r="AH197" s="50"/>
      <c r="AI197" s="51"/>
      <c r="AJ197" s="34"/>
      <c r="AK197" s="34"/>
      <c r="AL197" s="34">
        <f t="shared" si="326"/>
        <v>0</v>
      </c>
      <c r="AM197" s="34"/>
      <c r="AN197" s="34"/>
      <c r="AO197" s="42">
        <f t="shared" si="354"/>
        <v>0</v>
      </c>
      <c r="AP197" s="52">
        <f t="shared" si="327"/>
        <v>40416.666666666664</v>
      </c>
      <c r="AQ197" s="52">
        <f t="shared" si="328"/>
        <v>0</v>
      </c>
      <c r="AR197" s="53">
        <f t="shared" si="329"/>
        <v>0</v>
      </c>
      <c r="AS197" s="52">
        <f t="shared" si="330"/>
        <v>0</v>
      </c>
      <c r="AT197" s="54">
        <f t="shared" si="331"/>
        <v>0</v>
      </c>
      <c r="AU197" s="55">
        <f t="shared" si="332"/>
        <v>40416.666666666664</v>
      </c>
      <c r="AV197" s="55"/>
      <c r="AW197" s="67"/>
      <c r="AX197" s="68"/>
      <c r="AY197" s="69"/>
      <c r="AZ197" s="68"/>
      <c r="BA197" s="89"/>
      <c r="BB197" s="5"/>
      <c r="BC197" s="29">
        <f t="shared" si="333"/>
        <v>40416.666666666664</v>
      </c>
      <c r="BD197" s="29">
        <f t="shared" si="334"/>
        <v>26944.444444444442</v>
      </c>
      <c r="BE197" s="25">
        <f t="shared" si="335"/>
        <v>17995.007659744988</v>
      </c>
      <c r="BF197" s="25">
        <f t="shared" si="336"/>
        <v>17995.007659744988</v>
      </c>
      <c r="BG197" s="25">
        <f t="shared" si="337"/>
        <v>8697.5241944444424</v>
      </c>
      <c r="BH197" s="29"/>
      <c r="BI197" s="26">
        <f t="shared" si="338"/>
        <v>40416.666666666664</v>
      </c>
      <c r="BJ197" s="26" t="e">
        <f t="shared" si="339"/>
        <v>#REF!</v>
      </c>
      <c r="BK197" s="26" t="e">
        <f>IF(H197="Bundled",MIN(Y197*$AG$1*(1+#REF!),BI197),AR197)</f>
        <v>#REF!</v>
      </c>
      <c r="BL197" s="27">
        <f t="shared" si="340"/>
        <v>13424.155177049182</v>
      </c>
      <c r="BM197" s="27">
        <f t="shared" si="341"/>
        <v>13424.155177049182</v>
      </c>
      <c r="BN197" s="27">
        <f t="shared" si="342"/>
        <v>27370.380375000001</v>
      </c>
      <c r="BO197" s="27">
        <f t="shared" si="343"/>
        <v>26992.511489617482</v>
      </c>
      <c r="BP197" s="27" t="e">
        <f>+#REF!*Y197</f>
        <v>#REF!</v>
      </c>
      <c r="BQ197" s="27" t="e">
        <f t="shared" si="344"/>
        <v>#REF!</v>
      </c>
      <c r="BR197" s="27" t="e">
        <f t="shared" si="345"/>
        <v>#REF!</v>
      </c>
      <c r="BS197" s="27" t="e">
        <f t="shared" si="346"/>
        <v>#REF!</v>
      </c>
      <c r="BT197" s="27">
        <f t="shared" si="347"/>
        <v>1.5</v>
      </c>
      <c r="BU197" s="27">
        <f t="shared" si="348"/>
        <v>17995.007659744988</v>
      </c>
      <c r="BV197" s="27">
        <f t="shared" si="349"/>
        <v>13946.225197950818</v>
      </c>
      <c r="BW197" s="27" t="e">
        <f>IF(H197="Bundled",+(BG197-#REF!)*Y197,(AP197+AQ197)-Y197*#REF!)</f>
        <v>#REF!</v>
      </c>
      <c r="BX197" s="27" t="e">
        <f t="shared" si="350"/>
        <v>#REF!</v>
      </c>
      <c r="BY197" s="27">
        <f t="shared" si="351"/>
        <v>9297.4834653005455</v>
      </c>
      <c r="BZ197" s="27" t="e">
        <f t="shared" si="352"/>
        <v>#REF!</v>
      </c>
      <c r="CA197" s="27" t="e">
        <f t="shared" si="353"/>
        <v>#REF!</v>
      </c>
    </row>
    <row r="198" spans="1:79" s="16" customFormat="1" ht="26" x14ac:dyDescent="0.3">
      <c r="A198" s="199" t="s">
        <v>249</v>
      </c>
      <c r="B198" s="32" t="s">
        <v>483</v>
      </c>
      <c r="C198" s="32" t="s">
        <v>310</v>
      </c>
      <c r="D198" s="32" t="s">
        <v>405</v>
      </c>
      <c r="E198" s="32"/>
      <c r="F198" s="32"/>
      <c r="G198" s="33" t="s">
        <v>56</v>
      </c>
      <c r="H198" s="34" t="s">
        <v>57</v>
      </c>
      <c r="I198" s="33" t="s">
        <v>3</v>
      </c>
      <c r="J198" s="33" t="s">
        <v>53</v>
      </c>
      <c r="K198" s="31" t="str">
        <f t="shared" si="321"/>
        <v>Sq Ft</v>
      </c>
      <c r="L198" s="33">
        <v>231</v>
      </c>
      <c r="M198" s="33">
        <v>231</v>
      </c>
      <c r="N198" s="35">
        <v>0</v>
      </c>
      <c r="O198" s="33">
        <v>2</v>
      </c>
      <c r="P198" s="33"/>
      <c r="Q198" s="42">
        <f>(0)/12</f>
        <v>0</v>
      </c>
      <c r="R198" s="43" t="str">
        <f t="shared" si="323"/>
        <v>Subscribed</v>
      </c>
      <c r="S198" s="33" t="s">
        <v>58</v>
      </c>
      <c r="T198" s="34">
        <v>30</v>
      </c>
      <c r="U198" s="66">
        <f t="shared" ref="U198:U205" si="356">Z198</f>
        <v>16.651190476190475</v>
      </c>
      <c r="V198" s="46">
        <f t="shared" si="289"/>
        <v>13.348809523809525</v>
      </c>
      <c r="W198" s="34"/>
      <c r="X198" s="34">
        <f t="shared" si="316"/>
        <v>13.348809523809525</v>
      </c>
      <c r="Y198" s="34">
        <f t="shared" si="290"/>
        <v>30</v>
      </c>
      <c r="Z198" s="65">
        <f t="shared" si="355"/>
        <v>16.651190476190475</v>
      </c>
      <c r="AA198" s="34">
        <f t="shared" si="291"/>
        <v>0</v>
      </c>
      <c r="AB198" s="47">
        <f>0/12</f>
        <v>0</v>
      </c>
      <c r="AC198" s="48" t="str">
        <f t="shared" si="325"/>
        <v>Metered</v>
      </c>
      <c r="AD198" s="34"/>
      <c r="AE198" s="34" t="s">
        <v>62</v>
      </c>
      <c r="AF198" s="49">
        <v>0</v>
      </c>
      <c r="AG198" s="34">
        <v>11189.6</v>
      </c>
      <c r="AH198" s="50"/>
      <c r="AI198" s="51"/>
      <c r="AJ198" s="34"/>
      <c r="AK198" s="34"/>
      <c r="AL198" s="34">
        <f t="shared" si="326"/>
        <v>0</v>
      </c>
      <c r="AM198" s="34"/>
      <c r="AN198" s="34"/>
      <c r="AO198" s="42">
        <f t="shared" si="354"/>
        <v>0</v>
      </c>
      <c r="AP198" s="52">
        <f t="shared" si="327"/>
        <v>0</v>
      </c>
      <c r="AQ198" s="52">
        <f t="shared" si="328"/>
        <v>0</v>
      </c>
      <c r="AR198" s="53">
        <f t="shared" si="329"/>
        <v>0</v>
      </c>
      <c r="AS198" s="52">
        <f t="shared" si="330"/>
        <v>0</v>
      </c>
      <c r="AT198" s="54">
        <f>0/12</f>
        <v>0</v>
      </c>
      <c r="AU198" s="55">
        <f t="shared" si="332"/>
        <v>0</v>
      </c>
      <c r="AV198" s="55"/>
      <c r="AW198" s="67"/>
      <c r="AX198" s="68"/>
      <c r="AY198" s="69"/>
      <c r="AZ198" s="68"/>
      <c r="BA198" s="89"/>
      <c r="BB198" s="5"/>
      <c r="BC198" s="29">
        <f t="shared" si="333"/>
        <v>0</v>
      </c>
      <c r="BD198" s="29">
        <f t="shared" si="334"/>
        <v>0</v>
      </c>
      <c r="BE198" s="25">
        <f t="shared" si="335"/>
        <v>-10119.302530928962</v>
      </c>
      <c r="BF198" s="25">
        <f t="shared" si="336"/>
        <v>-10119.302530928962</v>
      </c>
      <c r="BG198" s="25">
        <f t="shared" si="337"/>
        <v>-15509.882212499997</v>
      </c>
      <c r="BH198" s="29"/>
      <c r="BI198" s="26">
        <f t="shared" si="338"/>
        <v>0</v>
      </c>
      <c r="BJ198" s="26">
        <f t="shared" si="339"/>
        <v>0</v>
      </c>
      <c r="BK198" s="26">
        <f>IF(H198="Bundled",MIN(Y198*$AG$1*(1+#REF!),BI198),AR198)</f>
        <v>0</v>
      </c>
      <c r="BL198" s="27">
        <f t="shared" si="340"/>
        <v>303579.07592786889</v>
      </c>
      <c r="BM198" s="27">
        <f t="shared" si="341"/>
        <v>303579.07592786889</v>
      </c>
      <c r="BN198" s="27">
        <f t="shared" si="342"/>
        <v>465296.4663749999</v>
      </c>
      <c r="BO198" s="27">
        <f t="shared" si="343"/>
        <v>-303579.07592786889</v>
      </c>
      <c r="BP198" s="27" t="e">
        <f>+#REF!*Y198</f>
        <v>#REF!</v>
      </c>
      <c r="BQ198" s="27" t="e">
        <f t="shared" si="344"/>
        <v>#REF!</v>
      </c>
      <c r="BR198" s="27">
        <f t="shared" si="345"/>
        <v>-303579.07592786889</v>
      </c>
      <c r="BS198" s="27" t="e">
        <f t="shared" si="346"/>
        <v>#REF!</v>
      </c>
      <c r="BT198" s="27">
        <f t="shared" si="347"/>
        <v>30</v>
      </c>
      <c r="BU198" s="27">
        <f t="shared" si="348"/>
        <v>-10119.302530928962</v>
      </c>
      <c r="BV198" s="27">
        <f t="shared" si="349"/>
        <v>-303579.07592786889</v>
      </c>
      <c r="BW198" s="27" t="e">
        <f>IF(H198="Bundled",+(BG198-#REF!)*Y198,(AP198+AQ198)-Y198*#REF!)</f>
        <v>#REF!</v>
      </c>
      <c r="BX198" s="27" t="e">
        <f t="shared" si="350"/>
        <v>#REF!</v>
      </c>
      <c r="BY198" s="27">
        <f t="shared" si="351"/>
        <v>-10119.302530928962</v>
      </c>
      <c r="BZ198" s="27" t="e">
        <f t="shared" si="352"/>
        <v>#REF!</v>
      </c>
      <c r="CA198" s="27" t="e">
        <f t="shared" si="353"/>
        <v>#REF!</v>
      </c>
    </row>
    <row r="199" spans="1:79" s="16" customFormat="1" ht="26" x14ac:dyDescent="0.3">
      <c r="A199" s="199" t="s">
        <v>249</v>
      </c>
      <c r="B199" s="32" t="s">
        <v>448</v>
      </c>
      <c r="C199" s="32" t="s">
        <v>310</v>
      </c>
      <c r="D199" s="32" t="s">
        <v>405</v>
      </c>
      <c r="E199" s="32"/>
      <c r="F199" s="32"/>
      <c r="G199" s="33" t="s">
        <v>56</v>
      </c>
      <c r="H199" s="34" t="s">
        <v>57</v>
      </c>
      <c r="I199" s="33" t="s">
        <v>3</v>
      </c>
      <c r="J199" s="33" t="s">
        <v>53</v>
      </c>
      <c r="K199" s="31" t="s">
        <v>479</v>
      </c>
      <c r="L199" s="33">
        <v>1177</v>
      </c>
      <c r="M199" s="33">
        <v>1177</v>
      </c>
      <c r="N199" s="35">
        <v>0</v>
      </c>
      <c r="O199" s="33">
        <v>24</v>
      </c>
      <c r="P199" s="33"/>
      <c r="Q199" s="42"/>
      <c r="R199" s="43" t="str">
        <f t="shared" si="323"/>
        <v>Subscribed</v>
      </c>
      <c r="S199" s="33" t="s">
        <v>58</v>
      </c>
      <c r="T199" s="34">
        <v>450</v>
      </c>
      <c r="U199" s="66">
        <f t="shared" si="356"/>
        <v>70.65327380952381</v>
      </c>
      <c r="V199" s="46"/>
      <c r="W199" s="34"/>
      <c r="X199" s="34"/>
      <c r="Y199" s="34">
        <f t="shared" si="290"/>
        <v>450</v>
      </c>
      <c r="Z199" s="65">
        <f t="shared" si="355"/>
        <v>70.65327380952381</v>
      </c>
      <c r="AA199" s="34"/>
      <c r="AB199" s="47"/>
      <c r="AC199" s="48" t="str">
        <f t="shared" si="325"/>
        <v>Metered</v>
      </c>
      <c r="AD199" s="34"/>
      <c r="AE199" s="34" t="s">
        <v>62</v>
      </c>
      <c r="AF199" s="49"/>
      <c r="AG199" s="34">
        <v>47479</v>
      </c>
      <c r="AH199" s="50"/>
      <c r="AI199" s="51"/>
      <c r="AJ199" s="34"/>
      <c r="AK199" s="34"/>
      <c r="AL199" s="34"/>
      <c r="AM199" s="34"/>
      <c r="AN199" s="34"/>
      <c r="AO199" s="42"/>
      <c r="AP199" s="52"/>
      <c r="AQ199" s="52"/>
      <c r="AR199" s="53"/>
      <c r="AS199" s="52"/>
      <c r="AT199" s="54"/>
      <c r="AU199" s="55"/>
      <c r="AV199" s="55"/>
      <c r="AW199" s="67"/>
      <c r="AX199" s="68"/>
      <c r="AY199" s="69"/>
      <c r="AZ199" s="68"/>
      <c r="BA199" s="89"/>
      <c r="BB199" s="5"/>
      <c r="BC199" s="59"/>
      <c r="BD199" s="59"/>
      <c r="BE199" s="59"/>
      <c r="BF199" s="59"/>
      <c r="BG199" s="59"/>
      <c r="BH199" s="59"/>
      <c r="BI199" s="60"/>
      <c r="BJ199" s="60"/>
      <c r="BK199" s="60"/>
      <c r="BL199" s="61">
        <f t="shared" si="340"/>
        <v>1288127.4528114756</v>
      </c>
      <c r="BM199" s="61"/>
      <c r="BN199" s="61">
        <f t="shared" si="342"/>
        <v>6979446.9956249995</v>
      </c>
      <c r="BO199" s="61"/>
      <c r="BP199" s="61"/>
      <c r="BQ199" s="61"/>
      <c r="BR199" s="61"/>
      <c r="BS199" s="61"/>
      <c r="BT199" s="61">
        <f t="shared" si="347"/>
        <v>450</v>
      </c>
      <c r="BU199" s="61"/>
      <c r="BV199" s="61"/>
      <c r="BW199" s="61"/>
      <c r="BX199" s="61"/>
      <c r="BY199" s="61"/>
      <c r="BZ199" s="61"/>
      <c r="CA199" s="61"/>
    </row>
    <row r="200" spans="1:79" s="16" customFormat="1" ht="52" x14ac:dyDescent="0.3">
      <c r="A200" s="199" t="s">
        <v>249</v>
      </c>
      <c r="B200" s="32" t="s">
        <v>295</v>
      </c>
      <c r="C200" s="32" t="s">
        <v>292</v>
      </c>
      <c r="D200" s="32" t="s">
        <v>405</v>
      </c>
      <c r="E200" s="32"/>
      <c r="F200" s="32"/>
      <c r="G200" s="33" t="s">
        <v>56</v>
      </c>
      <c r="H200" s="34" t="s">
        <v>57</v>
      </c>
      <c r="I200" s="33" t="s">
        <v>3</v>
      </c>
      <c r="J200" s="33" t="s">
        <v>53</v>
      </c>
      <c r="K200" s="31" t="s">
        <v>479</v>
      </c>
      <c r="L200" s="33">
        <v>760</v>
      </c>
      <c r="M200" s="33">
        <v>760</v>
      </c>
      <c r="N200" s="35">
        <f>L200-M200</f>
        <v>0</v>
      </c>
      <c r="O200" s="33">
        <v>15</v>
      </c>
      <c r="P200" s="33"/>
      <c r="Q200" s="42">
        <f>(0)/12</f>
        <v>0</v>
      </c>
      <c r="R200" s="43" t="str">
        <f t="shared" si="323"/>
        <v>Subscribed</v>
      </c>
      <c r="S200" s="33" t="s">
        <v>58</v>
      </c>
      <c r="T200" s="34">
        <v>150</v>
      </c>
      <c r="U200" s="66">
        <f t="shared" si="356"/>
        <v>115.69733630952381</v>
      </c>
      <c r="V200" s="46">
        <f>T200-U200</f>
        <v>34.302663690476194</v>
      </c>
      <c r="W200" s="34"/>
      <c r="X200" s="34">
        <f>IF(V200&lt;=0,0,(IF(R200="Rated",(V200+W200)*$X$1,(V200+W200))))</f>
        <v>34.302663690476194</v>
      </c>
      <c r="Y200" s="34">
        <f t="shared" si="290"/>
        <v>150</v>
      </c>
      <c r="Z200" s="65">
        <f t="shared" si="355"/>
        <v>115.69733630952381</v>
      </c>
      <c r="AA200" s="34">
        <f>IF((V200*-1)&gt;0, (V200*-1), 0)</f>
        <v>0</v>
      </c>
      <c r="AB200" s="47">
        <f t="shared" ref="AB200:AB207" si="357">0/12</f>
        <v>0</v>
      </c>
      <c r="AC200" s="48" t="str">
        <f t="shared" si="325"/>
        <v>Metered</v>
      </c>
      <c r="AD200" s="34"/>
      <c r="AE200" s="34" t="s">
        <v>62</v>
      </c>
      <c r="AF200" s="49">
        <v>0</v>
      </c>
      <c r="AG200" s="34">
        <v>77748.61</v>
      </c>
      <c r="AH200" s="50"/>
      <c r="AI200" s="51"/>
      <c r="AJ200" s="34"/>
      <c r="AK200" s="34"/>
      <c r="AL200" s="34">
        <f>AJ200-AK200</f>
        <v>0</v>
      </c>
      <c r="AM200" s="34"/>
      <c r="AN200" s="34"/>
      <c r="AO200" s="42">
        <f t="shared" ref="AO200:AO207" si="358">(0)/12</f>
        <v>0</v>
      </c>
      <c r="AP200" s="52">
        <f>Q200*O200</f>
        <v>0</v>
      </c>
      <c r="AQ200" s="52">
        <f>AB200*AA200</f>
        <v>0</v>
      </c>
      <c r="AR200" s="53">
        <f>AG200*AF200*AD200</f>
        <v>0</v>
      </c>
      <c r="AS200" s="52">
        <f>AO200*AM200</f>
        <v>0</v>
      </c>
      <c r="AT200" s="54">
        <f t="shared" ref="AT200:AT207" si="359">0/12</f>
        <v>0</v>
      </c>
      <c r="AU200" s="55">
        <f>SUBTOTAL(9,AP200:AT200)</f>
        <v>0</v>
      </c>
      <c r="AV200" s="55"/>
      <c r="AW200" s="67"/>
      <c r="AX200" s="68"/>
      <c r="AY200" s="69"/>
      <c r="AZ200" s="68"/>
      <c r="BA200" s="89"/>
      <c r="BB200" s="5"/>
      <c r="BC200" s="29">
        <f>IF(I200="Rack",AU200/L200,0)+IF(I200="U Space",AU200*40/L200,0)+IF(I200="Space",AU200*30/L200,0)</f>
        <v>0</v>
      </c>
      <c r="BD200" s="29">
        <f>+AU200/Y200</f>
        <v>0</v>
      </c>
      <c r="BE200" s="25">
        <f t="shared" ref="BE200:BF205" si="360">+($AP200+$AQ200+$AR200-BL200)/$Y200</f>
        <v>-14062.374096468306</v>
      </c>
      <c r="BF200" s="25">
        <f t="shared" si="360"/>
        <v>-14062.374096468306</v>
      </c>
      <c r="BG200" s="25">
        <f>+($AP200+$AQ200+IF(H200="Bundled",0,Y200*0.85*AD200*AF200*30.5*24)-BN200)/$Y200</f>
        <v>-15509.882212500001</v>
      </c>
      <c r="BH200" s="29"/>
      <c r="BI200" s="26">
        <f>+AP200+AQ200+AR200</f>
        <v>0</v>
      </c>
      <c r="BJ200" s="26">
        <f>+BI200-BK200</f>
        <v>0</v>
      </c>
      <c r="BK200" s="26">
        <f>IF(H200="Bundled",MIN(Y200*$AG$1*(1+#REF!),BI200),AR200)</f>
        <v>0</v>
      </c>
      <c r="BL200" s="27">
        <f t="shared" si="340"/>
        <v>2109356.1144702458</v>
      </c>
      <c r="BM200" s="27">
        <f>IF($AG200&gt;0,$AG200*$AD$1*$AF$1*(1+$AI$1*(20/$AF$1)/732),+$AG$1*(Z200+X200))</f>
        <v>2109356.1144702458</v>
      </c>
      <c r="BN200" s="27">
        <f t="shared" si="342"/>
        <v>2326482.3318750001</v>
      </c>
      <c r="BO200" s="27">
        <f>+BE200*Y200</f>
        <v>-2109356.1144702458</v>
      </c>
      <c r="BP200" s="27" t="e">
        <f>+#REF!*Y200</f>
        <v>#REF!</v>
      </c>
      <c r="BQ200" s="27" t="e">
        <f>+BJ200-BP200</f>
        <v>#REF!</v>
      </c>
      <c r="BR200" s="27">
        <f>+BK200-BL200</f>
        <v>-2109356.1144702458</v>
      </c>
      <c r="BS200" s="27" t="e">
        <f>+BQ200+BR200</f>
        <v>#REF!</v>
      </c>
      <c r="BT200" s="27">
        <f t="shared" si="347"/>
        <v>150</v>
      </c>
      <c r="BU200" s="27">
        <f>+BE200</f>
        <v>-14062.374096468306</v>
      </c>
      <c r="BV200" s="27">
        <f>IF(H200="Bundled",BN200-BL200,AR200-BL200)</f>
        <v>-2109356.1144702458</v>
      </c>
      <c r="BW200" s="27" t="e">
        <f>IF(H200="Bundled",+(BG200-#REF!)*Y200,(AP200+AQ200)-Y200*#REF!)</f>
        <v>#REF!</v>
      </c>
      <c r="BX200" s="27" t="e">
        <f>+BV200+BW200</f>
        <v>#REF!</v>
      </c>
      <c r="BY200" s="27">
        <f t="shared" ref="BY200:CA205" si="361">+BV200/$BT200</f>
        <v>-14062.374096468306</v>
      </c>
      <c r="BZ200" s="27" t="e">
        <f t="shared" si="361"/>
        <v>#REF!</v>
      </c>
      <c r="CA200" s="27" t="e">
        <f t="shared" si="361"/>
        <v>#REF!</v>
      </c>
    </row>
    <row r="201" spans="1:79" s="16" customFormat="1" ht="26" x14ac:dyDescent="0.3">
      <c r="A201" s="326" t="s">
        <v>249</v>
      </c>
      <c r="B201" s="357" t="s">
        <v>472</v>
      </c>
      <c r="C201" s="32" t="s">
        <v>305</v>
      </c>
      <c r="D201" s="32" t="s">
        <v>404</v>
      </c>
      <c r="E201" s="32"/>
      <c r="F201" s="32"/>
      <c r="G201" s="33" t="s">
        <v>56</v>
      </c>
      <c r="H201" s="34" t="s">
        <v>57</v>
      </c>
      <c r="I201" s="33" t="s">
        <v>8</v>
      </c>
      <c r="J201" s="33" t="s">
        <v>61</v>
      </c>
      <c r="K201" s="31" t="s">
        <v>119</v>
      </c>
      <c r="L201" s="33">
        <v>6</v>
      </c>
      <c r="M201" s="33">
        <v>6</v>
      </c>
      <c r="N201" s="35">
        <v>0</v>
      </c>
      <c r="O201" s="33">
        <v>6</v>
      </c>
      <c r="P201" s="33"/>
      <c r="Q201" s="42"/>
      <c r="R201" s="43" t="str">
        <f t="shared" si="323"/>
        <v>Subscribed</v>
      </c>
      <c r="S201" s="33" t="s">
        <v>58</v>
      </c>
      <c r="T201" s="34">
        <v>30</v>
      </c>
      <c r="U201" s="66">
        <f t="shared" si="356"/>
        <v>18.553125000000001</v>
      </c>
      <c r="V201" s="46"/>
      <c r="W201" s="34"/>
      <c r="X201" s="34"/>
      <c r="Y201" s="34">
        <f t="shared" si="290"/>
        <v>30</v>
      </c>
      <c r="Z201" s="65">
        <f t="shared" si="355"/>
        <v>18.553125000000001</v>
      </c>
      <c r="AA201" s="34"/>
      <c r="AB201" s="47"/>
      <c r="AC201" s="48" t="str">
        <f t="shared" si="325"/>
        <v>Metered</v>
      </c>
      <c r="AD201" s="34"/>
      <c r="AE201" s="34"/>
      <c r="AF201" s="49"/>
      <c r="AG201" s="34">
        <v>12467.7</v>
      </c>
      <c r="AH201" s="50"/>
      <c r="AI201" s="51"/>
      <c r="AJ201" s="34"/>
      <c r="AK201" s="34"/>
      <c r="AL201" s="34"/>
      <c r="AM201" s="34"/>
      <c r="AN201" s="34"/>
      <c r="AO201" s="42"/>
      <c r="AP201" s="52"/>
      <c r="AQ201" s="52"/>
      <c r="AR201" s="53"/>
      <c r="AS201" s="52"/>
      <c r="AT201" s="54"/>
      <c r="AU201" s="55"/>
      <c r="AV201" s="55"/>
      <c r="AW201" s="67"/>
      <c r="AX201" s="68"/>
      <c r="AY201" s="69"/>
      <c r="AZ201" s="68"/>
      <c r="BA201" s="89"/>
      <c r="BB201" s="5"/>
      <c r="BC201" s="59"/>
      <c r="BD201" s="59"/>
      <c r="BE201" s="59"/>
      <c r="BF201" s="59"/>
      <c r="BG201" s="59"/>
      <c r="BH201" s="59"/>
      <c r="BI201" s="60"/>
      <c r="BJ201" s="60"/>
      <c r="BK201" s="60"/>
      <c r="BL201" s="61">
        <f t="shared" si="340"/>
        <v>338254.52607295086</v>
      </c>
      <c r="BM201" s="61"/>
      <c r="BN201" s="61">
        <f t="shared" si="342"/>
        <v>465296.4663749999</v>
      </c>
      <c r="BO201" s="61"/>
      <c r="BP201" s="61"/>
      <c r="BQ201" s="61"/>
      <c r="BR201" s="61"/>
      <c r="BS201" s="61"/>
      <c r="BT201" s="61">
        <f t="shared" si="347"/>
        <v>30</v>
      </c>
      <c r="BU201" s="61"/>
      <c r="BV201" s="61"/>
      <c r="BW201" s="61"/>
      <c r="BX201" s="61"/>
      <c r="BY201" s="61"/>
      <c r="BZ201" s="61"/>
      <c r="CA201" s="61"/>
    </row>
    <row r="202" spans="1:79" s="16" customFormat="1" x14ac:dyDescent="0.3">
      <c r="A202" s="199" t="s">
        <v>249</v>
      </c>
      <c r="B202" s="32" t="s">
        <v>294</v>
      </c>
      <c r="C202" s="32" t="s">
        <v>229</v>
      </c>
      <c r="D202" s="32" t="s">
        <v>404</v>
      </c>
      <c r="E202" s="32"/>
      <c r="F202" s="32"/>
      <c r="G202" s="33" t="s">
        <v>56</v>
      </c>
      <c r="H202" s="34" t="s">
        <v>57</v>
      </c>
      <c r="I202" s="33" t="s">
        <v>8</v>
      </c>
      <c r="J202" s="33" t="s">
        <v>61</v>
      </c>
      <c r="K202" s="31" t="str">
        <f>IF(I202="Rack","No of Racks",(IF(I202="Space","Sq Ft","U Space")))</f>
        <v>No of Racks</v>
      </c>
      <c r="L202" s="33">
        <v>1</v>
      </c>
      <c r="M202" s="33">
        <v>1</v>
      </c>
      <c r="N202" s="35">
        <v>0</v>
      </c>
      <c r="O202" s="33">
        <v>1</v>
      </c>
      <c r="P202" s="33"/>
      <c r="Q202" s="42">
        <f>(0)/12</f>
        <v>0</v>
      </c>
      <c r="R202" s="43" t="str">
        <f t="shared" si="323"/>
        <v>Subscribed</v>
      </c>
      <c r="S202" s="33" t="s">
        <v>58</v>
      </c>
      <c r="T202" s="34">
        <v>3</v>
      </c>
      <c r="U202" s="66">
        <f t="shared" si="356"/>
        <v>0.99241071428571426</v>
      </c>
      <c r="V202" s="46">
        <f>T202-U202</f>
        <v>2.0075892857142859</v>
      </c>
      <c r="W202" s="34"/>
      <c r="X202" s="34">
        <f t="shared" ref="X202:X207" si="362">IF(V202&lt;=0,0,(IF(R202="Rated",(V202+W202)*$X$1,(V202+W202))))</f>
        <v>2.0075892857142859</v>
      </c>
      <c r="Y202" s="34">
        <f t="shared" si="290"/>
        <v>3</v>
      </c>
      <c r="Z202" s="65">
        <f t="shared" si="355"/>
        <v>0.99241071428571426</v>
      </c>
      <c r="AA202" s="34">
        <f>IF((V202*-1)&gt;0, (V202*-1), 0)</f>
        <v>0</v>
      </c>
      <c r="AB202" s="47">
        <f t="shared" si="357"/>
        <v>0</v>
      </c>
      <c r="AC202" s="48" t="str">
        <f t="shared" si="325"/>
        <v>Metered</v>
      </c>
      <c r="AD202" s="34"/>
      <c r="AE202" s="34" t="s">
        <v>62</v>
      </c>
      <c r="AF202" s="49">
        <v>0</v>
      </c>
      <c r="AG202" s="34">
        <v>666.9</v>
      </c>
      <c r="AH202" s="50"/>
      <c r="AI202" s="51"/>
      <c r="AJ202" s="34"/>
      <c r="AK202" s="34"/>
      <c r="AL202" s="34">
        <f>AJ202-AK202</f>
        <v>0</v>
      </c>
      <c r="AM202" s="34"/>
      <c r="AN202" s="34"/>
      <c r="AO202" s="42">
        <f t="shared" si="358"/>
        <v>0</v>
      </c>
      <c r="AP202" s="52">
        <f>Q202*O202</f>
        <v>0</v>
      </c>
      <c r="AQ202" s="52">
        <f>AB202*AA202</f>
        <v>0</v>
      </c>
      <c r="AR202" s="53">
        <f>AG202*AF202*AD202</f>
        <v>0</v>
      </c>
      <c r="AS202" s="52">
        <f>AO202*AM202</f>
        <v>0</v>
      </c>
      <c r="AT202" s="54">
        <f t="shared" si="359"/>
        <v>0</v>
      </c>
      <c r="AU202" s="55">
        <f>SUBTOTAL(9,AP202:AT202)</f>
        <v>0</v>
      </c>
      <c r="AV202" s="55"/>
      <c r="AW202" s="67"/>
      <c r="AX202" s="68"/>
      <c r="AY202" s="69"/>
      <c r="AZ202" s="68"/>
      <c r="BA202" s="89"/>
      <c r="BB202" s="5"/>
      <c r="BC202" s="29">
        <f>IF(I202="Rack",AU202/L202,0)+IF(I202="U Space",AU202*40/L202,0)+IF(I202="Space",AU202*30/L202,0)</f>
        <v>0</v>
      </c>
      <c r="BD202" s="29">
        <f>+AU202/Y202</f>
        <v>0</v>
      </c>
      <c r="BE202" s="25">
        <f t="shared" si="360"/>
        <v>-6031.1028614754105</v>
      </c>
      <c r="BF202" s="25">
        <f t="shared" si="360"/>
        <v>-6031.1028614754105</v>
      </c>
      <c r="BG202" s="25">
        <f>+($AP202+$AQ202+IF(H202="Bundled",0,Y202*0.85*AD202*AF202*30.5*24)-BN202)/$Y202</f>
        <v>-15509.882212500001</v>
      </c>
      <c r="BH202" s="29"/>
      <c r="BI202" s="26">
        <f>+AP202+AQ202+AR202</f>
        <v>0</v>
      </c>
      <c r="BJ202" s="26">
        <f>+BI202-BK202</f>
        <v>0</v>
      </c>
      <c r="BK202" s="26">
        <f>IF(H202="Bundled",MIN(Y202*$AG$1*(1+#REF!),BI202),AR202)</f>
        <v>0</v>
      </c>
      <c r="BL202" s="27">
        <f t="shared" si="340"/>
        <v>18093.308584426231</v>
      </c>
      <c r="BM202" s="27">
        <f t="shared" ref="BM202:BM207" si="363">IF($AG202&gt;0,$AG202*$AD$1*$AF$1*(1+$AI$1*(20/$AF$1)/732),+$AG$1*(Z202+X202))</f>
        <v>18093.308584426231</v>
      </c>
      <c r="BN202" s="27">
        <f t="shared" si="342"/>
        <v>46529.646637500002</v>
      </c>
      <c r="BO202" s="27">
        <f>+BE202*Y202</f>
        <v>-18093.308584426231</v>
      </c>
      <c r="BP202" s="27" t="e">
        <f>+#REF!*Y202</f>
        <v>#REF!</v>
      </c>
      <c r="BQ202" s="27" t="e">
        <f>+BJ202-BP202</f>
        <v>#REF!</v>
      </c>
      <c r="BR202" s="27">
        <f>+BK202-BL202</f>
        <v>-18093.308584426231</v>
      </c>
      <c r="BS202" s="27" t="e">
        <f>+BQ202+BR202</f>
        <v>#REF!</v>
      </c>
      <c r="BT202" s="27">
        <f t="shared" si="347"/>
        <v>3</v>
      </c>
      <c r="BU202" s="27">
        <f>+BE202</f>
        <v>-6031.1028614754105</v>
      </c>
      <c r="BV202" s="27">
        <f>IF(H202="Bundled",BN202-BL202,AR202-BL202)</f>
        <v>-18093.308584426231</v>
      </c>
      <c r="BW202" s="27" t="e">
        <f>IF(H202="Bundled",+(BG202-#REF!)*Y202,(AP202+AQ202)-Y202*#REF!)</f>
        <v>#REF!</v>
      </c>
      <c r="BX202" s="27" t="e">
        <f>+BV202+BW202</f>
        <v>#REF!</v>
      </c>
      <c r="BY202" s="27">
        <f t="shared" si="361"/>
        <v>-6031.1028614754105</v>
      </c>
      <c r="BZ202" s="27" t="e">
        <f t="shared" si="361"/>
        <v>#REF!</v>
      </c>
      <c r="CA202" s="27" t="e">
        <f t="shared" si="361"/>
        <v>#REF!</v>
      </c>
    </row>
    <row r="203" spans="1:79" s="16" customFormat="1" x14ac:dyDescent="0.3">
      <c r="A203" s="199" t="s">
        <v>249</v>
      </c>
      <c r="B203" s="32" t="s">
        <v>230</v>
      </c>
      <c r="C203" s="32" t="s">
        <v>513</v>
      </c>
      <c r="D203" s="32" t="s">
        <v>405</v>
      </c>
      <c r="E203" s="32"/>
      <c r="F203" s="32"/>
      <c r="G203" s="33" t="s">
        <v>11</v>
      </c>
      <c r="H203" s="34" t="s">
        <v>52</v>
      </c>
      <c r="I203" s="33" t="s">
        <v>8</v>
      </c>
      <c r="J203" s="33" t="s">
        <v>61</v>
      </c>
      <c r="K203" s="31" t="str">
        <f>IF(I203="Rack","No of Racks",(IF(I203="Space","Sq Ft","U Space")))</f>
        <v>No of Racks</v>
      </c>
      <c r="L203" s="33">
        <v>3</v>
      </c>
      <c r="M203" s="33">
        <v>3</v>
      </c>
      <c r="N203" s="35">
        <f>L203-M203</f>
        <v>0</v>
      </c>
      <c r="O203" s="33">
        <v>3</v>
      </c>
      <c r="P203" s="33"/>
      <c r="Q203" s="42">
        <f>(0)/12</f>
        <v>0</v>
      </c>
      <c r="R203" s="43" t="str">
        <f t="shared" si="323"/>
        <v>Rated</v>
      </c>
      <c r="S203" s="33" t="s">
        <v>54</v>
      </c>
      <c r="T203" s="34">
        <v>24</v>
      </c>
      <c r="U203" s="45">
        <v>23.84</v>
      </c>
      <c r="V203" s="46">
        <f>T203-U203</f>
        <v>0.16000000000000014</v>
      </c>
      <c r="W203" s="34"/>
      <c r="X203" s="34">
        <f t="shared" si="362"/>
        <v>8.0000000000000071E-2</v>
      </c>
      <c r="Y203" s="34">
        <f t="shared" si="290"/>
        <v>12</v>
      </c>
      <c r="Z203" s="65">
        <f t="shared" si="355"/>
        <v>8.5666666666666664</v>
      </c>
      <c r="AA203" s="34">
        <f>IF((V203*-1)&gt;0, (V203*-1), 0)</f>
        <v>0</v>
      </c>
      <c r="AB203" s="47">
        <f t="shared" si="357"/>
        <v>0</v>
      </c>
      <c r="AC203" s="48" t="str">
        <f t="shared" si="325"/>
        <v>Bundled</v>
      </c>
      <c r="AD203" s="34"/>
      <c r="AE203" s="34" t="s">
        <v>62</v>
      </c>
      <c r="AF203" s="49">
        <v>0</v>
      </c>
      <c r="AG203" s="34">
        <v>5756.8</v>
      </c>
      <c r="AH203" s="50"/>
      <c r="AI203" s="51"/>
      <c r="AJ203" s="34"/>
      <c r="AK203" s="34"/>
      <c r="AL203" s="34">
        <f>AJ203-AK203</f>
        <v>0</v>
      </c>
      <c r="AM203" s="34"/>
      <c r="AN203" s="34"/>
      <c r="AO203" s="42">
        <f t="shared" si="358"/>
        <v>0</v>
      </c>
      <c r="AP203" s="52">
        <f>Q203*O203</f>
        <v>0</v>
      </c>
      <c r="AQ203" s="52">
        <f>AB203*AA203</f>
        <v>0</v>
      </c>
      <c r="AR203" s="53">
        <f>AG203*AF203*AD203</f>
        <v>0</v>
      </c>
      <c r="AS203" s="52">
        <f>AO203*AM203</f>
        <v>0</v>
      </c>
      <c r="AT203" s="54">
        <f t="shared" si="359"/>
        <v>0</v>
      </c>
      <c r="AU203" s="55">
        <f>SUBTOTAL(9,AP203:AT203)</f>
        <v>0</v>
      </c>
      <c r="AV203" s="55"/>
      <c r="AW203" s="67"/>
      <c r="AX203" s="68"/>
      <c r="AY203" s="69"/>
      <c r="AZ203" s="68"/>
      <c r="BA203" s="89"/>
      <c r="BB203" s="5"/>
      <c r="BC203" s="29">
        <f>IF(I203="Rack",AU203/L203,0)+IF(I203="U Space",AU203*40/L203,0)+IF(I203="Space",AU203*30/L203,0)</f>
        <v>0</v>
      </c>
      <c r="BD203" s="29">
        <f>+AU203/Y203</f>
        <v>0</v>
      </c>
      <c r="BE203" s="25">
        <f t="shared" si="360"/>
        <v>-13015.389471038252</v>
      </c>
      <c r="BF203" s="25">
        <f t="shared" si="360"/>
        <v>-13015.389471038252</v>
      </c>
      <c r="BG203" s="25">
        <f>+($AP203+$AQ203+IF(H203="Bundled",0,Y203*0.85*AD203*AF203*30.5*24)-BN203)/$Y203</f>
        <v>-18246.920249999999</v>
      </c>
      <c r="BH203" s="29"/>
      <c r="BI203" s="26">
        <f>+AP203+AQ203+AR203</f>
        <v>0</v>
      </c>
      <c r="BJ203" s="26" t="e">
        <f>+BI203-BK203</f>
        <v>#REF!</v>
      </c>
      <c r="BK203" s="26" t="e">
        <f>IF(H203="Bundled",MIN(Y203*$AG$1*(1+#REF!),BI203),AR203)</f>
        <v>#REF!</v>
      </c>
      <c r="BL203" s="27">
        <f t="shared" si="340"/>
        <v>156184.67365245902</v>
      </c>
      <c r="BM203" s="27">
        <f t="shared" si="363"/>
        <v>156184.67365245902</v>
      </c>
      <c r="BN203" s="27">
        <f t="shared" si="342"/>
        <v>218963.04300000001</v>
      </c>
      <c r="BO203" s="27">
        <f>+BE203*Y203</f>
        <v>-156184.67365245902</v>
      </c>
      <c r="BP203" s="27" t="e">
        <f>+#REF!*Y203</f>
        <v>#REF!</v>
      </c>
      <c r="BQ203" s="27" t="e">
        <f>+BJ203-BP203</f>
        <v>#REF!</v>
      </c>
      <c r="BR203" s="27" t="e">
        <f>+BK203-BL203</f>
        <v>#REF!</v>
      </c>
      <c r="BS203" s="27" t="e">
        <f>+BQ203+BR203</f>
        <v>#REF!</v>
      </c>
      <c r="BT203" s="27">
        <f t="shared" si="347"/>
        <v>12</v>
      </c>
      <c r="BU203" s="27">
        <f>+BE203</f>
        <v>-13015.389471038252</v>
      </c>
      <c r="BV203" s="27">
        <f>IF(H203="Bundled",BN203-BL203,AR203-BL203)</f>
        <v>62778.369347540982</v>
      </c>
      <c r="BW203" s="27" t="e">
        <f>IF(H203="Bundled",+(BG203-#REF!)*Y203,(AP203+AQ203)-Y203*#REF!)</f>
        <v>#REF!</v>
      </c>
      <c r="BX203" s="27" t="e">
        <f>+BV203+BW203</f>
        <v>#REF!</v>
      </c>
      <c r="BY203" s="27">
        <f t="shared" si="361"/>
        <v>5231.5307789617482</v>
      </c>
      <c r="BZ203" s="27" t="e">
        <f t="shared" si="361"/>
        <v>#REF!</v>
      </c>
      <c r="CA203" s="27" t="e">
        <f t="shared" si="361"/>
        <v>#REF!</v>
      </c>
    </row>
    <row r="204" spans="1:79" s="16" customFormat="1" x14ac:dyDescent="0.3">
      <c r="A204" s="199" t="s">
        <v>249</v>
      </c>
      <c r="B204" s="181" t="s">
        <v>239</v>
      </c>
      <c r="C204" s="32" t="s">
        <v>231</v>
      </c>
      <c r="D204" s="32" t="s">
        <v>405</v>
      </c>
      <c r="E204" s="32"/>
      <c r="F204" s="32"/>
      <c r="G204" s="33" t="s">
        <v>11</v>
      </c>
      <c r="H204" s="34" t="s">
        <v>52</v>
      </c>
      <c r="I204" s="33" t="s">
        <v>8</v>
      </c>
      <c r="J204" s="33" t="s">
        <v>61</v>
      </c>
      <c r="K204" s="31" t="str">
        <f>IF(I204="Rack","No of Racks",(IF(I204="Space","Sq Ft","U Space")))</f>
        <v>No of Racks</v>
      </c>
      <c r="L204" s="33">
        <v>1</v>
      </c>
      <c r="M204" s="33">
        <v>0</v>
      </c>
      <c r="N204" s="35">
        <v>0</v>
      </c>
      <c r="O204" s="33">
        <v>1</v>
      </c>
      <c r="P204" s="33"/>
      <c r="Q204" s="42">
        <f>(0)/12</f>
        <v>0</v>
      </c>
      <c r="R204" s="43" t="str">
        <f t="shared" si="323"/>
        <v>Rated</v>
      </c>
      <c r="S204" s="33" t="s">
        <v>54</v>
      </c>
      <c r="T204" s="34">
        <v>9</v>
      </c>
      <c r="U204" s="45">
        <v>7.06</v>
      </c>
      <c r="V204" s="46">
        <f>T204-U204</f>
        <v>1.9400000000000004</v>
      </c>
      <c r="W204" s="34"/>
      <c r="X204" s="34">
        <f t="shared" si="362"/>
        <v>0.9700000000000002</v>
      </c>
      <c r="Y204" s="34">
        <f t="shared" si="290"/>
        <v>4.5</v>
      </c>
      <c r="Z204" s="65">
        <f t="shared" si="355"/>
        <v>2.9494047619047623</v>
      </c>
      <c r="AA204" s="34">
        <f>IF((V204*-1)&gt;0, (V204*-1), 0)</f>
        <v>0</v>
      </c>
      <c r="AB204" s="47">
        <f t="shared" si="357"/>
        <v>0</v>
      </c>
      <c r="AC204" s="48" t="str">
        <f t="shared" si="325"/>
        <v>Bundled</v>
      </c>
      <c r="AD204" s="34"/>
      <c r="AE204" s="34" t="s">
        <v>62</v>
      </c>
      <c r="AF204" s="49">
        <v>0</v>
      </c>
      <c r="AG204" s="34">
        <v>1982</v>
      </c>
      <c r="AH204" s="50"/>
      <c r="AI204" s="51"/>
      <c r="AJ204" s="34"/>
      <c r="AK204" s="34"/>
      <c r="AL204" s="34">
        <f>AJ204-AK204</f>
        <v>0</v>
      </c>
      <c r="AM204" s="34"/>
      <c r="AN204" s="34"/>
      <c r="AO204" s="42">
        <f t="shared" si="358"/>
        <v>0</v>
      </c>
      <c r="AP204" s="52">
        <f>Q204*O204</f>
        <v>0</v>
      </c>
      <c r="AQ204" s="52">
        <f>AB204*AA204</f>
        <v>0</v>
      </c>
      <c r="AR204" s="53">
        <f>AG204*AF204*AD204</f>
        <v>0</v>
      </c>
      <c r="AS204" s="52">
        <f>AO204*AM204</f>
        <v>0</v>
      </c>
      <c r="AT204" s="54">
        <f t="shared" si="359"/>
        <v>0</v>
      </c>
      <c r="AU204" s="55">
        <f>SUBTOTAL(9,AP204:AT204)</f>
        <v>0</v>
      </c>
      <c r="AV204" s="55"/>
      <c r="AW204" s="67"/>
      <c r="AX204" s="68"/>
      <c r="AY204" s="69"/>
      <c r="AZ204" s="68"/>
      <c r="BA204" s="89"/>
      <c r="BB204" s="5"/>
      <c r="BC204" s="29">
        <f>IF(I204="Rack",AU204/L204,0)+IF(I204="U Space",AU204*40/L204,0)+IF(I204="Space",AU204*30/L204,0)</f>
        <v>0</v>
      </c>
      <c r="BD204" s="29">
        <f>+AU204/Y204</f>
        <v>0</v>
      </c>
      <c r="BE204" s="25">
        <f t="shared" si="360"/>
        <v>-11949.463559198544</v>
      </c>
      <c r="BF204" s="25">
        <f t="shared" si="360"/>
        <v>-11949.463559198544</v>
      </c>
      <c r="BG204" s="25">
        <f>+($AP204+$AQ204+IF(H204="Bundled",0,Y204*0.85*AD204*AF204*30.5*24)-BN204)/$Y204</f>
        <v>-18246.920249999999</v>
      </c>
      <c r="BH204" s="29"/>
      <c r="BI204" s="26">
        <f>+AP204+AQ204+AR204</f>
        <v>0</v>
      </c>
      <c r="BJ204" s="26" t="e">
        <f>+BI204-BK204</f>
        <v>#REF!</v>
      </c>
      <c r="BK204" s="26" t="e">
        <f>IF(H204="Bundled",MIN(Y204*$AG$1*(1+#REF!),BI204),AR204)</f>
        <v>#REF!</v>
      </c>
      <c r="BL204" s="27">
        <f t="shared" si="340"/>
        <v>53772.586016393449</v>
      </c>
      <c r="BM204" s="27">
        <f t="shared" si="363"/>
        <v>53772.586016393449</v>
      </c>
      <c r="BN204" s="27">
        <f t="shared" si="342"/>
        <v>82111.141124999995</v>
      </c>
      <c r="BO204" s="27">
        <f>+BE204*Y204</f>
        <v>-53772.586016393449</v>
      </c>
      <c r="BP204" s="27" t="e">
        <f>+#REF!*Y204</f>
        <v>#REF!</v>
      </c>
      <c r="BQ204" s="27" t="e">
        <f>+BJ204-BP204</f>
        <v>#REF!</v>
      </c>
      <c r="BR204" s="27" t="e">
        <f>+BK204-BL204</f>
        <v>#REF!</v>
      </c>
      <c r="BS204" s="27" t="e">
        <f>+BQ204+BR204</f>
        <v>#REF!</v>
      </c>
      <c r="BT204" s="27">
        <f t="shared" si="347"/>
        <v>4.5</v>
      </c>
      <c r="BU204" s="27">
        <f>+BE204</f>
        <v>-11949.463559198544</v>
      </c>
      <c r="BV204" s="27">
        <f>IF(H204="Bundled",BN204-BL204,AR204-BL204)</f>
        <v>28338.555108606546</v>
      </c>
      <c r="BW204" s="27" t="e">
        <f>IF(H204="Bundled",+(BG204-#REF!)*Y204,(AP204+AQ204)-Y204*#REF!)</f>
        <v>#REF!</v>
      </c>
      <c r="BX204" s="27" t="e">
        <f>+BV204+BW204</f>
        <v>#REF!</v>
      </c>
      <c r="BY204" s="27">
        <f t="shared" si="361"/>
        <v>6297.4566908014549</v>
      </c>
      <c r="BZ204" s="27" t="e">
        <f t="shared" si="361"/>
        <v>#REF!</v>
      </c>
      <c r="CA204" s="27" t="e">
        <f t="shared" si="361"/>
        <v>#REF!</v>
      </c>
    </row>
    <row r="205" spans="1:79" s="16" customFormat="1" x14ac:dyDescent="0.3">
      <c r="A205" s="199" t="s">
        <v>249</v>
      </c>
      <c r="B205" s="32" t="s">
        <v>232</v>
      </c>
      <c r="C205" s="32" t="s">
        <v>329</v>
      </c>
      <c r="D205" s="32" t="s">
        <v>404</v>
      </c>
      <c r="E205" s="32"/>
      <c r="F205" s="32"/>
      <c r="G205" s="33" t="s">
        <v>56</v>
      </c>
      <c r="H205" s="34" t="s">
        <v>57</v>
      </c>
      <c r="I205" s="33" t="s">
        <v>8</v>
      </c>
      <c r="J205" s="33" t="s">
        <v>61</v>
      </c>
      <c r="K205" s="31" t="str">
        <f>IF(I205="Rack","No of Racks",(IF(I205="Space","Sq Ft","U Space")))</f>
        <v>No of Racks</v>
      </c>
      <c r="L205" s="33">
        <v>1</v>
      </c>
      <c r="M205" s="33">
        <v>1</v>
      </c>
      <c r="N205" s="35">
        <v>0</v>
      </c>
      <c r="O205" s="33">
        <v>1</v>
      </c>
      <c r="P205" s="33"/>
      <c r="Q205" s="42">
        <f>(0)/12</f>
        <v>0</v>
      </c>
      <c r="R205" s="43" t="str">
        <f t="shared" si="323"/>
        <v>Subscribed</v>
      </c>
      <c r="S205" s="33" t="s">
        <v>58</v>
      </c>
      <c r="T205" s="34">
        <v>2.5</v>
      </c>
      <c r="U205" s="66">
        <f t="shared" si="356"/>
        <v>6.7913690476190487</v>
      </c>
      <c r="V205" s="46">
        <f>T205-U205</f>
        <v>-4.2913690476190487</v>
      </c>
      <c r="W205" s="34"/>
      <c r="X205" s="34">
        <f t="shared" si="362"/>
        <v>0</v>
      </c>
      <c r="Y205" s="34">
        <f t="shared" si="290"/>
        <v>2.5</v>
      </c>
      <c r="Z205" s="65">
        <f t="shared" si="355"/>
        <v>6.7913690476190487</v>
      </c>
      <c r="AA205" s="34">
        <f t="shared" ref="AA205" si="364">IF((V205*-1)&gt;0, (V205*-1), 0)</f>
        <v>4.2913690476190487</v>
      </c>
      <c r="AB205" s="47">
        <f t="shared" si="357"/>
        <v>0</v>
      </c>
      <c r="AC205" s="48" t="str">
        <f t="shared" si="325"/>
        <v>Metered</v>
      </c>
      <c r="AD205" s="34"/>
      <c r="AE205" s="34" t="s">
        <v>62</v>
      </c>
      <c r="AF205" s="49">
        <v>0</v>
      </c>
      <c r="AG205" s="34">
        <v>4563.8</v>
      </c>
      <c r="AH205" s="50"/>
      <c r="AI205" s="51"/>
      <c r="AJ205" s="34"/>
      <c r="AK205" s="34"/>
      <c r="AL205" s="34">
        <f>AJ205-AK205</f>
        <v>0</v>
      </c>
      <c r="AM205" s="34"/>
      <c r="AN205" s="34"/>
      <c r="AO205" s="42">
        <f t="shared" si="358"/>
        <v>0</v>
      </c>
      <c r="AP205" s="52">
        <f>Q205*O205</f>
        <v>0</v>
      </c>
      <c r="AQ205" s="52">
        <f>AB205*AA205</f>
        <v>0</v>
      </c>
      <c r="AR205" s="53">
        <f>AG205*AF205*AD205</f>
        <v>0</v>
      </c>
      <c r="AS205" s="52">
        <f>AO205*AM205</f>
        <v>0</v>
      </c>
      <c r="AT205" s="54">
        <f t="shared" si="359"/>
        <v>0</v>
      </c>
      <c r="AU205" s="55">
        <f>SUBTOTAL(9,AP205:AT205)</f>
        <v>0</v>
      </c>
      <c r="AV205" s="55"/>
      <c r="AW205" s="67"/>
      <c r="AX205" s="68"/>
      <c r="AY205" s="69"/>
      <c r="AZ205" s="68"/>
      <c r="BA205" s="89"/>
      <c r="BB205" s="5"/>
      <c r="BC205" s="29">
        <f>IF(I205="Rack",AU205/L205,0)+IF(I205="U Space",AU205*40/L205,0)+IF(I205="Space",AU205*30/L205,0)</f>
        <v>0</v>
      </c>
      <c r="BD205" s="29">
        <f>+AU205/Y205</f>
        <v>0</v>
      </c>
      <c r="BE205" s="25">
        <f t="shared" si="360"/>
        <v>-49527.210506885247</v>
      </c>
      <c r="BF205" s="25">
        <f t="shared" si="360"/>
        <v>-49527.210506885247</v>
      </c>
      <c r="BG205" s="25">
        <f>+($AP205+$AQ205+IF(H205="Bundled",0,Y205*0.85*AD205*AF205*30.5*24)-BN205)/$Y205</f>
        <v>-15509.882212499997</v>
      </c>
      <c r="BH205" s="29"/>
      <c r="BI205" s="26">
        <f>+AP205+AQ205+AR205</f>
        <v>0</v>
      </c>
      <c r="BJ205" s="26">
        <f>+BI205-BK205</f>
        <v>0</v>
      </c>
      <c r="BK205" s="26">
        <f>IF(H205="Bundled",MIN(Y205*$AG$1*(1+#REF!),BI205),AR205)</f>
        <v>0</v>
      </c>
      <c r="BL205" s="27">
        <f t="shared" si="340"/>
        <v>123818.02626721312</v>
      </c>
      <c r="BM205" s="27">
        <f t="shared" si="363"/>
        <v>123818.02626721312</v>
      </c>
      <c r="BN205" s="27">
        <f t="shared" si="342"/>
        <v>38774.705531249994</v>
      </c>
      <c r="BO205" s="27">
        <f>+BE205*Y205</f>
        <v>-123818.02626721312</v>
      </c>
      <c r="BP205" s="27" t="e">
        <f>+#REF!*Y205</f>
        <v>#REF!</v>
      </c>
      <c r="BQ205" s="27" t="e">
        <f>+BJ205-BP205</f>
        <v>#REF!</v>
      </c>
      <c r="BR205" s="27">
        <f>+BK205-BL205</f>
        <v>-123818.02626721312</v>
      </c>
      <c r="BS205" s="27" t="e">
        <f>+BQ205+BR205</f>
        <v>#REF!</v>
      </c>
      <c r="BT205" s="27">
        <f t="shared" si="347"/>
        <v>2.5</v>
      </c>
      <c r="BU205" s="27">
        <f>+BE205</f>
        <v>-49527.210506885247</v>
      </c>
      <c r="BV205" s="27">
        <f>IF(H205="Bundled",BN205-BL205,AR205-BL205)</f>
        <v>-123818.02626721312</v>
      </c>
      <c r="BW205" s="27" t="e">
        <f>IF(H205="Bundled",+(BG205-#REF!)*Y205,(AP205+AQ205)-Y205*#REF!)</f>
        <v>#REF!</v>
      </c>
      <c r="BX205" s="27" t="e">
        <f>+BV205+BW205</f>
        <v>#REF!</v>
      </c>
      <c r="BY205" s="27">
        <f t="shared" si="361"/>
        <v>-49527.210506885247</v>
      </c>
      <c r="BZ205" s="27" t="e">
        <f t="shared" si="361"/>
        <v>#REF!</v>
      </c>
      <c r="CA205" s="27" t="e">
        <f t="shared" si="361"/>
        <v>#REF!</v>
      </c>
    </row>
    <row r="206" spans="1:79" s="16" customFormat="1" x14ac:dyDescent="0.3">
      <c r="A206" s="199" t="s">
        <v>249</v>
      </c>
      <c r="B206" s="32" t="s">
        <v>238</v>
      </c>
      <c r="C206" s="32" t="s">
        <v>234</v>
      </c>
      <c r="D206" s="32" t="s">
        <v>405</v>
      </c>
      <c r="E206" s="32"/>
      <c r="F206" s="32"/>
      <c r="G206" s="33" t="s">
        <v>11</v>
      </c>
      <c r="H206" s="34" t="s">
        <v>52</v>
      </c>
      <c r="I206" s="33" t="s">
        <v>8</v>
      </c>
      <c r="J206" s="33" t="s">
        <v>61</v>
      </c>
      <c r="K206" s="31" t="str">
        <f t="shared" ref="K206:K227" si="365">IF(I206="Rack","No of Racks",(IF(I206="Space","Sq Ft","U Space")))</f>
        <v>No of Racks</v>
      </c>
      <c r="L206" s="33">
        <v>1</v>
      </c>
      <c r="M206" s="33">
        <v>1</v>
      </c>
      <c r="N206" s="35">
        <v>0</v>
      </c>
      <c r="O206" s="33">
        <v>1</v>
      </c>
      <c r="P206" s="33"/>
      <c r="Q206" s="42">
        <f>(545999)/12</f>
        <v>45499.916666666664</v>
      </c>
      <c r="R206" s="43" t="str">
        <f t="shared" ref="R206:R227" si="366">G206</f>
        <v>Rated</v>
      </c>
      <c r="S206" s="33" t="s">
        <v>54</v>
      </c>
      <c r="T206" s="34">
        <v>3.5</v>
      </c>
      <c r="U206" s="45">
        <v>1.1499999999999999</v>
      </c>
      <c r="V206" s="46">
        <f t="shared" ref="V206:V207" si="367">T206-U206</f>
        <v>2.35</v>
      </c>
      <c r="W206" s="34"/>
      <c r="X206" s="34">
        <f t="shared" si="362"/>
        <v>1.175</v>
      </c>
      <c r="Y206" s="34">
        <f t="shared" si="290"/>
        <v>1.75</v>
      </c>
      <c r="Z206" s="65">
        <f t="shared" si="355"/>
        <v>0.29732142857142857</v>
      </c>
      <c r="AA206" s="34">
        <f t="shared" ref="AA206:AA207" si="368">IF((V206*-1)&gt;0, (V206*-1), 0)</f>
        <v>0</v>
      </c>
      <c r="AB206" s="47">
        <f t="shared" si="357"/>
        <v>0</v>
      </c>
      <c r="AC206" s="48" t="str">
        <f t="shared" ref="AC206:AC227" si="369">H206</f>
        <v>Bundled</v>
      </c>
      <c r="AD206" s="34"/>
      <c r="AE206" s="34" t="s">
        <v>62</v>
      </c>
      <c r="AF206" s="49">
        <v>0</v>
      </c>
      <c r="AG206" s="34">
        <v>199.8</v>
      </c>
      <c r="AH206" s="50"/>
      <c r="AI206" s="51"/>
      <c r="AJ206" s="34"/>
      <c r="AK206" s="34"/>
      <c r="AL206" s="34">
        <f t="shared" ref="AL206:AL207" si="370">AJ206-AK206</f>
        <v>0</v>
      </c>
      <c r="AM206" s="34"/>
      <c r="AN206" s="34"/>
      <c r="AO206" s="42">
        <f t="shared" si="358"/>
        <v>0</v>
      </c>
      <c r="AP206" s="52">
        <f t="shared" ref="AP206:AP207" si="371">Q206*O206</f>
        <v>45499.916666666664</v>
      </c>
      <c r="AQ206" s="52">
        <f t="shared" ref="AQ206:AQ207" si="372">AB206*AA206</f>
        <v>0</v>
      </c>
      <c r="AR206" s="53">
        <f t="shared" ref="AR206:AR207" si="373">AG206*AF206*AD206</f>
        <v>0</v>
      </c>
      <c r="AS206" s="52">
        <f t="shared" ref="AS206:AS207" si="374">AO206*AM206</f>
        <v>0</v>
      </c>
      <c r="AT206" s="54">
        <f t="shared" si="359"/>
        <v>0</v>
      </c>
      <c r="AU206" s="55">
        <f t="shared" ref="AU206:AU207" si="375">SUBTOTAL(9,AP206:AT206)</f>
        <v>45499.916666666664</v>
      </c>
      <c r="AV206" s="55"/>
      <c r="AW206" s="67"/>
      <c r="AX206" s="68"/>
      <c r="AY206" s="69"/>
      <c r="AZ206" s="68"/>
      <c r="BA206" s="89"/>
      <c r="BB206" s="5"/>
      <c r="BC206" s="29">
        <f t="shared" ref="BC206:BC207" si="376">IF(I206="Rack",AU206/L206,0)+IF(I206="U Space",AU206*40/L206,0)+IF(I206="Space",AU206*30/L206,0)</f>
        <v>45499.916666666664</v>
      </c>
      <c r="BD206" s="29">
        <f t="shared" ref="BD206:BD207" si="377">+AU206/Y206</f>
        <v>25999.952380952378</v>
      </c>
      <c r="BE206" s="25">
        <f t="shared" ref="BE206:BE207" si="378">+($AP206+$AQ206+$AR206-BL206)/$Y206</f>
        <v>22902.428181420761</v>
      </c>
      <c r="BF206" s="25">
        <f t="shared" ref="BF206:BF207" si="379">+($AP206+$AQ206+$AR206-BM206)/$Y206</f>
        <v>22902.428181420761</v>
      </c>
      <c r="BG206" s="25">
        <f t="shared" ref="BG206:BG207" si="380">+($AP206+$AQ206+IF(H206="Bundled",0,Y206*0.85*AD206*AF206*30.5*24)-BN206)/$Y206</f>
        <v>7753.0321309523797</v>
      </c>
      <c r="BH206" s="29"/>
      <c r="BI206" s="26">
        <f t="shared" ref="BI206:BI207" si="381">+AP206+AQ206+AR206</f>
        <v>45499.916666666664</v>
      </c>
      <c r="BJ206" s="26" t="e">
        <f t="shared" ref="BJ206:BJ207" si="382">+BI206-BK206</f>
        <v>#REF!</v>
      </c>
      <c r="BK206" s="26" t="e">
        <f>IF(H206="Bundled",MIN(Y206*$AG$1*(1+#REF!),BI206),AR206)</f>
        <v>#REF!</v>
      </c>
      <c r="BL206" s="27">
        <f t="shared" si="340"/>
        <v>5420.6673491803276</v>
      </c>
      <c r="BM206" s="27">
        <f t="shared" si="363"/>
        <v>5420.6673491803276</v>
      </c>
      <c r="BN206" s="27">
        <f t="shared" si="342"/>
        <v>31932.1104375</v>
      </c>
      <c r="BO206" s="27">
        <f t="shared" ref="BO206:BO207" si="383">+BE206*Y206</f>
        <v>40079.249317486334</v>
      </c>
      <c r="BP206" s="27" t="e">
        <f>+#REF!*Y206</f>
        <v>#REF!</v>
      </c>
      <c r="BQ206" s="27" t="e">
        <f t="shared" ref="BQ206:BQ207" si="384">+BJ206-BP206</f>
        <v>#REF!</v>
      </c>
      <c r="BR206" s="27" t="e">
        <f t="shared" ref="BR206:BR207" si="385">+BK206-BL206</f>
        <v>#REF!</v>
      </c>
      <c r="BS206" s="27" t="e">
        <f t="shared" ref="BS206:BS207" si="386">+BQ206+BR206</f>
        <v>#REF!</v>
      </c>
      <c r="BT206" s="27">
        <f t="shared" ref="BT206:BT207" si="387">+Y206</f>
        <v>1.75</v>
      </c>
      <c r="BU206" s="27">
        <f t="shared" ref="BU206:BU207" si="388">+BE206</f>
        <v>22902.428181420761</v>
      </c>
      <c r="BV206" s="27">
        <f t="shared" ref="BV206:BV207" si="389">IF(H206="Bundled",BN206-BL206,AR206-BL206)</f>
        <v>26511.443088319673</v>
      </c>
      <c r="BW206" s="27" t="e">
        <f>IF(H206="Bundled",+(BG206-#REF!)*Y206,(AP206+AQ206)-Y206*#REF!)</f>
        <v>#REF!</v>
      </c>
      <c r="BX206" s="27" t="e">
        <f t="shared" ref="BX206:BX207" si="390">+BV206+BW206</f>
        <v>#REF!</v>
      </c>
      <c r="BY206" s="27">
        <f t="shared" ref="BY206:BY207" si="391">+BV206/$BT206</f>
        <v>15149.396050468384</v>
      </c>
      <c r="BZ206" s="27" t="e">
        <f t="shared" ref="BZ206:BZ207" si="392">+BW206/$BT206</f>
        <v>#REF!</v>
      </c>
      <c r="CA206" s="27" t="e">
        <f t="shared" ref="CA206:CA207" si="393">+BX206/$BT206</f>
        <v>#REF!</v>
      </c>
    </row>
    <row r="207" spans="1:79" s="16" customFormat="1" x14ac:dyDescent="0.3">
      <c r="A207" s="285" t="s">
        <v>249</v>
      </c>
      <c r="B207" s="286" t="s">
        <v>233</v>
      </c>
      <c r="C207" s="286" t="s">
        <v>235</v>
      </c>
      <c r="D207" s="32" t="s">
        <v>404</v>
      </c>
      <c r="E207" s="286"/>
      <c r="F207" s="286"/>
      <c r="G207" s="287" t="s">
        <v>56</v>
      </c>
      <c r="H207" s="288" t="s">
        <v>57</v>
      </c>
      <c r="I207" s="287" t="s">
        <v>8</v>
      </c>
      <c r="J207" s="287" t="s">
        <v>61</v>
      </c>
      <c r="K207" s="289" t="str">
        <f t="shared" si="365"/>
        <v>No of Racks</v>
      </c>
      <c r="L207" s="287">
        <v>1</v>
      </c>
      <c r="M207" s="287">
        <v>1</v>
      </c>
      <c r="N207" s="290">
        <f t="shared" ref="N207:N227" si="394">L207-M207</f>
        <v>0</v>
      </c>
      <c r="O207" s="287">
        <v>1</v>
      </c>
      <c r="P207" s="287"/>
      <c r="Q207" s="291">
        <f>(0)/12</f>
        <v>0</v>
      </c>
      <c r="R207" s="292" t="str">
        <f t="shared" si="366"/>
        <v>Subscribed</v>
      </c>
      <c r="S207" s="287" t="s">
        <v>58</v>
      </c>
      <c r="T207" s="288">
        <v>3</v>
      </c>
      <c r="U207" s="293">
        <f t="shared" ref="U207" si="395">Z207</f>
        <v>2.0736607142857144</v>
      </c>
      <c r="V207" s="294">
        <f t="shared" si="367"/>
        <v>0.92633928571428559</v>
      </c>
      <c r="W207" s="288"/>
      <c r="X207" s="34">
        <f t="shared" si="362"/>
        <v>0.92633928571428559</v>
      </c>
      <c r="Y207" s="288">
        <f t="shared" si="290"/>
        <v>3</v>
      </c>
      <c r="Z207" s="65">
        <f t="shared" si="355"/>
        <v>2.0736607142857144</v>
      </c>
      <c r="AA207" s="288">
        <f t="shared" si="368"/>
        <v>0</v>
      </c>
      <c r="AB207" s="296">
        <f t="shared" si="357"/>
        <v>0</v>
      </c>
      <c r="AC207" s="297" t="str">
        <f t="shared" si="369"/>
        <v>Metered</v>
      </c>
      <c r="AD207" s="288"/>
      <c r="AE207" s="288" t="s">
        <v>62</v>
      </c>
      <c r="AF207" s="298">
        <v>0</v>
      </c>
      <c r="AG207" s="288">
        <v>1393.5</v>
      </c>
      <c r="AH207" s="299"/>
      <c r="AI207" s="300"/>
      <c r="AJ207" s="288"/>
      <c r="AK207" s="288"/>
      <c r="AL207" s="288">
        <f t="shared" si="370"/>
        <v>0</v>
      </c>
      <c r="AM207" s="288"/>
      <c r="AN207" s="288"/>
      <c r="AO207" s="291">
        <f t="shared" si="358"/>
        <v>0</v>
      </c>
      <c r="AP207" s="301">
        <f t="shared" si="371"/>
        <v>0</v>
      </c>
      <c r="AQ207" s="301">
        <f t="shared" si="372"/>
        <v>0</v>
      </c>
      <c r="AR207" s="302">
        <f t="shared" si="373"/>
        <v>0</v>
      </c>
      <c r="AS207" s="301">
        <f t="shared" si="374"/>
        <v>0</v>
      </c>
      <c r="AT207" s="303">
        <f t="shared" si="359"/>
        <v>0</v>
      </c>
      <c r="AU207" s="304">
        <f t="shared" si="375"/>
        <v>0</v>
      </c>
      <c r="AV207" s="304"/>
      <c r="AW207" s="305"/>
      <c r="AX207" s="306"/>
      <c r="AY207" s="307"/>
      <c r="AZ207" s="306"/>
      <c r="BA207" s="308"/>
      <c r="BB207" s="5"/>
      <c r="BC207" s="309">
        <f t="shared" si="376"/>
        <v>0</v>
      </c>
      <c r="BD207" s="309">
        <f t="shared" si="377"/>
        <v>0</v>
      </c>
      <c r="BE207" s="309">
        <f t="shared" si="378"/>
        <v>-12602.102020491802</v>
      </c>
      <c r="BF207" s="309">
        <f t="shared" si="379"/>
        <v>-12602.102020491802</v>
      </c>
      <c r="BG207" s="309">
        <f t="shared" si="380"/>
        <v>-15509.882212500001</v>
      </c>
      <c r="BH207" s="309"/>
      <c r="BI207" s="310">
        <f t="shared" si="381"/>
        <v>0</v>
      </c>
      <c r="BJ207" s="310">
        <f t="shared" si="382"/>
        <v>0</v>
      </c>
      <c r="BK207" s="310">
        <f>IF(H207="Bundled",MIN(Y207*$AG$1*(1+#REF!),BI207),AR207)</f>
        <v>0</v>
      </c>
      <c r="BL207" s="311">
        <f t="shared" si="340"/>
        <v>37806.306061475407</v>
      </c>
      <c r="BM207" s="311">
        <f t="shared" si="363"/>
        <v>37806.306061475407</v>
      </c>
      <c r="BN207" s="311">
        <f t="shared" si="342"/>
        <v>46529.646637500002</v>
      </c>
      <c r="BO207" s="311">
        <f t="shared" si="383"/>
        <v>-37806.306061475407</v>
      </c>
      <c r="BP207" s="311" t="e">
        <f>+#REF!*Y207</f>
        <v>#REF!</v>
      </c>
      <c r="BQ207" s="311" t="e">
        <f t="shared" si="384"/>
        <v>#REF!</v>
      </c>
      <c r="BR207" s="311">
        <f t="shared" si="385"/>
        <v>-37806.306061475407</v>
      </c>
      <c r="BS207" s="311" t="e">
        <f t="shared" si="386"/>
        <v>#REF!</v>
      </c>
      <c r="BT207" s="311">
        <f t="shared" si="387"/>
        <v>3</v>
      </c>
      <c r="BU207" s="311">
        <f t="shared" si="388"/>
        <v>-12602.102020491802</v>
      </c>
      <c r="BV207" s="311">
        <f t="shared" si="389"/>
        <v>-37806.306061475407</v>
      </c>
      <c r="BW207" s="311" t="e">
        <f>IF(H207="Bundled",+(BG207-#REF!)*Y207,(AP207+AQ207)-Y207*#REF!)</f>
        <v>#REF!</v>
      </c>
      <c r="BX207" s="311" t="e">
        <f t="shared" si="390"/>
        <v>#REF!</v>
      </c>
      <c r="BY207" s="311">
        <f t="shared" si="391"/>
        <v>-12602.102020491802</v>
      </c>
      <c r="BZ207" s="311" t="e">
        <f t="shared" si="392"/>
        <v>#REF!</v>
      </c>
      <c r="CA207" s="311" t="e">
        <f t="shared" si="393"/>
        <v>#REF!</v>
      </c>
    </row>
    <row r="208" spans="1:79" s="16" customFormat="1" x14ac:dyDescent="0.3">
      <c r="A208" s="326" t="s">
        <v>249</v>
      </c>
      <c r="B208" s="502" t="s">
        <v>474</v>
      </c>
      <c r="C208" s="286" t="s">
        <v>475</v>
      </c>
      <c r="D208" s="181" t="s">
        <v>404</v>
      </c>
      <c r="E208" s="181"/>
      <c r="F208" s="181"/>
      <c r="G208" s="33" t="s">
        <v>11</v>
      </c>
      <c r="H208" s="34" t="s">
        <v>52</v>
      </c>
      <c r="I208" s="33" t="s">
        <v>60</v>
      </c>
      <c r="J208" s="33" t="s">
        <v>61</v>
      </c>
      <c r="K208" s="31" t="str">
        <f>IF(I208="Rack","No of Racks",(IF(I208="Space","Sq Ft","U Space")))</f>
        <v>U Space</v>
      </c>
      <c r="L208" s="33">
        <v>12</v>
      </c>
      <c r="M208" s="175">
        <v>12</v>
      </c>
      <c r="N208" s="176">
        <v>0</v>
      </c>
      <c r="O208" s="175">
        <v>12</v>
      </c>
      <c r="P208" s="175"/>
      <c r="Q208" s="177"/>
      <c r="R208" s="43" t="s">
        <v>11</v>
      </c>
      <c r="S208" s="33" t="s">
        <v>54</v>
      </c>
      <c r="T208" s="34">
        <v>1</v>
      </c>
      <c r="U208" s="293">
        <v>0.31</v>
      </c>
      <c r="V208" s="46">
        <f>T208-U208</f>
        <v>0.69</v>
      </c>
      <c r="W208" s="34"/>
      <c r="X208" s="34">
        <f>IF(V208&lt;=0,0,(IF(R208="Rated",(V208+W208)*'Noida-01'!$X$1,(V208+W208))))</f>
        <v>0.34499999999999997</v>
      </c>
      <c r="Y208" s="34">
        <f>IF(R208="Rated",T208*'Noida-01'!$X$1,T208)</f>
        <v>0.5</v>
      </c>
      <c r="Z208" s="493">
        <f>AG208/28/24</f>
        <v>0</v>
      </c>
      <c r="AA208" s="34">
        <f>IF((V208*-1)&gt;0, (V208*-1), 0)</f>
        <v>0</v>
      </c>
      <c r="AB208" s="47">
        <f>0/12</f>
        <v>0</v>
      </c>
      <c r="AC208" s="48"/>
      <c r="AD208" s="34"/>
      <c r="AE208" s="34" t="s">
        <v>62</v>
      </c>
      <c r="AF208" s="49">
        <v>0</v>
      </c>
      <c r="AG208" s="369"/>
      <c r="AH208" s="50"/>
      <c r="AI208" s="51"/>
      <c r="AJ208" s="34"/>
      <c r="AK208" s="34"/>
      <c r="AL208" s="34"/>
      <c r="AM208" s="34"/>
      <c r="AN208" s="34"/>
      <c r="AO208" s="42"/>
      <c r="AP208" s="52"/>
      <c r="AQ208" s="52"/>
      <c r="AR208" s="53"/>
      <c r="AS208" s="52"/>
      <c r="AT208" s="54"/>
      <c r="AU208" s="55"/>
      <c r="AV208" s="55"/>
      <c r="AW208" s="67"/>
      <c r="AX208" s="68"/>
      <c r="AY208" s="69"/>
      <c r="AZ208" s="68"/>
      <c r="BA208" s="70"/>
      <c r="BB208" s="70"/>
      <c r="BC208" s="59"/>
      <c r="BD208" s="59"/>
      <c r="BE208" s="59"/>
      <c r="BF208" s="59"/>
      <c r="BG208" s="59"/>
      <c r="BH208" s="59"/>
      <c r="BI208" s="60"/>
      <c r="BJ208" s="60"/>
      <c r="BK208" s="60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</row>
    <row r="209" spans="1:79" s="16" customFormat="1" x14ac:dyDescent="0.3">
      <c r="A209" s="326" t="s">
        <v>249</v>
      </c>
      <c r="B209" s="503"/>
      <c r="C209" s="286" t="s">
        <v>548</v>
      </c>
      <c r="D209" s="181" t="s">
        <v>404</v>
      </c>
      <c r="E209" s="181"/>
      <c r="F209" s="181"/>
      <c r="G209" s="33" t="s">
        <v>11</v>
      </c>
      <c r="H209" s="34" t="s">
        <v>52</v>
      </c>
      <c r="I209" s="33" t="s">
        <v>60</v>
      </c>
      <c r="J209" s="33" t="s">
        <v>61</v>
      </c>
      <c r="K209" s="31" t="str">
        <f>IF(I209="Rack","No of Racks",(IF(I209="Space","Sq Ft","U Space")))</f>
        <v>U Space</v>
      </c>
      <c r="L209" s="33">
        <v>10</v>
      </c>
      <c r="M209" s="175">
        <v>10</v>
      </c>
      <c r="N209" s="176">
        <v>0</v>
      </c>
      <c r="O209" s="175">
        <v>10</v>
      </c>
      <c r="P209" s="175"/>
      <c r="Q209" s="177"/>
      <c r="R209" s="43" t="s">
        <v>11</v>
      </c>
      <c r="S209" s="33" t="s">
        <v>54</v>
      </c>
      <c r="T209" s="34">
        <v>1.5</v>
      </c>
      <c r="U209" s="293">
        <v>1.1000000000000001</v>
      </c>
      <c r="V209" s="46">
        <f>T209-U209</f>
        <v>0.39999999999999991</v>
      </c>
      <c r="W209" s="34"/>
      <c r="X209" s="34">
        <f>IF(V209&lt;=0,0,(IF(R209="Rated",(V209+W209)*'Noida-01'!$X$1,(V209+W209))))</f>
        <v>0.19999999999999996</v>
      </c>
      <c r="Y209" s="34">
        <f>IF(R209="Rated",T209*'Noida-01'!$X$1,T209)</f>
        <v>0.75</v>
      </c>
      <c r="Z209" s="495"/>
      <c r="AA209" s="34">
        <f>IF((V209*-1)&gt;0, (V209*-1), 0)</f>
        <v>0</v>
      </c>
      <c r="AB209" s="47">
        <f>0/12</f>
        <v>0</v>
      </c>
      <c r="AC209" s="48"/>
      <c r="AD209" s="34"/>
      <c r="AE209" s="34" t="s">
        <v>62</v>
      </c>
      <c r="AF209" s="49">
        <v>0</v>
      </c>
      <c r="AG209" s="369"/>
      <c r="AH209" s="50"/>
      <c r="AI209" s="51"/>
      <c r="AJ209" s="34"/>
      <c r="AK209" s="34"/>
      <c r="AL209" s="34"/>
      <c r="AM209" s="34"/>
      <c r="AN209" s="34"/>
      <c r="AO209" s="42"/>
      <c r="AP209" s="52"/>
      <c r="AQ209" s="52"/>
      <c r="AR209" s="53"/>
      <c r="AS209" s="52"/>
      <c r="AT209" s="54"/>
      <c r="AU209" s="55"/>
      <c r="AV209" s="55"/>
      <c r="AW209" s="67"/>
      <c r="AX209" s="68"/>
      <c r="AY209" s="69"/>
      <c r="AZ209" s="68"/>
      <c r="BA209" s="70"/>
      <c r="BB209" s="70"/>
      <c r="BC209" s="59"/>
      <c r="BD209" s="59"/>
      <c r="BE209" s="59"/>
      <c r="BF209" s="59"/>
      <c r="BG209" s="59"/>
      <c r="BH209" s="59"/>
      <c r="BI209" s="60"/>
      <c r="BJ209" s="60"/>
      <c r="BK209" s="60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</row>
    <row r="210" spans="1:79" s="16" customFormat="1" x14ac:dyDescent="0.3">
      <c r="A210" s="326" t="s">
        <v>249</v>
      </c>
      <c r="B210" s="81" t="s">
        <v>473</v>
      </c>
      <c r="C210" s="370" t="s">
        <v>223</v>
      </c>
      <c r="D210" s="181" t="s">
        <v>405</v>
      </c>
      <c r="E210" s="181"/>
      <c r="F210" s="181"/>
      <c r="G210" s="33" t="s">
        <v>11</v>
      </c>
      <c r="H210" s="34" t="s">
        <v>52</v>
      </c>
      <c r="I210" s="33" t="s">
        <v>8</v>
      </c>
      <c r="J210" s="33" t="s">
        <v>61</v>
      </c>
      <c r="K210" s="31" t="str">
        <f>IF(I210="Rack","No of Racks",(IF(I210="Space","Sq Ft","U Space")))</f>
        <v>No of Racks</v>
      </c>
      <c r="L210" s="33">
        <v>1</v>
      </c>
      <c r="M210" s="175">
        <v>1</v>
      </c>
      <c r="N210" s="176">
        <v>0</v>
      </c>
      <c r="O210" s="175">
        <v>1</v>
      </c>
      <c r="P210" s="175"/>
      <c r="Q210" s="177"/>
      <c r="R210" s="43" t="s">
        <v>11</v>
      </c>
      <c r="S210" s="33" t="s">
        <v>54</v>
      </c>
      <c r="T210" s="34">
        <v>6</v>
      </c>
      <c r="U210" s="45">
        <v>11.36</v>
      </c>
      <c r="V210" s="46">
        <f>T210-U210</f>
        <v>-5.3599999999999994</v>
      </c>
      <c r="W210" s="34"/>
      <c r="X210" s="34">
        <f>IF(V210&lt;=0,0,(IF(R210="Rated",(V210+W210)*'Noida-01'!$X$1,(V210+W210))))</f>
        <v>0</v>
      </c>
      <c r="Y210" s="288">
        <f>IF(R210="Rated",T210*'Noida-01'!$X$1,T210)</f>
        <v>3</v>
      </c>
      <c r="Z210" s="65">
        <f>AG210/28/24</f>
        <v>1.7473214285714287</v>
      </c>
      <c r="AA210" s="34">
        <f>IF((V210*-1)&gt;0, (V210*-1), 0)</f>
        <v>5.3599999999999994</v>
      </c>
      <c r="AB210" s="47"/>
      <c r="AC210" s="48"/>
      <c r="AD210" s="34"/>
      <c r="AE210" s="34"/>
      <c r="AF210" s="49"/>
      <c r="AG210" s="369">
        <v>1174.2</v>
      </c>
      <c r="AH210" s="50"/>
      <c r="AI210" s="51"/>
      <c r="AJ210" s="34"/>
      <c r="AK210" s="34"/>
      <c r="AL210" s="34"/>
      <c r="AM210" s="34"/>
      <c r="AN210" s="34"/>
      <c r="AO210" s="42"/>
      <c r="AP210" s="52"/>
      <c r="AQ210" s="52"/>
      <c r="AR210" s="53"/>
      <c r="AS210" s="52"/>
      <c r="AT210" s="54"/>
      <c r="AU210" s="55"/>
      <c r="AV210" s="55"/>
      <c r="AW210" s="67"/>
      <c r="AX210" s="68"/>
      <c r="AY210" s="69"/>
      <c r="AZ210" s="68"/>
      <c r="BA210" s="70"/>
      <c r="BB210" s="70"/>
      <c r="BC210" s="59"/>
      <c r="BD210" s="59"/>
      <c r="BE210" s="59"/>
      <c r="BF210" s="59"/>
      <c r="BG210" s="59"/>
      <c r="BH210" s="59"/>
      <c r="BI210" s="60"/>
      <c r="BJ210" s="60"/>
      <c r="BK210" s="60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</row>
    <row r="211" spans="1:79" s="16" customFormat="1" x14ac:dyDescent="0.3">
      <c r="A211" s="326" t="s">
        <v>249</v>
      </c>
      <c r="B211" s="81" t="s">
        <v>492</v>
      </c>
      <c r="C211" s="16" t="s">
        <v>493</v>
      </c>
      <c r="D211" s="181" t="s">
        <v>405</v>
      </c>
      <c r="E211" s="181"/>
      <c r="F211" s="181"/>
      <c r="G211" s="33" t="s">
        <v>11</v>
      </c>
      <c r="H211" s="34" t="s">
        <v>52</v>
      </c>
      <c r="I211" s="33" t="s">
        <v>8</v>
      </c>
      <c r="J211" s="33"/>
      <c r="K211" s="31" t="str">
        <f>IF(I211="Rack","No of Racks",(IF(I211="Space","Sq Ft","U Space")))</f>
        <v>No of Racks</v>
      </c>
      <c r="L211" s="33">
        <v>1</v>
      </c>
      <c r="M211" s="175">
        <v>1</v>
      </c>
      <c r="N211" s="176">
        <v>0</v>
      </c>
      <c r="O211" s="175">
        <v>1</v>
      </c>
      <c r="P211" s="175"/>
      <c r="Q211" s="177"/>
      <c r="R211" s="43" t="s">
        <v>11</v>
      </c>
      <c r="S211" s="33" t="s">
        <v>54</v>
      </c>
      <c r="T211" s="34">
        <v>3.5</v>
      </c>
      <c r="U211" s="45">
        <v>5.09</v>
      </c>
      <c r="V211" s="46">
        <f>T211-U211</f>
        <v>-1.5899999999999999</v>
      </c>
      <c r="W211" s="34"/>
      <c r="X211" s="34"/>
      <c r="Y211" s="288"/>
      <c r="Z211" s="65">
        <v>1.68</v>
      </c>
      <c r="AA211" s="34">
        <f>IF((V211*-1)&gt;0, (V211*-1), 0)</f>
        <v>1.5899999999999999</v>
      </c>
      <c r="AB211" s="47"/>
      <c r="AC211" s="48"/>
      <c r="AD211" s="34"/>
      <c r="AE211" s="34"/>
      <c r="AF211" s="49"/>
      <c r="AG211" s="369">
        <v>410.7</v>
      </c>
      <c r="AH211" s="50"/>
      <c r="AI211" s="51"/>
      <c r="AJ211" s="34"/>
      <c r="AK211" s="34"/>
      <c r="AL211" s="34"/>
      <c r="AM211" s="34"/>
      <c r="AN211" s="34"/>
      <c r="AO211" s="42"/>
      <c r="AP211" s="52"/>
      <c r="AQ211" s="52"/>
      <c r="AR211" s="53"/>
      <c r="AS211" s="52"/>
      <c r="AT211" s="54"/>
      <c r="AU211" s="55"/>
      <c r="AV211" s="55"/>
      <c r="AW211" s="67"/>
      <c r="AX211" s="68"/>
      <c r="AY211" s="69"/>
      <c r="AZ211" s="68"/>
      <c r="BA211" s="70"/>
      <c r="BB211" s="70"/>
      <c r="BC211" s="59"/>
      <c r="BD211" s="59"/>
      <c r="BE211" s="59"/>
      <c r="BF211" s="59"/>
      <c r="BG211" s="59"/>
      <c r="BH211" s="59"/>
      <c r="BI211" s="60"/>
      <c r="BJ211" s="60"/>
      <c r="BK211" s="60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</row>
    <row r="212" spans="1:79" s="16" customFormat="1" ht="39" x14ac:dyDescent="0.3">
      <c r="A212" s="326" t="s">
        <v>249</v>
      </c>
      <c r="B212" s="32" t="s">
        <v>240</v>
      </c>
      <c r="C212" s="182" t="s">
        <v>447</v>
      </c>
      <c r="D212" s="279" t="s">
        <v>405</v>
      </c>
      <c r="E212" s="279"/>
      <c r="F212" s="279"/>
      <c r="G212" s="33" t="s">
        <v>11</v>
      </c>
      <c r="H212" s="34" t="s">
        <v>52</v>
      </c>
      <c r="I212" s="33" t="s">
        <v>8</v>
      </c>
      <c r="J212" s="33" t="s">
        <v>61</v>
      </c>
      <c r="K212" s="31" t="str">
        <f t="shared" si="365"/>
        <v>No of Racks</v>
      </c>
      <c r="L212" s="33">
        <v>1</v>
      </c>
      <c r="M212" s="33">
        <v>1</v>
      </c>
      <c r="N212" s="35">
        <f t="shared" si="394"/>
        <v>0</v>
      </c>
      <c r="O212" s="33">
        <v>1</v>
      </c>
      <c r="P212" s="33"/>
      <c r="Q212" s="42">
        <f>(878000)/12</f>
        <v>73166.666666666672</v>
      </c>
      <c r="R212" s="43" t="str">
        <f t="shared" si="366"/>
        <v>Rated</v>
      </c>
      <c r="S212" s="33" t="s">
        <v>54</v>
      </c>
      <c r="T212" s="34">
        <v>9</v>
      </c>
      <c r="U212" s="45">
        <v>9.82</v>
      </c>
      <c r="V212" s="46">
        <f t="shared" ref="V212:V227" si="396">T212-U212</f>
        <v>-0.82000000000000028</v>
      </c>
      <c r="W212" s="34"/>
      <c r="X212" s="34">
        <f t="shared" ref="X212:X227" si="397">IF(V212&lt;=0,0,(IF(R212="Rated",(V212+W212)*$X$1,(V212+W212))))</f>
        <v>0</v>
      </c>
      <c r="Y212" s="288">
        <f t="shared" ref="Y212:Y227" si="398">IF(R212="Rated",T212*$X$1,T212)</f>
        <v>4.5</v>
      </c>
      <c r="Z212" s="65">
        <f>AG212/28/24</f>
        <v>1.7748511904761906</v>
      </c>
      <c r="AA212" s="34">
        <f t="shared" ref="AA212:AA226" si="399">IF((V212*-1)&gt;0, (V212*-1), 0)</f>
        <v>0.82000000000000028</v>
      </c>
      <c r="AB212" s="47"/>
      <c r="AC212" s="48" t="str">
        <f t="shared" si="369"/>
        <v>Bundled</v>
      </c>
      <c r="AD212" s="34"/>
      <c r="AE212" s="34"/>
      <c r="AF212" s="49"/>
      <c r="AG212" s="34">
        <v>1192.7</v>
      </c>
      <c r="AH212" s="50"/>
      <c r="AI212" s="51"/>
      <c r="AJ212" s="34"/>
      <c r="AK212" s="34"/>
      <c r="AL212" s="34"/>
      <c r="AM212" s="34"/>
      <c r="AN212" s="34"/>
      <c r="AO212" s="42"/>
      <c r="AP212" s="52"/>
      <c r="AQ212" s="52"/>
      <c r="AR212" s="53"/>
      <c r="AS212" s="52"/>
      <c r="AT212" s="54"/>
      <c r="AU212" s="55"/>
      <c r="AV212" s="55"/>
      <c r="AW212" s="67"/>
      <c r="AX212" s="68"/>
      <c r="AY212" s="69"/>
      <c r="AZ212" s="68"/>
      <c r="BA212" s="70"/>
      <c r="BB212" s="70"/>
      <c r="BC212" s="59"/>
      <c r="BD212" s="59"/>
      <c r="BE212" s="59"/>
      <c r="BF212" s="59"/>
      <c r="BG212" s="59"/>
      <c r="BH212" s="59"/>
      <c r="BI212" s="60"/>
      <c r="BJ212" s="60"/>
      <c r="BK212" s="60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</row>
    <row r="213" spans="1:79" s="16" customFormat="1" x14ac:dyDescent="0.3">
      <c r="A213" s="326" t="s">
        <v>249</v>
      </c>
      <c r="B213" s="32" t="s">
        <v>300</v>
      </c>
      <c r="C213" s="182" t="s">
        <v>317</v>
      </c>
      <c r="D213" s="279" t="s">
        <v>404</v>
      </c>
      <c r="E213" s="279"/>
      <c r="F213" s="279"/>
      <c r="G213" s="33" t="s">
        <v>56</v>
      </c>
      <c r="H213" s="34" t="s">
        <v>57</v>
      </c>
      <c r="I213" s="33" t="s">
        <v>8</v>
      </c>
      <c r="J213" s="33" t="s">
        <v>61</v>
      </c>
      <c r="K213" s="31" t="str">
        <f t="shared" si="365"/>
        <v>No of Racks</v>
      </c>
      <c r="L213" s="33">
        <v>1</v>
      </c>
      <c r="M213" s="33">
        <v>1</v>
      </c>
      <c r="N213" s="35">
        <f t="shared" si="394"/>
        <v>0</v>
      </c>
      <c r="O213" s="33">
        <v>1</v>
      </c>
      <c r="P213" s="33"/>
      <c r="Q213" s="42">
        <f>(878000)/12</f>
        <v>73166.666666666672</v>
      </c>
      <c r="R213" s="43" t="str">
        <f t="shared" si="366"/>
        <v>Subscribed</v>
      </c>
      <c r="S213" s="33" t="s">
        <v>58</v>
      </c>
      <c r="T213" s="34">
        <v>3</v>
      </c>
      <c r="U213" s="66">
        <f t="shared" ref="U213:U222" si="400">Z213</f>
        <v>5.6090773809523817</v>
      </c>
      <c r="V213" s="46">
        <f t="shared" si="396"/>
        <v>-2.6090773809523817</v>
      </c>
      <c r="W213" s="34"/>
      <c r="X213" s="34">
        <f t="shared" si="397"/>
        <v>0</v>
      </c>
      <c r="Y213" s="288">
        <f t="shared" si="398"/>
        <v>3</v>
      </c>
      <c r="Z213" s="65">
        <f>AG213/28/24</f>
        <v>5.6090773809523817</v>
      </c>
      <c r="AA213" s="34">
        <f t="shared" si="399"/>
        <v>2.6090773809523817</v>
      </c>
      <c r="AB213" s="47"/>
      <c r="AC213" s="48" t="str">
        <f t="shared" si="369"/>
        <v>Metered</v>
      </c>
      <c r="AD213" s="34"/>
      <c r="AE213" s="34"/>
      <c r="AF213" s="49"/>
      <c r="AG213" s="34">
        <v>3769.3</v>
      </c>
      <c r="AH213" s="50"/>
      <c r="AI213" s="51"/>
      <c r="AJ213" s="34"/>
      <c r="AK213" s="34"/>
      <c r="AL213" s="34"/>
      <c r="AM213" s="34"/>
      <c r="AN213" s="34"/>
      <c r="AO213" s="42"/>
      <c r="AP213" s="52"/>
      <c r="AQ213" s="52"/>
      <c r="AR213" s="53"/>
      <c r="AS213" s="52"/>
      <c r="AT213" s="54"/>
      <c r="AU213" s="55"/>
      <c r="AV213" s="55"/>
      <c r="AW213" s="67"/>
      <c r="AX213" s="68"/>
      <c r="AY213" s="69"/>
      <c r="AZ213" s="68"/>
      <c r="BA213" s="70"/>
      <c r="BB213" s="70"/>
      <c r="BC213" s="59"/>
      <c r="BD213" s="59"/>
      <c r="BE213" s="59"/>
      <c r="BF213" s="59"/>
      <c r="BG213" s="59"/>
      <c r="BH213" s="59"/>
      <c r="BI213" s="60"/>
      <c r="BJ213" s="60"/>
      <c r="BK213" s="60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</row>
    <row r="214" spans="1:79" s="16" customFormat="1" x14ac:dyDescent="0.3">
      <c r="A214" s="326" t="s">
        <v>249</v>
      </c>
      <c r="B214" s="32" t="s">
        <v>399</v>
      </c>
      <c r="C214" s="327" t="s">
        <v>398</v>
      </c>
      <c r="D214" s="281" t="s">
        <v>404</v>
      </c>
      <c r="E214" s="281"/>
      <c r="F214" s="281"/>
      <c r="G214" s="33" t="s">
        <v>56</v>
      </c>
      <c r="H214" s="34" t="s">
        <v>57</v>
      </c>
      <c r="I214" s="33" t="s">
        <v>8</v>
      </c>
      <c r="J214" s="33" t="s">
        <v>61</v>
      </c>
      <c r="K214" s="31" t="str">
        <f t="shared" ref="K214" si="401">IF(I214="Rack","No of Racks",(IF(I214="Space","Sq Ft","U Space")))</f>
        <v>No of Racks</v>
      </c>
      <c r="L214" s="33">
        <v>1</v>
      </c>
      <c r="M214" s="33">
        <v>1</v>
      </c>
      <c r="N214" s="35">
        <f t="shared" ref="N214" si="402">L214-M214</f>
        <v>0</v>
      </c>
      <c r="O214" s="33">
        <v>1</v>
      </c>
      <c r="P214" s="33"/>
      <c r="Q214" s="42"/>
      <c r="R214" s="43" t="str">
        <f t="shared" ref="R214" si="403">G214</f>
        <v>Subscribed</v>
      </c>
      <c r="S214" s="33" t="s">
        <v>58</v>
      </c>
      <c r="T214" s="34">
        <v>3</v>
      </c>
      <c r="U214" s="66">
        <f t="shared" ref="U214:U219" si="404">Z214</f>
        <v>1.8790178571428573</v>
      </c>
      <c r="V214" s="46">
        <f t="shared" ref="V214" si="405">T214-U214</f>
        <v>1.1209821428571427</v>
      </c>
      <c r="W214" s="34"/>
      <c r="X214" s="34">
        <f t="shared" si="397"/>
        <v>1.1209821428571427</v>
      </c>
      <c r="Y214" s="288">
        <f t="shared" si="398"/>
        <v>3</v>
      </c>
      <c r="Z214" s="65">
        <f t="shared" ref="Z214:Z227" si="406">AG214/28/24</f>
        <v>1.8790178571428573</v>
      </c>
      <c r="AA214" s="34">
        <f t="shared" ref="AA214" si="407">IF((V214*-1)&gt;0, (V214*-1), 0)</f>
        <v>0</v>
      </c>
      <c r="AB214" s="47"/>
      <c r="AC214" s="48" t="str">
        <f t="shared" ref="AC214" si="408">H214</f>
        <v>Metered</v>
      </c>
      <c r="AD214" s="34"/>
      <c r="AE214" s="34"/>
      <c r="AF214" s="49"/>
      <c r="AG214" s="34">
        <v>1262.7</v>
      </c>
      <c r="AH214" s="50"/>
      <c r="AI214" s="51"/>
      <c r="AJ214" s="34"/>
      <c r="AK214" s="34"/>
      <c r="AL214" s="34"/>
      <c r="AM214" s="34"/>
      <c r="AN214" s="34"/>
      <c r="AO214" s="42"/>
      <c r="AP214" s="52"/>
      <c r="AQ214" s="52"/>
      <c r="AR214" s="53"/>
      <c r="AS214" s="52"/>
      <c r="AT214" s="54"/>
      <c r="AU214" s="55"/>
      <c r="AV214" s="55"/>
      <c r="AW214" s="67"/>
      <c r="AX214" s="68"/>
      <c r="AY214" s="69"/>
      <c r="AZ214" s="68"/>
      <c r="BA214" s="70"/>
      <c r="BB214" s="70"/>
      <c r="BC214" s="59"/>
      <c r="BD214" s="59"/>
      <c r="BE214" s="59"/>
      <c r="BF214" s="59"/>
      <c r="BG214" s="59"/>
      <c r="BH214" s="59"/>
      <c r="BI214" s="60"/>
      <c r="BJ214" s="60"/>
      <c r="BK214" s="60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</row>
    <row r="215" spans="1:79" s="16" customFormat="1" x14ac:dyDescent="0.3">
      <c r="A215" s="326" t="s">
        <v>249</v>
      </c>
      <c r="B215" s="32" t="s">
        <v>401</v>
      </c>
      <c r="C215" s="327" t="s">
        <v>402</v>
      </c>
      <c r="D215" s="281" t="s">
        <v>404</v>
      </c>
      <c r="E215" s="281"/>
      <c r="F215" s="281"/>
      <c r="G215" s="33" t="s">
        <v>56</v>
      </c>
      <c r="H215" s="34" t="s">
        <v>57</v>
      </c>
      <c r="I215" s="33" t="s">
        <v>8</v>
      </c>
      <c r="J215" s="33" t="s">
        <v>61</v>
      </c>
      <c r="K215" s="31" t="str">
        <f t="shared" ref="K215:K218" si="409">IF(I215="Rack","No of Racks",(IF(I215="Space","Sq Ft","U Space")))</f>
        <v>No of Racks</v>
      </c>
      <c r="L215" s="33">
        <v>1</v>
      </c>
      <c r="M215" s="33">
        <v>1</v>
      </c>
      <c r="N215" s="35">
        <f t="shared" ref="N215:N218" si="410">L215-M215</f>
        <v>0</v>
      </c>
      <c r="O215" s="33">
        <v>1</v>
      </c>
      <c r="P215" s="33"/>
      <c r="Q215" s="42"/>
      <c r="R215" s="43" t="str">
        <f t="shared" ref="R215:R218" si="411">G215</f>
        <v>Subscribed</v>
      </c>
      <c r="S215" s="33" t="s">
        <v>58</v>
      </c>
      <c r="T215" s="34">
        <v>3</v>
      </c>
      <c r="U215" s="66">
        <f t="shared" si="404"/>
        <v>3.1339285714285712</v>
      </c>
      <c r="V215" s="46">
        <f t="shared" ref="V215:V218" si="412">T215-U215</f>
        <v>-0.13392857142857117</v>
      </c>
      <c r="W215" s="34"/>
      <c r="X215" s="34">
        <f t="shared" si="397"/>
        <v>0</v>
      </c>
      <c r="Y215" s="288">
        <f t="shared" si="398"/>
        <v>3</v>
      </c>
      <c r="Z215" s="65">
        <f t="shared" si="406"/>
        <v>3.1339285714285712</v>
      </c>
      <c r="AA215" s="34">
        <f t="shared" ref="AA215:AA216" si="413">IF((V215*-1)&gt;0, (V215*-1), 0)</f>
        <v>0.13392857142857117</v>
      </c>
      <c r="AB215" s="47"/>
      <c r="AC215" s="48" t="str">
        <f t="shared" ref="AC215:AC218" si="414">H215</f>
        <v>Metered</v>
      </c>
      <c r="AD215" s="34"/>
      <c r="AE215" s="34"/>
      <c r="AF215" s="49"/>
      <c r="AG215" s="34">
        <v>2106</v>
      </c>
      <c r="AH215" s="50"/>
      <c r="AI215" s="51"/>
      <c r="AJ215" s="34"/>
      <c r="AK215" s="34"/>
      <c r="AL215" s="34"/>
      <c r="AM215" s="34"/>
      <c r="AN215" s="34"/>
      <c r="AO215" s="42"/>
      <c r="AP215" s="52"/>
      <c r="AQ215" s="52"/>
      <c r="AR215" s="53"/>
      <c r="AS215" s="52"/>
      <c r="AT215" s="54"/>
      <c r="AU215" s="55"/>
      <c r="AV215" s="55"/>
      <c r="AW215" s="67"/>
      <c r="AX215" s="68"/>
      <c r="AY215" s="69"/>
      <c r="AZ215" s="68"/>
      <c r="BA215" s="70"/>
      <c r="BB215" s="70"/>
      <c r="BC215" s="59"/>
      <c r="BD215" s="59"/>
      <c r="BE215" s="59"/>
      <c r="BF215" s="59"/>
      <c r="BG215" s="59"/>
      <c r="BH215" s="59"/>
      <c r="BI215" s="60"/>
      <c r="BJ215" s="60"/>
      <c r="BK215" s="60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</row>
    <row r="216" spans="1:79" s="16" customFormat="1" x14ac:dyDescent="0.3">
      <c r="A216" s="326" t="s">
        <v>249</v>
      </c>
      <c r="B216" s="32" t="s">
        <v>410</v>
      </c>
      <c r="C216" s="327" t="s">
        <v>409</v>
      </c>
      <c r="D216" s="279" t="s">
        <v>404</v>
      </c>
      <c r="E216" s="279"/>
      <c r="F216" s="279"/>
      <c r="G216" s="33" t="s">
        <v>56</v>
      </c>
      <c r="H216" s="34" t="s">
        <v>57</v>
      </c>
      <c r="I216" s="33" t="s">
        <v>8</v>
      </c>
      <c r="J216" s="33" t="s">
        <v>61</v>
      </c>
      <c r="K216" s="31" t="str">
        <f t="shared" si="409"/>
        <v>No of Racks</v>
      </c>
      <c r="L216" s="33">
        <v>1</v>
      </c>
      <c r="M216" s="33">
        <v>1</v>
      </c>
      <c r="N216" s="35">
        <f t="shared" si="410"/>
        <v>0</v>
      </c>
      <c r="O216" s="33">
        <v>1</v>
      </c>
      <c r="P216" s="33"/>
      <c r="Q216" s="42"/>
      <c r="R216" s="43" t="str">
        <f t="shared" si="411"/>
        <v>Subscribed</v>
      </c>
      <c r="S216" s="33" t="s">
        <v>58</v>
      </c>
      <c r="T216" s="34">
        <v>8</v>
      </c>
      <c r="U216" s="66">
        <f t="shared" si="404"/>
        <v>4.0261904761904761</v>
      </c>
      <c r="V216" s="46">
        <f t="shared" si="412"/>
        <v>3.9738095238095239</v>
      </c>
      <c r="W216" s="34"/>
      <c r="X216" s="34">
        <f t="shared" si="397"/>
        <v>3.9738095238095239</v>
      </c>
      <c r="Y216" s="288">
        <f t="shared" si="398"/>
        <v>8</v>
      </c>
      <c r="Z216" s="65">
        <f t="shared" si="406"/>
        <v>4.0261904761904761</v>
      </c>
      <c r="AA216" s="34">
        <f t="shared" si="413"/>
        <v>0</v>
      </c>
      <c r="AB216" s="47"/>
      <c r="AC216" s="48" t="str">
        <f t="shared" si="414"/>
        <v>Metered</v>
      </c>
      <c r="AD216" s="34"/>
      <c r="AE216" s="34"/>
      <c r="AF216" s="49"/>
      <c r="AG216" s="34">
        <v>2705.6</v>
      </c>
      <c r="AH216" s="50"/>
      <c r="AI216" s="51"/>
      <c r="AJ216" s="34"/>
      <c r="AK216" s="34"/>
      <c r="AL216" s="34"/>
      <c r="AM216" s="34"/>
      <c r="AN216" s="34"/>
      <c r="AO216" s="42"/>
      <c r="AP216" s="52"/>
      <c r="AQ216" s="52"/>
      <c r="AR216" s="53"/>
      <c r="AS216" s="52"/>
      <c r="AT216" s="54"/>
      <c r="AU216" s="55"/>
      <c r="AV216" s="55"/>
      <c r="AW216" s="67"/>
      <c r="AX216" s="68"/>
      <c r="AY216" s="69"/>
      <c r="AZ216" s="68"/>
      <c r="BA216" s="70"/>
      <c r="BB216" s="70"/>
      <c r="BC216" s="59"/>
      <c r="BD216" s="59"/>
      <c r="BE216" s="59"/>
      <c r="BF216" s="59"/>
      <c r="BG216" s="59"/>
      <c r="BH216" s="59"/>
      <c r="BI216" s="60"/>
      <c r="BJ216" s="60"/>
      <c r="BK216" s="60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</row>
    <row r="217" spans="1:79" s="16" customFormat="1" x14ac:dyDescent="0.3">
      <c r="A217" s="326" t="s">
        <v>249</v>
      </c>
      <c r="B217" s="32" t="s">
        <v>459</v>
      </c>
      <c r="C217" s="327" t="s">
        <v>409</v>
      </c>
      <c r="D217" s="279" t="s">
        <v>404</v>
      </c>
      <c r="E217" s="279"/>
      <c r="F217" s="279"/>
      <c r="G217" s="33" t="s">
        <v>56</v>
      </c>
      <c r="H217" s="34" t="s">
        <v>57</v>
      </c>
      <c r="I217" s="33" t="s">
        <v>8</v>
      </c>
      <c r="J217" s="33" t="s">
        <v>61</v>
      </c>
      <c r="K217" s="31" t="str">
        <f t="shared" ref="K217" si="415">IF(I217="Rack","No of Racks",(IF(I217="Space","Sq Ft","U Space")))</f>
        <v>No of Racks</v>
      </c>
      <c r="L217" s="33">
        <v>1</v>
      </c>
      <c r="M217" s="33">
        <v>1</v>
      </c>
      <c r="N217" s="35">
        <f t="shared" ref="N217" si="416">L217-M217</f>
        <v>0</v>
      </c>
      <c r="O217" s="33">
        <v>1</v>
      </c>
      <c r="P217" s="33"/>
      <c r="Q217" s="42"/>
      <c r="R217" s="43" t="str">
        <f t="shared" ref="R217" si="417">G217</f>
        <v>Subscribed</v>
      </c>
      <c r="S217" s="33" t="s">
        <v>58</v>
      </c>
      <c r="T217" s="34">
        <v>4</v>
      </c>
      <c r="U217" s="66">
        <f t="shared" si="404"/>
        <v>0</v>
      </c>
      <c r="V217" s="46">
        <f t="shared" ref="V217" si="418">T217-U217</f>
        <v>4</v>
      </c>
      <c r="W217" s="34"/>
      <c r="X217" s="34">
        <f t="shared" si="397"/>
        <v>4</v>
      </c>
      <c r="Y217" s="288">
        <f t="shared" si="398"/>
        <v>4</v>
      </c>
      <c r="Z217" s="65">
        <f t="shared" si="406"/>
        <v>0</v>
      </c>
      <c r="AA217" s="34">
        <f t="shared" ref="AA217" si="419">IF((V217*-1)&gt;0, (V217*-1), 0)</f>
        <v>0</v>
      </c>
      <c r="AB217" s="47"/>
      <c r="AC217" s="48" t="str">
        <f t="shared" ref="AC217" si="420">H217</f>
        <v>Metered</v>
      </c>
      <c r="AD217" s="34"/>
      <c r="AE217" s="34"/>
      <c r="AF217" s="49"/>
      <c r="AG217" s="34">
        <v>0</v>
      </c>
      <c r="AH217" s="50"/>
      <c r="AI217" s="51"/>
      <c r="AJ217" s="34"/>
      <c r="AK217" s="34"/>
      <c r="AL217" s="34"/>
      <c r="AM217" s="34"/>
      <c r="AN217" s="34"/>
      <c r="AO217" s="42"/>
      <c r="AP217" s="52"/>
      <c r="AQ217" s="52"/>
      <c r="AR217" s="53"/>
      <c r="AS217" s="52"/>
      <c r="AT217" s="54"/>
      <c r="AU217" s="55"/>
      <c r="AV217" s="55"/>
      <c r="AW217" s="67"/>
      <c r="AX217" s="68"/>
      <c r="AY217" s="69"/>
      <c r="AZ217" s="68"/>
      <c r="BA217" s="70"/>
      <c r="BB217" s="70"/>
      <c r="BC217" s="59"/>
      <c r="BD217" s="59"/>
      <c r="BE217" s="59"/>
      <c r="BF217" s="59"/>
      <c r="BG217" s="59"/>
      <c r="BH217" s="59"/>
      <c r="BI217" s="60"/>
      <c r="BJ217" s="60"/>
      <c r="BK217" s="60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</row>
    <row r="218" spans="1:79" s="16" customFormat="1" x14ac:dyDescent="0.3">
      <c r="A218" s="326" t="s">
        <v>249</v>
      </c>
      <c r="B218" s="32" t="s">
        <v>429</v>
      </c>
      <c r="C218" s="327" t="s">
        <v>289</v>
      </c>
      <c r="D218" s="279" t="s">
        <v>404</v>
      </c>
      <c r="E218" s="279"/>
      <c r="F218" s="279"/>
      <c r="G218" s="33" t="s">
        <v>56</v>
      </c>
      <c r="H218" s="34" t="s">
        <v>57</v>
      </c>
      <c r="I218" s="33" t="s">
        <v>8</v>
      </c>
      <c r="J218" s="33" t="s">
        <v>61</v>
      </c>
      <c r="K218" s="31" t="str">
        <f t="shared" si="409"/>
        <v>No of Racks</v>
      </c>
      <c r="L218" s="33">
        <v>1</v>
      </c>
      <c r="M218" s="33">
        <v>1</v>
      </c>
      <c r="N218" s="35">
        <f t="shared" si="410"/>
        <v>0</v>
      </c>
      <c r="O218" s="33">
        <v>1</v>
      </c>
      <c r="P218" s="33"/>
      <c r="Q218" s="42"/>
      <c r="R218" s="43" t="str">
        <f t="shared" si="411"/>
        <v>Subscribed</v>
      </c>
      <c r="S218" s="33" t="s">
        <v>58</v>
      </c>
      <c r="T218" s="34">
        <v>2.5</v>
      </c>
      <c r="U218" s="66">
        <f t="shared" si="404"/>
        <v>0.90327380952380942</v>
      </c>
      <c r="V218" s="46">
        <f t="shared" si="412"/>
        <v>1.5967261904761907</v>
      </c>
      <c r="W218" s="34"/>
      <c r="X218" s="34">
        <f t="shared" si="397"/>
        <v>1.5967261904761907</v>
      </c>
      <c r="Y218" s="288">
        <f t="shared" si="398"/>
        <v>2.5</v>
      </c>
      <c r="Z218" s="65">
        <f t="shared" si="406"/>
        <v>0.90327380952380942</v>
      </c>
      <c r="AA218" s="34"/>
      <c r="AB218" s="47"/>
      <c r="AC218" s="48" t="str">
        <f t="shared" si="414"/>
        <v>Metered</v>
      </c>
      <c r="AD218" s="34"/>
      <c r="AE218" s="34"/>
      <c r="AF218" s="49"/>
      <c r="AG218" s="34">
        <v>607</v>
      </c>
      <c r="AH218" s="50"/>
      <c r="AI218" s="51"/>
      <c r="AJ218" s="34"/>
      <c r="AK218" s="34"/>
      <c r="AL218" s="34"/>
      <c r="AM218" s="34"/>
      <c r="AN218" s="34"/>
      <c r="AO218" s="42"/>
      <c r="AP218" s="52"/>
      <c r="AQ218" s="52"/>
      <c r="AR218" s="53"/>
      <c r="AS218" s="52"/>
      <c r="AT218" s="54"/>
      <c r="AU218" s="55"/>
      <c r="AV218" s="55"/>
      <c r="AW218" s="67"/>
      <c r="AX218" s="68"/>
      <c r="AY218" s="69"/>
      <c r="AZ218" s="68"/>
      <c r="BA218" s="70"/>
      <c r="BB218" s="70"/>
      <c r="BC218" s="59"/>
      <c r="BD218" s="59"/>
      <c r="BE218" s="59"/>
      <c r="BF218" s="59"/>
      <c r="BG218" s="59"/>
      <c r="BH218" s="59"/>
      <c r="BI218" s="60"/>
      <c r="BJ218" s="60"/>
      <c r="BK218" s="60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</row>
    <row r="219" spans="1:79" s="16" customFormat="1" x14ac:dyDescent="0.3">
      <c r="A219" s="326" t="s">
        <v>249</v>
      </c>
      <c r="B219" s="32" t="s">
        <v>412</v>
      </c>
      <c r="C219" s="327" t="s">
        <v>413</v>
      </c>
      <c r="D219" s="279" t="s">
        <v>404</v>
      </c>
      <c r="E219" s="279"/>
      <c r="F219" s="279"/>
      <c r="G219" s="33" t="s">
        <v>56</v>
      </c>
      <c r="H219" s="34" t="s">
        <v>52</v>
      </c>
      <c r="I219" s="33" t="s">
        <v>8</v>
      </c>
      <c r="J219" s="33" t="s">
        <v>61</v>
      </c>
      <c r="K219" s="31" t="str">
        <f t="shared" ref="K219:K221" si="421">IF(I219="Rack","No of Racks",(IF(I219="Space","Sq Ft","U Space")))</f>
        <v>No of Racks</v>
      </c>
      <c r="L219" s="33">
        <v>1</v>
      </c>
      <c r="M219" s="33">
        <v>1</v>
      </c>
      <c r="N219" s="35">
        <f t="shared" ref="N219:N221" si="422">L219-M219</f>
        <v>0</v>
      </c>
      <c r="O219" s="33">
        <v>1</v>
      </c>
      <c r="P219" s="33"/>
      <c r="Q219" s="42"/>
      <c r="R219" s="43" t="str">
        <f t="shared" ref="R219:R221" si="423">G219</f>
        <v>Subscribed</v>
      </c>
      <c r="S219" s="33" t="s">
        <v>54</v>
      </c>
      <c r="T219" s="34">
        <v>3</v>
      </c>
      <c r="U219" s="66">
        <f t="shared" si="404"/>
        <v>1.2290178571428572</v>
      </c>
      <c r="V219" s="46">
        <f t="shared" ref="V219" si="424">T219-U219</f>
        <v>1.7709821428571428</v>
      </c>
      <c r="W219" s="34"/>
      <c r="X219" s="34">
        <f t="shared" si="397"/>
        <v>1.7709821428571428</v>
      </c>
      <c r="Y219" s="288">
        <f t="shared" si="398"/>
        <v>3</v>
      </c>
      <c r="Z219" s="65">
        <f t="shared" si="406"/>
        <v>1.2290178571428572</v>
      </c>
      <c r="AA219" s="34">
        <f t="shared" ref="AA219" si="425">IF((V219*-1)&gt;0, (V219*-1), 0)</f>
        <v>0</v>
      </c>
      <c r="AB219" s="47"/>
      <c r="AC219" s="48" t="str">
        <f t="shared" ref="AC219:AC221" si="426">H219</f>
        <v>Bundled</v>
      </c>
      <c r="AD219" s="34"/>
      <c r="AE219" s="34"/>
      <c r="AF219" s="49"/>
      <c r="AG219" s="34">
        <v>825.9</v>
      </c>
      <c r="AH219" s="50"/>
      <c r="AI219" s="51"/>
      <c r="AJ219" s="34"/>
      <c r="AK219" s="34"/>
      <c r="AL219" s="34"/>
      <c r="AM219" s="34"/>
      <c r="AN219" s="34"/>
      <c r="AO219" s="42"/>
      <c r="AP219" s="52"/>
      <c r="AQ219" s="52"/>
      <c r="AR219" s="53"/>
      <c r="AS219" s="52"/>
      <c r="AT219" s="54"/>
      <c r="AU219" s="55"/>
      <c r="AV219" s="55"/>
      <c r="AW219" s="67"/>
      <c r="AX219" s="68"/>
      <c r="AY219" s="69"/>
      <c r="AZ219" s="68"/>
      <c r="BA219" s="70"/>
      <c r="BB219" s="70"/>
      <c r="BC219" s="59"/>
      <c r="BD219" s="59"/>
      <c r="BE219" s="59"/>
      <c r="BF219" s="59"/>
      <c r="BG219" s="59"/>
      <c r="BH219" s="59"/>
      <c r="BI219" s="60"/>
      <c r="BJ219" s="60"/>
      <c r="BK219" s="60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</row>
    <row r="220" spans="1:79" s="16" customFormat="1" x14ac:dyDescent="0.3">
      <c r="A220" s="326" t="s">
        <v>249</v>
      </c>
      <c r="B220" s="32" t="s">
        <v>439</v>
      </c>
      <c r="C220" s="327" t="s">
        <v>440</v>
      </c>
      <c r="D220" s="279" t="s">
        <v>404</v>
      </c>
      <c r="E220" s="279"/>
      <c r="F220" s="279"/>
      <c r="G220" s="33" t="s">
        <v>11</v>
      </c>
      <c r="H220" s="34" t="s">
        <v>52</v>
      </c>
      <c r="I220" s="33" t="s">
        <v>8</v>
      </c>
      <c r="J220" s="33" t="s">
        <v>61</v>
      </c>
      <c r="K220" s="31" t="str">
        <f t="shared" si="421"/>
        <v>No of Racks</v>
      </c>
      <c r="L220" s="33">
        <v>2</v>
      </c>
      <c r="M220" s="33">
        <v>2</v>
      </c>
      <c r="N220" s="35">
        <f t="shared" si="422"/>
        <v>0</v>
      </c>
      <c r="O220" s="33">
        <v>2</v>
      </c>
      <c r="P220" s="33"/>
      <c r="Q220" s="42"/>
      <c r="R220" s="43" t="str">
        <f t="shared" si="423"/>
        <v>Rated</v>
      </c>
      <c r="S220" s="33" t="s">
        <v>54</v>
      </c>
      <c r="T220" s="34">
        <v>6</v>
      </c>
      <c r="U220" s="45">
        <v>7.75</v>
      </c>
      <c r="V220" s="46">
        <f t="shared" ref="V220" si="427">T220-U220</f>
        <v>-1.75</v>
      </c>
      <c r="W220" s="34"/>
      <c r="X220" s="34">
        <f t="shared" si="397"/>
        <v>0</v>
      </c>
      <c r="Y220" s="288">
        <f t="shared" si="398"/>
        <v>3</v>
      </c>
      <c r="Z220" s="65">
        <f t="shared" si="406"/>
        <v>1.45625</v>
      </c>
      <c r="AA220" s="34"/>
      <c r="AB220" s="47"/>
      <c r="AC220" s="48" t="str">
        <f t="shared" si="426"/>
        <v>Bundled</v>
      </c>
      <c r="AD220" s="34"/>
      <c r="AE220" s="34"/>
      <c r="AF220" s="49"/>
      <c r="AG220" s="34">
        <v>978.6</v>
      </c>
      <c r="AH220" s="50"/>
      <c r="AI220" s="51"/>
      <c r="AJ220" s="34"/>
      <c r="AK220" s="34"/>
      <c r="AL220" s="34"/>
      <c r="AM220" s="34"/>
      <c r="AN220" s="34"/>
      <c r="AO220" s="42"/>
      <c r="AP220" s="52"/>
      <c r="AQ220" s="52"/>
      <c r="AR220" s="53"/>
      <c r="AS220" s="52"/>
      <c r="AT220" s="54"/>
      <c r="AU220" s="55"/>
      <c r="AV220" s="55"/>
      <c r="AW220" s="67"/>
      <c r="AX220" s="68"/>
      <c r="AY220" s="69"/>
      <c r="AZ220" s="68"/>
      <c r="BA220" s="70"/>
      <c r="BB220" s="70"/>
      <c r="BC220" s="59"/>
      <c r="BD220" s="59"/>
      <c r="BE220" s="59"/>
      <c r="BF220" s="59"/>
      <c r="BG220" s="59"/>
      <c r="BH220" s="59"/>
      <c r="BI220" s="60"/>
      <c r="BJ220" s="60"/>
      <c r="BK220" s="60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</row>
    <row r="221" spans="1:79" s="16" customFormat="1" x14ac:dyDescent="0.3">
      <c r="A221" s="326" t="s">
        <v>249</v>
      </c>
      <c r="B221" s="32" t="s">
        <v>442</v>
      </c>
      <c r="C221" s="327" t="s">
        <v>441</v>
      </c>
      <c r="D221" s="279" t="s">
        <v>404</v>
      </c>
      <c r="E221" s="279"/>
      <c r="F221" s="279"/>
      <c r="G221" s="33" t="s">
        <v>11</v>
      </c>
      <c r="H221" s="34" t="s">
        <v>52</v>
      </c>
      <c r="I221" s="33" t="s">
        <v>8</v>
      </c>
      <c r="J221" s="33" t="s">
        <v>61</v>
      </c>
      <c r="K221" s="31" t="str">
        <f t="shared" si="421"/>
        <v>No of Racks</v>
      </c>
      <c r="L221" s="33">
        <v>2</v>
      </c>
      <c r="M221" s="33">
        <v>2</v>
      </c>
      <c r="N221" s="35">
        <f t="shared" si="422"/>
        <v>0</v>
      </c>
      <c r="O221" s="33">
        <v>2</v>
      </c>
      <c r="P221" s="33"/>
      <c r="Q221" s="42"/>
      <c r="R221" s="43" t="str">
        <f t="shared" si="423"/>
        <v>Rated</v>
      </c>
      <c r="S221" s="33" t="s">
        <v>54</v>
      </c>
      <c r="T221" s="34">
        <v>6</v>
      </c>
      <c r="U221" s="45">
        <v>7.11</v>
      </c>
      <c r="V221" s="46">
        <f t="shared" ref="V221" si="428">T221-U221</f>
        <v>-1.1100000000000003</v>
      </c>
      <c r="W221" s="34"/>
      <c r="X221" s="34">
        <f t="shared" si="397"/>
        <v>0</v>
      </c>
      <c r="Y221" s="288">
        <f t="shared" si="398"/>
        <v>3</v>
      </c>
      <c r="Z221" s="65">
        <f t="shared" si="406"/>
        <v>1.2508928571428573</v>
      </c>
      <c r="AA221" s="34"/>
      <c r="AB221" s="47"/>
      <c r="AC221" s="48" t="str">
        <f t="shared" si="426"/>
        <v>Bundled</v>
      </c>
      <c r="AD221" s="34"/>
      <c r="AE221" s="34"/>
      <c r="AF221" s="49"/>
      <c r="AG221" s="34">
        <v>840.6</v>
      </c>
      <c r="AH221" s="50"/>
      <c r="AI221" s="51"/>
      <c r="AJ221" s="34"/>
      <c r="AK221" s="34"/>
      <c r="AL221" s="34"/>
      <c r="AM221" s="34"/>
      <c r="AN221" s="34"/>
      <c r="AO221" s="42"/>
      <c r="AP221" s="52"/>
      <c r="AQ221" s="52"/>
      <c r="AR221" s="53"/>
      <c r="AS221" s="52"/>
      <c r="AT221" s="54"/>
      <c r="AU221" s="55"/>
      <c r="AV221" s="55"/>
      <c r="AW221" s="67"/>
      <c r="AX221" s="68"/>
      <c r="AY221" s="69"/>
      <c r="AZ221" s="68"/>
      <c r="BA221" s="70"/>
      <c r="BB221" s="70"/>
      <c r="BC221" s="59"/>
      <c r="BD221" s="59"/>
      <c r="BE221" s="59"/>
      <c r="BF221" s="59"/>
      <c r="BG221" s="59"/>
      <c r="BH221" s="59"/>
      <c r="BI221" s="60"/>
      <c r="BJ221" s="60"/>
      <c r="BK221" s="60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</row>
    <row r="222" spans="1:79" s="16" customFormat="1" ht="26" x14ac:dyDescent="0.3">
      <c r="A222" s="326" t="s">
        <v>249</v>
      </c>
      <c r="B222" s="32" t="s">
        <v>301</v>
      </c>
      <c r="C222" s="182" t="s">
        <v>506</v>
      </c>
      <c r="D222" s="279" t="s">
        <v>404</v>
      </c>
      <c r="E222" s="279"/>
      <c r="F222" s="279"/>
      <c r="G222" s="33" t="s">
        <v>56</v>
      </c>
      <c r="H222" s="34" t="s">
        <v>57</v>
      </c>
      <c r="I222" s="33" t="s">
        <v>8</v>
      </c>
      <c r="J222" s="33" t="s">
        <v>61</v>
      </c>
      <c r="K222" s="31" t="str">
        <f t="shared" si="365"/>
        <v>No of Racks</v>
      </c>
      <c r="L222" s="33">
        <v>1</v>
      </c>
      <c r="M222" s="33">
        <v>1</v>
      </c>
      <c r="N222" s="35">
        <f t="shared" si="394"/>
        <v>0</v>
      </c>
      <c r="O222" s="33">
        <v>1</v>
      </c>
      <c r="P222" s="33"/>
      <c r="Q222" s="42">
        <f>(878000)/12</f>
        <v>73166.666666666672</v>
      </c>
      <c r="R222" s="43" t="str">
        <f t="shared" si="366"/>
        <v>Subscribed</v>
      </c>
      <c r="S222" s="33" t="s">
        <v>58</v>
      </c>
      <c r="T222" s="34">
        <v>3</v>
      </c>
      <c r="U222" s="66">
        <f t="shared" si="400"/>
        <v>1.1755952380952381</v>
      </c>
      <c r="V222" s="46">
        <f t="shared" si="396"/>
        <v>1.8244047619047619</v>
      </c>
      <c r="W222" s="34"/>
      <c r="X222" s="34">
        <f t="shared" si="397"/>
        <v>1.8244047619047619</v>
      </c>
      <c r="Y222" s="288">
        <f t="shared" si="398"/>
        <v>3</v>
      </c>
      <c r="Z222" s="65">
        <f t="shared" si="406"/>
        <v>1.1755952380952381</v>
      </c>
      <c r="AA222" s="34">
        <f t="shared" si="399"/>
        <v>0</v>
      </c>
      <c r="AB222" s="47"/>
      <c r="AC222" s="48" t="str">
        <f t="shared" si="369"/>
        <v>Metered</v>
      </c>
      <c r="AD222" s="34"/>
      <c r="AE222" s="34"/>
      <c r="AF222" s="49"/>
      <c r="AG222" s="34">
        <v>790</v>
      </c>
      <c r="AH222" s="50"/>
      <c r="AI222" s="51"/>
      <c r="AJ222" s="34"/>
      <c r="AK222" s="34"/>
      <c r="AL222" s="34"/>
      <c r="AM222" s="34"/>
      <c r="AN222" s="34"/>
      <c r="AO222" s="42"/>
      <c r="AP222" s="52"/>
      <c r="AQ222" s="52"/>
      <c r="AR222" s="53"/>
      <c r="AS222" s="52"/>
      <c r="AT222" s="54"/>
      <c r="AU222" s="55"/>
      <c r="AV222" s="55"/>
      <c r="AW222" s="67"/>
      <c r="AX222" s="68"/>
      <c r="AY222" s="69"/>
      <c r="AZ222" s="68"/>
      <c r="BA222" s="70"/>
      <c r="BB222" s="70"/>
      <c r="BC222" s="59"/>
      <c r="BD222" s="59"/>
      <c r="BE222" s="59"/>
      <c r="BF222" s="59"/>
      <c r="BG222" s="59"/>
      <c r="BH222" s="59"/>
      <c r="BI222" s="60"/>
      <c r="BJ222" s="60"/>
      <c r="BK222" s="60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</row>
    <row r="223" spans="1:79" s="16" customFormat="1" x14ac:dyDescent="0.3">
      <c r="A223" s="326" t="s">
        <v>249</v>
      </c>
      <c r="B223" s="32" t="s">
        <v>466</v>
      </c>
      <c r="C223" s="182" t="s">
        <v>467</v>
      </c>
      <c r="D223" s="279" t="s">
        <v>404</v>
      </c>
      <c r="E223" s="279"/>
      <c r="F223" s="279"/>
      <c r="G223" s="33" t="s">
        <v>56</v>
      </c>
      <c r="H223" s="34" t="s">
        <v>57</v>
      </c>
      <c r="I223" s="33" t="s">
        <v>8</v>
      </c>
      <c r="J223" s="33" t="s">
        <v>61</v>
      </c>
      <c r="K223" s="31" t="str">
        <f t="shared" ref="K223" si="429">IF(I223="Rack","No of Racks",(IF(I223="Space","Sq Ft","U Space")))</f>
        <v>No of Racks</v>
      </c>
      <c r="L223" s="33">
        <v>1</v>
      </c>
      <c r="M223" s="33">
        <v>1</v>
      </c>
      <c r="N223" s="35">
        <f t="shared" ref="N223" si="430">L223-M223</f>
        <v>0</v>
      </c>
      <c r="O223" s="33">
        <v>1</v>
      </c>
      <c r="P223" s="33"/>
      <c r="Q223" s="42">
        <f>(878000)/12</f>
        <v>73166.666666666672</v>
      </c>
      <c r="R223" s="43" t="str">
        <f t="shared" ref="R223" si="431">G223</f>
        <v>Subscribed</v>
      </c>
      <c r="S223" s="33" t="s">
        <v>58</v>
      </c>
      <c r="T223" s="34">
        <v>3</v>
      </c>
      <c r="U223" s="66">
        <f>Z223</f>
        <v>5.6625000000000005</v>
      </c>
      <c r="V223" s="46">
        <f t="shared" ref="V223" si="432">T223-U223</f>
        <v>-2.6625000000000005</v>
      </c>
      <c r="W223" s="34"/>
      <c r="X223" s="34">
        <f t="shared" si="397"/>
        <v>0</v>
      </c>
      <c r="Y223" s="288">
        <f t="shared" si="398"/>
        <v>3</v>
      </c>
      <c r="Z223" s="65">
        <f t="shared" si="406"/>
        <v>5.6625000000000005</v>
      </c>
      <c r="AA223" s="34">
        <f t="shared" ref="AA223" si="433">IF((V223*-1)&gt;0, (V223*-1), 0)</f>
        <v>2.6625000000000005</v>
      </c>
      <c r="AB223" s="47"/>
      <c r="AC223" s="48" t="str">
        <f t="shared" ref="AC223" si="434">H223</f>
        <v>Metered</v>
      </c>
      <c r="AD223" s="34"/>
      <c r="AE223" s="34"/>
      <c r="AF223" s="49"/>
      <c r="AG223" s="34">
        <v>3805.2</v>
      </c>
      <c r="AH223" s="50"/>
      <c r="AI223" s="51"/>
      <c r="AJ223" s="34"/>
      <c r="AK223" s="34"/>
      <c r="AL223" s="34"/>
      <c r="AM223" s="34"/>
      <c r="AN223" s="34"/>
      <c r="AO223" s="42"/>
      <c r="AP223" s="52"/>
      <c r="AQ223" s="52"/>
      <c r="AR223" s="53"/>
      <c r="AS223" s="52"/>
      <c r="AT223" s="54"/>
      <c r="AU223" s="55"/>
      <c r="AV223" s="55"/>
      <c r="AW223" s="67"/>
      <c r="AX223" s="68"/>
      <c r="AY223" s="69"/>
      <c r="AZ223" s="68"/>
      <c r="BA223" s="70"/>
      <c r="BB223" s="70"/>
      <c r="BC223" s="59"/>
      <c r="BD223" s="59"/>
      <c r="BE223" s="59"/>
      <c r="BF223" s="59"/>
      <c r="BG223" s="59"/>
      <c r="BH223" s="59"/>
      <c r="BI223" s="60"/>
      <c r="BJ223" s="60"/>
      <c r="BK223" s="60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</row>
    <row r="224" spans="1:79" s="16" customFormat="1" x14ac:dyDescent="0.3">
      <c r="A224" s="326" t="s">
        <v>249</v>
      </c>
      <c r="B224" s="32" t="s">
        <v>495</v>
      </c>
      <c r="C224" s="182" t="s">
        <v>496</v>
      </c>
      <c r="D224" s="279" t="s">
        <v>404</v>
      </c>
      <c r="E224" s="279"/>
      <c r="F224" s="279"/>
      <c r="G224" s="33" t="s">
        <v>11</v>
      </c>
      <c r="H224" s="34" t="s">
        <v>52</v>
      </c>
      <c r="I224" s="33" t="s">
        <v>8</v>
      </c>
      <c r="J224" s="33" t="s">
        <v>61</v>
      </c>
      <c r="K224" s="31" t="str">
        <f t="shared" ref="K224" si="435">IF(I224="Rack","No of Racks",(IF(I224="Space","Sq Ft","U Space")))</f>
        <v>No of Racks</v>
      </c>
      <c r="L224" s="33">
        <v>1</v>
      </c>
      <c r="M224" s="33">
        <v>1</v>
      </c>
      <c r="N224" s="35">
        <f t="shared" ref="N224" si="436">L224-M224</f>
        <v>0</v>
      </c>
      <c r="O224" s="33">
        <v>0</v>
      </c>
      <c r="P224" s="33"/>
      <c r="Q224" s="42"/>
      <c r="R224" s="43" t="str">
        <f t="shared" ref="R224" si="437">G224</f>
        <v>Rated</v>
      </c>
      <c r="S224" s="33" t="s">
        <v>54</v>
      </c>
      <c r="T224" s="34">
        <v>6</v>
      </c>
      <c r="U224" s="45">
        <v>2.52</v>
      </c>
      <c r="V224" s="46">
        <f t="shared" ref="V224" si="438">T224-U224</f>
        <v>3.48</v>
      </c>
      <c r="W224" s="34"/>
      <c r="X224" s="34">
        <f t="shared" si="397"/>
        <v>1.74</v>
      </c>
      <c r="Y224" s="288">
        <f t="shared" si="398"/>
        <v>3</v>
      </c>
      <c r="Z224" s="65">
        <f t="shared" si="406"/>
        <v>0.3880952380952381</v>
      </c>
      <c r="AA224" s="34">
        <f t="shared" ref="AA224" si="439">IF((V224*-1)&gt;0, (V224*-1), 0)</f>
        <v>0</v>
      </c>
      <c r="AB224" s="47"/>
      <c r="AC224" s="48" t="str">
        <f t="shared" ref="AC224" si="440">H224</f>
        <v>Bundled</v>
      </c>
      <c r="AD224" s="34"/>
      <c r="AE224" s="34"/>
      <c r="AF224" s="49"/>
      <c r="AG224" s="34">
        <v>260.8</v>
      </c>
      <c r="AH224" s="50"/>
      <c r="AI224" s="51"/>
      <c r="AJ224" s="34"/>
      <c r="AK224" s="34"/>
      <c r="AL224" s="34"/>
      <c r="AM224" s="34"/>
      <c r="AN224" s="34"/>
      <c r="AO224" s="42"/>
      <c r="AP224" s="52"/>
      <c r="AQ224" s="52"/>
      <c r="AR224" s="53"/>
      <c r="AS224" s="52"/>
      <c r="AT224" s="54"/>
      <c r="AU224" s="55"/>
      <c r="AV224" s="55"/>
      <c r="AW224" s="67"/>
      <c r="AX224" s="68"/>
      <c r="AY224" s="69"/>
      <c r="AZ224" s="68"/>
      <c r="BA224" s="70"/>
      <c r="BB224" s="70"/>
      <c r="BC224" s="59"/>
      <c r="BD224" s="59"/>
      <c r="BE224" s="59"/>
      <c r="BF224" s="59"/>
      <c r="BG224" s="59"/>
      <c r="BH224" s="59"/>
      <c r="BI224" s="60"/>
      <c r="BJ224" s="60"/>
      <c r="BK224" s="60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</row>
    <row r="225" spans="1:80" s="16" customFormat="1" x14ac:dyDescent="0.3">
      <c r="A225" s="330" t="s">
        <v>249</v>
      </c>
      <c r="B225" s="329" t="s">
        <v>436</v>
      </c>
      <c r="C225" s="360" t="s">
        <v>229</v>
      </c>
      <c r="D225" s="331" t="s">
        <v>404</v>
      </c>
      <c r="E225" s="331"/>
      <c r="F225" s="331"/>
      <c r="G225" s="332" t="s">
        <v>56</v>
      </c>
      <c r="H225" s="333" t="s">
        <v>57</v>
      </c>
      <c r="I225" s="332" t="s">
        <v>8</v>
      </c>
      <c r="J225" s="332" t="s">
        <v>61</v>
      </c>
      <c r="K225" s="334" t="str">
        <f t="shared" si="365"/>
        <v>No of Racks</v>
      </c>
      <c r="L225" s="332">
        <v>1</v>
      </c>
      <c r="M225" s="332">
        <v>1</v>
      </c>
      <c r="N225" s="335">
        <f t="shared" si="394"/>
        <v>0</v>
      </c>
      <c r="O225" s="332">
        <v>1</v>
      </c>
      <c r="P225" s="332"/>
      <c r="Q225" s="336"/>
      <c r="R225" s="337" t="str">
        <f t="shared" si="366"/>
        <v>Subscribed</v>
      </c>
      <c r="S225" s="332" t="s">
        <v>58</v>
      </c>
      <c r="T225" s="333">
        <v>2.5</v>
      </c>
      <c r="U225" s="66">
        <f>Z225</f>
        <v>4.4247023809523816</v>
      </c>
      <c r="V225" s="46">
        <f t="shared" si="396"/>
        <v>-1.9247023809523816</v>
      </c>
      <c r="W225" s="333"/>
      <c r="X225" s="34">
        <f t="shared" si="397"/>
        <v>0</v>
      </c>
      <c r="Y225" s="288">
        <f t="shared" si="398"/>
        <v>2.5</v>
      </c>
      <c r="Z225" s="65">
        <f t="shared" si="406"/>
        <v>4.4247023809523816</v>
      </c>
      <c r="AA225" s="34">
        <f t="shared" si="399"/>
        <v>1.9247023809523816</v>
      </c>
      <c r="AB225" s="338"/>
      <c r="AC225" s="339" t="str">
        <f t="shared" si="369"/>
        <v>Metered</v>
      </c>
      <c r="AD225" s="333"/>
      <c r="AE225" s="333"/>
      <c r="AF225" s="340"/>
      <c r="AG225" s="333">
        <v>2973.4</v>
      </c>
      <c r="AH225" s="341"/>
      <c r="AI225" s="342"/>
      <c r="AJ225" s="333"/>
      <c r="AK225" s="333"/>
      <c r="AL225" s="333"/>
      <c r="AM225" s="333"/>
      <c r="AN225" s="333"/>
      <c r="AO225" s="336"/>
      <c r="AP225" s="343"/>
      <c r="AQ225" s="343"/>
      <c r="AR225" s="344"/>
      <c r="AS225" s="343"/>
      <c r="AT225" s="345"/>
      <c r="AU225" s="346"/>
      <c r="AV225" s="346"/>
      <c r="AW225" s="347"/>
      <c r="AX225" s="348"/>
      <c r="AY225" s="349"/>
      <c r="AZ225" s="348"/>
      <c r="BA225" s="350"/>
      <c r="BB225" s="5"/>
      <c r="BC225" s="71"/>
      <c r="BD225" s="71"/>
      <c r="BE225" s="71"/>
      <c r="BF225" s="71"/>
      <c r="BG225" s="71"/>
      <c r="BH225" s="71"/>
      <c r="BI225" s="72"/>
      <c r="BJ225" s="72"/>
      <c r="BK225" s="72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</row>
    <row r="226" spans="1:80" s="16" customFormat="1" x14ac:dyDescent="0.3">
      <c r="A226" s="195" t="s">
        <v>249</v>
      </c>
      <c r="B226" s="32" t="s">
        <v>528</v>
      </c>
      <c r="C226" s="360" t="s">
        <v>336</v>
      </c>
      <c r="D226" s="32" t="s">
        <v>404</v>
      </c>
      <c r="E226" s="32"/>
      <c r="F226" s="32"/>
      <c r="G226" s="33" t="s">
        <v>56</v>
      </c>
      <c r="H226" s="34" t="s">
        <v>57</v>
      </c>
      <c r="I226" s="33" t="s">
        <v>8</v>
      </c>
      <c r="J226" s="33" t="s">
        <v>61</v>
      </c>
      <c r="K226" s="31" t="str">
        <f t="shared" si="365"/>
        <v>No of Racks</v>
      </c>
      <c r="L226" s="33">
        <v>1</v>
      </c>
      <c r="M226" s="33">
        <v>1</v>
      </c>
      <c r="N226" s="35">
        <f t="shared" si="394"/>
        <v>0</v>
      </c>
      <c r="O226" s="33">
        <v>1</v>
      </c>
      <c r="P226" s="33"/>
      <c r="Q226" s="42"/>
      <c r="R226" s="43" t="str">
        <f t="shared" si="366"/>
        <v>Subscribed</v>
      </c>
      <c r="S226" s="33" t="s">
        <v>58</v>
      </c>
      <c r="T226" s="34">
        <v>3</v>
      </c>
      <c r="U226" s="66">
        <f>Z226</f>
        <v>5.4797619047619044</v>
      </c>
      <c r="V226" s="46">
        <f t="shared" si="396"/>
        <v>-2.4797619047619044</v>
      </c>
      <c r="W226" s="34"/>
      <c r="X226" s="34">
        <f t="shared" si="397"/>
        <v>0</v>
      </c>
      <c r="Y226" s="34">
        <f t="shared" si="398"/>
        <v>3</v>
      </c>
      <c r="Z226" s="65">
        <f t="shared" si="406"/>
        <v>5.4797619047619044</v>
      </c>
      <c r="AA226" s="34">
        <f t="shared" si="399"/>
        <v>2.4797619047619044</v>
      </c>
      <c r="AB226" s="47"/>
      <c r="AC226" s="48" t="str">
        <f t="shared" si="369"/>
        <v>Metered</v>
      </c>
      <c r="AD226" s="34"/>
      <c r="AE226" s="34"/>
      <c r="AF226" s="139"/>
      <c r="AG226" s="34">
        <v>3682.4</v>
      </c>
      <c r="AH226" s="50"/>
      <c r="AI226" s="51" t="str">
        <f t="shared" ref="AI226" si="441">IF(AH226="No of Seats","No of Seats",(IF(AH226="Space","Sq Ft","")))</f>
        <v/>
      </c>
      <c r="AJ226" s="34"/>
      <c r="AK226" s="34"/>
      <c r="AL226" s="34">
        <f t="shared" ref="AL226" si="442">AJ226-AK226</f>
        <v>0</v>
      </c>
      <c r="AM226" s="34"/>
      <c r="AN226" s="34"/>
      <c r="AO226" s="42"/>
      <c r="AP226" s="52">
        <f t="shared" ref="AP226" si="443">Q226*O226</f>
        <v>0</v>
      </c>
      <c r="AQ226" s="52">
        <f t="shared" ref="AQ226" si="444">AB226*AA226</f>
        <v>0</v>
      </c>
      <c r="AR226" s="53">
        <f t="shared" ref="AR226" si="445">AG226*AF226*AD226</f>
        <v>0</v>
      </c>
      <c r="AS226" s="52">
        <f>AO226*AM226</f>
        <v>0</v>
      </c>
      <c r="AT226" s="54">
        <f>95051/12</f>
        <v>7920.916666666667</v>
      </c>
      <c r="AU226" s="55">
        <f t="shared" ref="AU226" si="446">SUBTOTAL(9,AP226:AT226)</f>
        <v>7920.916666666667</v>
      </c>
      <c r="AV226" s="55"/>
      <c r="AW226" s="134" t="s">
        <v>111</v>
      </c>
      <c r="AX226" s="63"/>
      <c r="AY226" s="64"/>
      <c r="AZ226" s="63"/>
      <c r="BA226" s="196"/>
      <c r="BB226" s="5"/>
      <c r="BC226" s="25">
        <f t="shared" ref="BC226" si="447">IF(I226="Rack",AU226/L226,0)+IF(I226="U Space",AU226*40/L226,0)+IF(I226="Space",AU226*30/L226,0)</f>
        <v>7920.916666666667</v>
      </c>
      <c r="BD226" s="25">
        <f t="shared" ref="BD226" si="448">+AU226/Y226</f>
        <v>2640.3055555555557</v>
      </c>
      <c r="BE226" s="25">
        <f t="shared" ref="BE226" si="449">+($AP226+$AQ226+$AR226-BL226)/$Y226</f>
        <v>-33301.744155191256</v>
      </c>
      <c r="BF226" s="25">
        <f t="shared" ref="BF226" si="450">+($AP226+$AQ226+$AR226-BM226)/$Y226</f>
        <v>-33301.744155191256</v>
      </c>
      <c r="BG226" s="25">
        <f t="shared" ref="BG226" si="451">+($AP226+$AQ226+IF(H226="Bundled",0,Y226*0.85*AD226*AF226*30.5*24)-BN226)/$Y226</f>
        <v>-15509.882212500001</v>
      </c>
      <c r="BH226" s="25"/>
      <c r="BI226" s="26">
        <f t="shared" ref="BI226" si="452">+AP226+AQ226+AR226</f>
        <v>0</v>
      </c>
      <c r="BJ226" s="26">
        <f t="shared" ref="BJ226" si="453">+BI226-BK226</f>
        <v>0</v>
      </c>
      <c r="BK226" s="26">
        <f>IF(H226="Bundled",MIN(Y226*$AG$1*(1+#REF!),BI226),AR226)</f>
        <v>0</v>
      </c>
      <c r="BL226" s="27">
        <f>IF($AG226&gt;0,$AG226*$AD$1*$AF$1*(1+$AI$1*(20/$AF$1)/732),$AG$1*Z226)</f>
        <v>99905.232465573776</v>
      </c>
      <c r="BM226" s="27">
        <f>IF($AG226&gt;0,$AG226*$AD$1*$AF$1*(1+$AI$1*(20/$AF$1)/732),+$AG$1*(Z226+X226))</f>
        <v>99905.232465573776</v>
      </c>
      <c r="BN226" s="27">
        <f>IF(H226="Bundled",$AG$1*Y226,$AG$1*Y226*0.85)</f>
        <v>46529.646637500002</v>
      </c>
      <c r="BO226" s="27">
        <f t="shared" ref="BO226" si="454">+BE226*Y226</f>
        <v>-99905.232465573761</v>
      </c>
      <c r="BP226" s="27" t="e">
        <f>+#REF!*Y226</f>
        <v>#REF!</v>
      </c>
      <c r="BQ226" s="27" t="e">
        <f t="shared" ref="BQ226" si="455">+BJ226-BP226</f>
        <v>#REF!</v>
      </c>
      <c r="BR226" s="27">
        <f t="shared" ref="BR226" si="456">+BK226-BL226</f>
        <v>-99905.232465573776</v>
      </c>
      <c r="BS226" s="27" t="e">
        <f t="shared" ref="BS226" si="457">+BQ226+BR226</f>
        <v>#REF!</v>
      </c>
      <c r="BT226" s="27">
        <f t="shared" ref="BT226" si="458">+Y226</f>
        <v>3</v>
      </c>
      <c r="BU226" s="27">
        <f t="shared" ref="BU226" si="459">+BE226</f>
        <v>-33301.744155191256</v>
      </c>
      <c r="BV226" s="27">
        <f t="shared" ref="BV226" si="460">IF(H226="Bundled",BN226-BL226,AR226-BL226)</f>
        <v>-99905.232465573776</v>
      </c>
      <c r="BW226" s="27" t="e">
        <f>IF(H226="Bundled",+(BG226-#REF!)*Y226,(AP226+AQ226)-Y226*#REF!)</f>
        <v>#REF!</v>
      </c>
      <c r="BX226" s="27" t="e">
        <f t="shared" ref="BX226" si="461">+BV226+BW226</f>
        <v>#REF!</v>
      </c>
      <c r="BY226" s="27">
        <f t="shared" ref="BY226" si="462">+BV226/$BT226</f>
        <v>-33301.744155191256</v>
      </c>
      <c r="BZ226" s="27" t="e">
        <f t="shared" ref="BZ226" si="463">+BW226/$BT226</f>
        <v>#REF!</v>
      </c>
      <c r="CA226" s="27" t="e">
        <f t="shared" ref="CA226" si="464">+BX226/$BT226</f>
        <v>#REF!</v>
      </c>
      <c r="CB226" s="16" t="s">
        <v>99</v>
      </c>
    </row>
    <row r="227" spans="1:80" s="16" customFormat="1" x14ac:dyDescent="0.3">
      <c r="A227" s="199" t="s">
        <v>249</v>
      </c>
      <c r="B227" s="144" t="s">
        <v>456</v>
      </c>
      <c r="C227" s="132" t="s">
        <v>113</v>
      </c>
      <c r="D227" s="132" t="s">
        <v>404</v>
      </c>
      <c r="E227" s="132"/>
      <c r="F227" s="132"/>
      <c r="G227" s="33" t="s">
        <v>11</v>
      </c>
      <c r="H227" s="34" t="s">
        <v>52</v>
      </c>
      <c r="I227" s="33" t="s">
        <v>8</v>
      </c>
      <c r="J227" s="33" t="s">
        <v>61</v>
      </c>
      <c r="K227" s="31" t="str">
        <f t="shared" si="365"/>
        <v>No of Racks</v>
      </c>
      <c r="L227" s="33">
        <v>6</v>
      </c>
      <c r="M227" s="33">
        <v>6</v>
      </c>
      <c r="N227" s="35">
        <f t="shared" si="394"/>
        <v>0</v>
      </c>
      <c r="O227" s="33">
        <v>0</v>
      </c>
      <c r="P227" s="33"/>
      <c r="Q227" s="42">
        <f>(0)/12</f>
        <v>0</v>
      </c>
      <c r="R227" s="43" t="str">
        <f t="shared" si="366"/>
        <v>Rated</v>
      </c>
      <c r="S227" s="33" t="s">
        <v>54</v>
      </c>
      <c r="T227" s="34">
        <v>18</v>
      </c>
      <c r="U227" s="45">
        <v>0.44</v>
      </c>
      <c r="V227" s="46">
        <f t="shared" si="396"/>
        <v>17.559999999999999</v>
      </c>
      <c r="W227" s="34"/>
      <c r="X227" s="34">
        <f t="shared" si="397"/>
        <v>8.7799999999999994</v>
      </c>
      <c r="Y227" s="34">
        <f t="shared" si="398"/>
        <v>9</v>
      </c>
      <c r="Z227" s="65">
        <f t="shared" si="406"/>
        <v>0.13854166666666665</v>
      </c>
      <c r="AA227" s="34">
        <f>IF((V227*-1)&gt;0, (V227*-1), 0)</f>
        <v>0</v>
      </c>
      <c r="AB227" s="250"/>
      <c r="AC227" s="48" t="str">
        <f t="shared" si="369"/>
        <v>Bundled</v>
      </c>
      <c r="AD227" s="34"/>
      <c r="AE227" s="34"/>
      <c r="AF227" s="49"/>
      <c r="AG227" s="34">
        <v>93.1</v>
      </c>
      <c r="AH227" s="50"/>
      <c r="AI227" s="51"/>
      <c r="AJ227" s="34"/>
      <c r="AK227" s="34"/>
      <c r="AL227" s="34">
        <f>AJ227-AK227</f>
        <v>0</v>
      </c>
      <c r="AM227" s="34"/>
      <c r="AN227" s="34"/>
      <c r="AO227" s="42">
        <f>(0)/12</f>
        <v>0</v>
      </c>
      <c r="AP227" s="52">
        <f>Q227*O227</f>
        <v>0</v>
      </c>
      <c r="AQ227" s="52">
        <f>AB227*AA227</f>
        <v>0</v>
      </c>
      <c r="AR227" s="53">
        <f>AG227*AF227*AD227</f>
        <v>0</v>
      </c>
      <c r="AS227" s="52">
        <f>AO227*AM227</f>
        <v>0</v>
      </c>
      <c r="AT227" s="54">
        <f>0/12</f>
        <v>0</v>
      </c>
      <c r="AU227" s="55">
        <f>SUBTOTAL(9,AP227:AT227)</f>
        <v>0</v>
      </c>
      <c r="AV227" s="55"/>
      <c r="AW227" s="67" t="s">
        <v>5</v>
      </c>
      <c r="AX227" s="68"/>
      <c r="AY227" s="69"/>
      <c r="AZ227" s="68"/>
      <c r="BA227" s="89"/>
      <c r="BB227" s="5"/>
      <c r="BC227" s="29">
        <f>IF(I227="Rack",AU227/L227,0)+IF(I227="U Space",AU227*40/L227,0)+IF(I227="Space",AU227*30/L227,0)</f>
        <v>0</v>
      </c>
      <c r="BD227" s="29">
        <f>+AU227/Y227</f>
        <v>0</v>
      </c>
      <c r="BE227" s="25">
        <f>+($AP227+$AQ227+$AR227-BL227)/$Y227</f>
        <v>-280.64961083788711</v>
      </c>
      <c r="BF227" s="25">
        <f>+($AP227+$AQ227+$AR227-BM227)/$Y227</f>
        <v>-280.64961083788711</v>
      </c>
      <c r="BG227" s="25">
        <f>+($AP227+$AQ227+IF(H227="Bundled",0,Y227*0.85*AD227*AF227*30.5*24)-BN227)/$Y227</f>
        <v>-18246.920249999999</v>
      </c>
      <c r="BH227" s="29"/>
      <c r="BI227" s="26">
        <f>+AP227+AQ227+AR227</f>
        <v>0</v>
      </c>
      <c r="BJ227" s="26" t="e">
        <f>+BI227-BK227</f>
        <v>#REF!</v>
      </c>
      <c r="BK227" s="26" t="e">
        <f>IF(H227="Bundled",MIN(Y227*$AG$1*(1+#REF!),BI227),AR227)</f>
        <v>#REF!</v>
      </c>
      <c r="BL227" s="27">
        <f>IF($AG227&gt;0,$AG227*$AD$1*$AF$1*(1+$AI$1*(20/$AF$1)/732),$AG$1*Z227)</f>
        <v>2525.8464975409838</v>
      </c>
      <c r="BM227" s="27">
        <f>IF($AG227&gt;0,$AG227*$AD$1*$AF$1*(1+$AI$1*(20/$AF$1)/732),+$AG$1*(Z227+X227))</f>
        <v>2525.8464975409838</v>
      </c>
      <c r="BN227" s="27">
        <f>IF(H227="Bundled",$AG$1*Y227,$AG$1*Y227*0.85)</f>
        <v>164222.28224999999</v>
      </c>
      <c r="BO227" s="27">
        <f>+BE227*Y227</f>
        <v>-2525.8464975409838</v>
      </c>
      <c r="BP227" s="27" t="e">
        <f>+#REF!*Y227</f>
        <v>#REF!</v>
      </c>
      <c r="BQ227" s="27" t="e">
        <f>+BJ227-BP227</f>
        <v>#REF!</v>
      </c>
      <c r="BR227" s="27" t="e">
        <f>+BK227-BL227</f>
        <v>#REF!</v>
      </c>
      <c r="BS227" s="27" t="e">
        <f>+BQ227+BR227</f>
        <v>#REF!</v>
      </c>
      <c r="BT227" s="27">
        <f>+Y227</f>
        <v>9</v>
      </c>
      <c r="BU227" s="27">
        <f>+BE227</f>
        <v>-280.64961083788711</v>
      </c>
      <c r="BV227" s="27">
        <f>IF(H227="Bundled",BN227-BL227,AR227-BL227)</f>
        <v>161696.43575245902</v>
      </c>
      <c r="BW227" s="27" t="e">
        <f>IF(H227="Bundled",+(BG227-#REF!)*Y227,(AP227+AQ227)-Y227*#REF!)</f>
        <v>#REF!</v>
      </c>
      <c r="BX227" s="27" t="e">
        <f>+BV227+BW227</f>
        <v>#REF!</v>
      </c>
      <c r="BY227" s="27">
        <f t="shared" ref="BY227" si="465">+BV227/$BT227</f>
        <v>17966.270639162114</v>
      </c>
      <c r="BZ227" s="27" t="e">
        <f t="shared" ref="BZ227" si="466">+BW227/$BT227</f>
        <v>#REF!</v>
      </c>
      <c r="CA227" s="27" t="e">
        <f t="shared" ref="CA227" si="467">+BX227/$BT227</f>
        <v>#REF!</v>
      </c>
    </row>
    <row r="228" spans="1:80" s="220" customFormat="1" ht="13.5" thickBot="1" x14ac:dyDescent="0.35">
      <c r="A228" s="312"/>
      <c r="B228" s="313" t="s">
        <v>181</v>
      </c>
      <c r="C228" s="313"/>
      <c r="D228" s="313"/>
      <c r="E228" s="313"/>
      <c r="F228" s="313"/>
      <c r="G228" s="314"/>
      <c r="H228" s="314"/>
      <c r="I228" s="314"/>
      <c r="J228" s="314"/>
      <c r="K228" s="314"/>
      <c r="L228" s="313"/>
      <c r="M228" s="313"/>
      <c r="N228" s="315"/>
      <c r="O228" s="313"/>
      <c r="P228" s="313"/>
      <c r="Q228" s="313"/>
      <c r="R228" s="316"/>
      <c r="S228" s="313"/>
      <c r="T228" s="317">
        <f>SUM(T175:T227)</f>
        <v>1436.8</v>
      </c>
      <c r="U228" s="317">
        <f>SUM(U175:U227)</f>
        <v>689.98674107142858</v>
      </c>
      <c r="V228" s="318"/>
      <c r="W228" s="317"/>
      <c r="X228" s="317">
        <f>SUM(X175:X227)</f>
        <v>150.12343750000005</v>
      </c>
      <c r="Y228" s="317">
        <f>SUM(Y175:Y227)</f>
        <v>1346.4</v>
      </c>
      <c r="Z228" s="317">
        <f>SUM(Z175:Z227)</f>
        <v>563.71504464285692</v>
      </c>
      <c r="AA228" s="317"/>
      <c r="AB228" s="317"/>
      <c r="AC228" s="319"/>
      <c r="AD228" s="317"/>
      <c r="AE228" s="317"/>
      <c r="AF228" s="317"/>
      <c r="AG228" s="317"/>
      <c r="AH228" s="320" t="s">
        <v>55</v>
      </c>
      <c r="AI228" s="321" t="str">
        <f>IF(AH228="No of Seats","No of Seats",(IF(AH228="Space","Sq Ft","")))</f>
        <v>No of Seats</v>
      </c>
      <c r="AJ228" s="317">
        <f>SUM(AJ175:AJ205)</f>
        <v>1</v>
      </c>
      <c r="AK228" s="317">
        <f>SUM(AK175:AK205)</f>
        <v>0</v>
      </c>
      <c r="AL228" s="317">
        <f>SUM(AL175:AL205)</f>
        <v>1</v>
      </c>
      <c r="AM228" s="317">
        <f>SUM(AM175:AM205)</f>
        <v>0</v>
      </c>
      <c r="AN228" s="317"/>
      <c r="AO228" s="317"/>
      <c r="AP228" s="322"/>
      <c r="AQ228" s="322"/>
      <c r="AR228" s="322"/>
      <c r="AS228" s="322"/>
      <c r="AT228" s="322"/>
      <c r="AU228" s="317" t="e">
        <f>SUM(AU175:AU205)</f>
        <v>#VALUE!</v>
      </c>
      <c r="AV228" s="314" t="s">
        <v>73</v>
      </c>
      <c r="AW228" s="323"/>
      <c r="AX228" s="323"/>
      <c r="AY228" s="324"/>
      <c r="AZ228" s="323"/>
      <c r="BA228" s="325"/>
      <c r="CA228" s="221"/>
    </row>
    <row r="229" spans="1:80" ht="13.5" thickBot="1" x14ac:dyDescent="0.35"/>
    <row r="230" spans="1:80" x14ac:dyDescent="0.3">
      <c r="H230" s="269" t="s">
        <v>8</v>
      </c>
      <c r="I230" s="270">
        <f>COUNTIF(I175:I228,"=Rack")</f>
        <v>35</v>
      </c>
      <c r="J230" s="270"/>
      <c r="K230" s="270" t="s">
        <v>298</v>
      </c>
      <c r="L230" s="271">
        <f>SUMIF(I175:I228,"Rack",L175:L228)</f>
        <v>65</v>
      </c>
    </row>
    <row r="231" spans="1:80" x14ac:dyDescent="0.3">
      <c r="H231" s="272" t="s">
        <v>3</v>
      </c>
      <c r="I231" s="259">
        <f>COUNTIF(I175:I227,"=Space")</f>
        <v>6</v>
      </c>
      <c r="J231" s="259"/>
      <c r="K231" s="259" t="s">
        <v>299</v>
      </c>
      <c r="L231" s="273">
        <f>SUMIF(I175:I228,"Space",L175:L228)/21</f>
        <v>181.71428571428572</v>
      </c>
    </row>
    <row r="232" spans="1:80" x14ac:dyDescent="0.3">
      <c r="H232" s="272" t="s">
        <v>60</v>
      </c>
      <c r="I232" s="259">
        <f>COUNTIF(I175:I228,"=U space")</f>
        <v>12</v>
      </c>
      <c r="J232" s="259"/>
      <c r="K232" s="259" t="s">
        <v>60</v>
      </c>
      <c r="L232" s="274">
        <v>5</v>
      </c>
    </row>
    <row r="233" spans="1:80" ht="13.5" thickBot="1" x14ac:dyDescent="0.35">
      <c r="H233" s="275"/>
      <c r="I233" s="276"/>
      <c r="J233" s="276"/>
      <c r="K233" s="277" t="s">
        <v>0</v>
      </c>
      <c r="L233" s="278">
        <f>SUM(L230:L232)</f>
        <v>251.71428571428572</v>
      </c>
    </row>
  </sheetData>
  <mergeCells count="47">
    <mergeCell ref="B208:B209"/>
    <mergeCell ref="Z208:Z209"/>
    <mergeCell ref="AJ170:AJ172"/>
    <mergeCell ref="A45:A49"/>
    <mergeCell ref="Z45:Z49"/>
    <mergeCell ref="B115:B120"/>
    <mergeCell ref="Z115:Z120"/>
    <mergeCell ref="B109:B114"/>
    <mergeCell ref="Z89:Z91"/>
    <mergeCell ref="B82:B83"/>
    <mergeCell ref="B77:B78"/>
    <mergeCell ref="B45:B49"/>
    <mergeCell ref="A106:A108"/>
    <mergeCell ref="B143:B144"/>
    <mergeCell ref="Z143:Z144"/>
    <mergeCell ref="B189:B190"/>
    <mergeCell ref="B19:B22"/>
    <mergeCell ref="B30:B35"/>
    <mergeCell ref="B23:B29"/>
    <mergeCell ref="Z19:Z22"/>
    <mergeCell ref="Z109:Z114"/>
    <mergeCell ref="Z30:Z35"/>
    <mergeCell ref="Z23:Z29"/>
    <mergeCell ref="B36:B38"/>
    <mergeCell ref="Z36:Z38"/>
    <mergeCell ref="I89:I91"/>
    <mergeCell ref="L89:L91"/>
    <mergeCell ref="M89:M91"/>
    <mergeCell ref="B106:B108"/>
    <mergeCell ref="Z106:Z108"/>
    <mergeCell ref="AW2:AZ2"/>
    <mergeCell ref="G2:H2"/>
    <mergeCell ref="I2:Q2"/>
    <mergeCell ref="R2:AB2"/>
    <mergeCell ref="AC2:AG2"/>
    <mergeCell ref="AH2:AO2"/>
    <mergeCell ref="AP2:AV2"/>
    <mergeCell ref="Z189:Z190"/>
    <mergeCell ref="Z148:Z152"/>
    <mergeCell ref="B148:B152"/>
    <mergeCell ref="B145:B147"/>
    <mergeCell ref="Z145:Z147"/>
    <mergeCell ref="B183:B186"/>
    <mergeCell ref="Z183:Z186"/>
    <mergeCell ref="Z181:Z182"/>
    <mergeCell ref="B181:B182"/>
    <mergeCell ref="E170:E172"/>
  </mergeCells>
  <phoneticPr fontId="45" type="noConversion"/>
  <conditionalFormatting sqref="AB4:AB16 AB18:AB62 AB66:AB70 AB77:AB158 AB160:AB226">
    <cfRule type="cellIs" dxfId="25" priority="29" operator="lessThanOrEqual">
      <formula>0</formula>
    </cfRule>
    <cfRule type="cellIs" dxfId="24" priority="30" operator="lessThanOrEqual">
      <formula>0</formula>
    </cfRule>
  </conditionalFormatting>
  <conditionalFormatting sqref="BE4:BH16 BE18:BH62 BE66:BH225">
    <cfRule type="cellIs" dxfId="23" priority="1846" operator="greaterThan">
      <formula>#REF!</formula>
    </cfRule>
    <cfRule type="cellIs" dxfId="22" priority="1847" operator="between">
      <formula>#REF!</formula>
      <formula>#REF!</formula>
    </cfRule>
  </conditionalFormatting>
  <conditionalFormatting sqref="BE4:BH16 BE18:BH62 BE66:BH227">
    <cfRule type="cellIs" dxfId="21" priority="7" operator="between">
      <formula>#REF!</formula>
      <formula>#REF!</formula>
    </cfRule>
    <cfRule type="cellIs" dxfId="20" priority="8" operator="between">
      <formula>#REF!</formula>
      <formula>#REF!</formula>
    </cfRule>
  </conditionalFormatting>
  <conditionalFormatting sqref="BE66:BH227 BE4:BH16 BE18:BH62">
    <cfRule type="cellIs" dxfId="19" priority="6" operator="lessThan">
      <formula>#REF!</formula>
    </cfRule>
  </conditionalFormatting>
  <conditionalFormatting sqref="BE226:BH226">
    <cfRule type="cellIs" dxfId="18" priority="2" operator="greaterThan">
      <formula>#REF!</formula>
    </cfRule>
    <cfRule type="cellIs" dxfId="17" priority="3" operator="between">
      <formula>#REF!</formula>
      <formula>#REF!</formula>
    </cfRule>
  </conditionalFormatting>
  <conditionalFormatting sqref="BE227:BH227">
    <cfRule type="cellIs" dxfId="16" priority="9" operator="greaterThan">
      <formula>#REF!</formula>
    </cfRule>
    <cfRule type="cellIs" dxfId="15" priority="10" operator="between">
      <formula>#REF!</formula>
      <formula>#REF!</formula>
    </cfRule>
  </conditionalFormatting>
  <conditionalFormatting sqref="BY5:CA5">
    <cfRule type="colorScale" priority="13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:CA21">
    <cfRule type="colorScale" priority="19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:CA22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5:CA26"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7:CA27"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8:CA29">
    <cfRule type="colorScale" priority="17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0:CA30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1:CA32"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3:CA34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5:CA35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6:CA38">
    <cfRule type="colorScale" priority="19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0:CA40">
    <cfRule type="colorScale" priority="1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1:CA41">
    <cfRule type="colorScale" priority="14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4:CA44">
    <cfRule type="colorScale" priority="20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5:CA49"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0:CA50"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1:CA52"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3:CA53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4:CA54 BY4:CA4 BY18:CA19 BY23:CA24 BY6:CA16">
    <cfRule type="colorScale" priority="1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0:CA70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7:CA77 BY39:CA39 BY79:CA79 BY55:CA62 BY66:CA69">
    <cfRule type="colorScale" priority="17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8:CA78"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0:CA80">
    <cfRule type="colorScale" priority="20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1:CA81">
    <cfRule type="colorScale" priority="14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2:CA82">
    <cfRule type="colorScale" priority="13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3:CA84"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5:CA85">
    <cfRule type="colorScale" priority="1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6:CA89 BY71:CA71 BY42:CA43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0:CA91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2:CA92"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3:CA94 BY96:CA96"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5:CA95"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7:CA97"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8:CA98"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9:CA99"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0:CA101"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2:CA102"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3:CA109">
    <cfRule type="colorScale" priority="18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0:CA110"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1:CA111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2:CA113">
    <cfRule type="colorScale" priority="2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4:CA114"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5:CA115"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6:CA119">
    <cfRule type="colorScale" priority="2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0:CA120"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1:CA121">
    <cfRule type="colorScale" priority="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3:CA127">
    <cfRule type="colorScale" priority="22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8:CA128"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9:CA129"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0:CA13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3:CA133"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4:CA13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5:CA135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6:CA139"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1:CA14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2:CA142 BY140:CA140"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3:CA144"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5:CA145"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6:CA146"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7:CA147"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8:CA148">
    <cfRule type="colorScale" priority="22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9:CA149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0:CA150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1:CA151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2:CA152"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3:CA153"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4:CA154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5:CA155"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6:CA156"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7:CA157"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8:CA158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9:CA159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1:CA165">
    <cfRule type="colorScale" priority="19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6:CA166"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7:CA167"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0:CA170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1:CA171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2:CA172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5:CA175"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6:CA176"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7:CA178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9:CA190">
    <cfRule type="colorScale" priority="19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91:CA197">
    <cfRule type="colorScale" priority="1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98:CA199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0:CA201">
    <cfRule type="colorScale" priority="18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2:CA202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3:CA203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4:CA204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5:CA205"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6:CA206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8:CA211">
    <cfRule type="colorScale" priority="20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2:CA212 BY207:CA20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3:CA215 BY222:CA225">
    <cfRule type="colorScale" priority="2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6:CA221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6:CA22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7:CA22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promptTitle="Rack, U Space, Cage" sqref="I170:I172 I165:I167 I77:I89 I92:I122 I175:I227 I4:I62 I66:I71 I127:I160" xr:uid="{00000000-0002-0000-0000-000000000000}">
      <formula1>"Space, Rack, U space"</formula1>
    </dataValidation>
    <dataValidation type="list" allowBlank="1" showInputMessage="1" showErrorMessage="1" sqref="AE170:AE172 AE175:AE227 AE18:AE62 AE4:AE16 AE66:AE71 AE77:AE167" xr:uid="{00000000-0002-0000-0000-000001000000}">
      <formula1>"Fixed, Variable"</formula1>
    </dataValidation>
    <dataValidation type="list" allowBlank="1" showInputMessage="1" showErrorMessage="1" promptTitle="Rack, U Space, Cage" sqref="J170:J172 J165:J167 J77:J122 J175:J227 J4:J62 J66:J71 J127:J160" xr:uid="{00000000-0002-0000-0000-000002000000}">
      <formula1>"Caged, Uncaged"</formula1>
    </dataValidation>
    <dataValidation type="list" allowBlank="1" showInputMessage="1" showErrorMessage="1" sqref="H170:H172 H165:H167 H77:H122 H175:H227 H4:H71 H127:H160" xr:uid="{00000000-0002-0000-0000-000003000000}">
      <formula1>"Bundled, Metered"</formula1>
    </dataValidation>
    <dataValidation type="list" allowBlank="1" showInputMessage="1" showErrorMessage="1" sqref="S170:S172 S175:S227 S18:S62 S4:S16 S66:S71 S77:S167" xr:uid="{00000000-0002-0000-0000-000004000000}">
      <formula1>"KW, KVA"</formula1>
    </dataValidation>
    <dataValidation type="list" allowBlank="1" showInputMessage="1" showErrorMessage="1" sqref="AV170:AV172 AV175:AV227 AV18:AV62 AV4:AV16 AV66:AV71 AV77:AV167" xr:uid="{00000000-0002-0000-0000-000005000000}">
      <formula1>"Qtrly Adv, Qtry Ars, Monthly Adv, Monthly Ars"</formula1>
    </dataValidation>
    <dataValidation type="list" allowBlank="1" showInputMessage="1" showErrorMessage="1" sqref="G170:G172 G175:G227 G4:G71 G77:G167" xr:uid="{00000000-0002-0000-0000-000006000000}">
      <formula1>"Rated, Subscribed"</formula1>
    </dataValidation>
    <dataValidation type="list" allowBlank="1" showInputMessage="1" showErrorMessage="1" sqref="AH170:AH173 AI158 AI53 AH175:AH179 AH181:AH228 AH18:AH62 AH4:AH16 AH66:AH75 AH77:AH168" xr:uid="{00000000-0002-0000-0000-000007000000}">
      <formula1>"No of Seats,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241D-9BD6-4C09-BD4B-43D4CCE18585}">
  <dimension ref="A1:BZ29"/>
  <sheetViews>
    <sheetView topLeftCell="B1" workbookViewId="0">
      <selection activeCell="AF3" sqref="AF3"/>
    </sheetView>
  </sheetViews>
  <sheetFormatPr defaultColWidth="9" defaultRowHeight="13" x14ac:dyDescent="0.3"/>
  <cols>
    <col min="1" max="1" width="9" style="5" hidden="1" customWidth="1"/>
    <col min="2" max="2" width="36.19921875" style="5" customWidth="1"/>
    <col min="3" max="3" width="46.5" style="5" customWidth="1"/>
    <col min="4" max="5" width="16.5" style="5" customWidth="1"/>
    <col min="6" max="6" width="18.3984375" style="5" customWidth="1"/>
    <col min="7" max="7" width="19.3984375" style="5" customWidth="1"/>
    <col min="8" max="8" width="12" style="5" customWidth="1"/>
    <col min="9" max="9" width="13.09765625" style="5" customWidth="1"/>
    <col min="10" max="10" width="12.59765625" style="5" customWidth="1"/>
    <col min="11" max="11" width="12" style="5" customWidth="1"/>
    <col min="12" max="12" width="7.59765625" style="5" customWidth="1"/>
    <col min="13" max="13" width="10.3984375" style="6" customWidth="1"/>
    <col min="14" max="16" width="17.09765625" style="4" customWidth="1"/>
    <col min="17" max="17" width="12" style="4" customWidth="1"/>
    <col min="18" max="18" width="5.3984375" style="4" customWidth="1"/>
    <col min="19" max="19" width="10" style="17" customWidth="1"/>
    <col min="20" max="20" width="8.3984375" style="5" customWidth="1"/>
    <col min="21" max="21" width="13" style="6" customWidth="1"/>
    <col min="22" max="22" width="10" style="5" customWidth="1"/>
    <col min="23" max="23" width="10.59765625" style="5" customWidth="1"/>
    <col min="24" max="24" width="12.59765625" style="5" customWidth="1"/>
    <col min="25" max="25" width="8" style="5" customWidth="1"/>
    <col min="26" max="26" width="10.09765625" style="5" customWidth="1"/>
    <col min="27" max="27" width="14" style="5" customWidth="1"/>
    <col min="28" max="28" width="14.59765625" style="5" bestFit="1" customWidth="1"/>
    <col min="29" max="29" width="10" style="5" customWidth="1"/>
    <col min="30" max="30" width="15.09765625" style="5" customWidth="1"/>
    <col min="31" max="31" width="12" style="5" customWidth="1"/>
    <col min="32" max="33" width="11.59765625" style="10" customWidth="1"/>
    <col min="34" max="34" width="11" style="10" customWidth="1"/>
    <col min="35" max="35" width="12.3984375" style="5" customWidth="1"/>
    <col min="36" max="36" width="6.59765625" style="5" customWidth="1"/>
    <col min="37" max="37" width="12.09765625" style="5" customWidth="1"/>
    <col min="38" max="38" width="6" style="5" customWidth="1"/>
    <col min="39" max="39" width="9.09765625" style="5" customWidth="1"/>
    <col min="40" max="40" width="9" style="5"/>
    <col min="41" max="41" width="11" style="5" bestFit="1" customWidth="1"/>
    <col min="42" max="42" width="10" style="5" customWidth="1"/>
    <col min="43" max="43" width="11" style="5" bestFit="1" customWidth="1"/>
    <col min="44" max="44" width="9" style="5"/>
    <col min="45" max="45" width="10" style="5" customWidth="1"/>
    <col min="46" max="46" width="13.59765625" style="5" customWidth="1"/>
    <col min="47" max="47" width="10.09765625" style="5" customWidth="1"/>
    <col min="48" max="48" width="21.59765625" style="8" customWidth="1"/>
    <col min="49" max="49" width="20" style="8" customWidth="1"/>
    <col min="50" max="50" width="8.3984375" style="8" customWidth="1"/>
    <col min="51" max="51" width="7.59765625" style="8" customWidth="1"/>
    <col min="52" max="52" width="34.59765625" style="5" customWidth="1"/>
    <col min="53" max="53" width="6.59765625" style="5" customWidth="1"/>
    <col min="54" max="54" width="10.3984375" style="5" customWidth="1"/>
    <col min="55" max="55" width="11" style="5" customWidth="1"/>
    <col min="56" max="59" width="9" style="5"/>
    <col min="60" max="60" width="11" style="5" customWidth="1"/>
    <col min="61" max="62" width="10" style="5" customWidth="1"/>
    <col min="63" max="73" width="9" style="5"/>
    <col min="74" max="74" width="10.8984375" style="5" bestFit="1" customWidth="1"/>
    <col min="75" max="16384" width="9" style="5"/>
  </cols>
  <sheetData>
    <row r="1" spans="1:78" ht="13.5" thickBot="1" x14ac:dyDescent="0.35">
      <c r="B1" s="7"/>
      <c r="C1" s="7"/>
      <c r="D1" s="7"/>
      <c r="E1" s="7"/>
      <c r="F1" s="456" t="s">
        <v>12</v>
      </c>
      <c r="G1" s="457"/>
      <c r="H1" s="458" t="s">
        <v>3</v>
      </c>
      <c r="I1" s="458"/>
      <c r="J1" s="458"/>
      <c r="K1" s="458"/>
      <c r="L1" s="458"/>
      <c r="M1" s="458"/>
      <c r="N1" s="458"/>
      <c r="O1" s="458"/>
      <c r="P1" s="458"/>
      <c r="Q1" s="459" t="s">
        <v>13</v>
      </c>
      <c r="R1" s="459"/>
      <c r="S1" s="459"/>
      <c r="T1" s="459"/>
      <c r="U1" s="460"/>
      <c r="V1" s="459"/>
      <c r="W1" s="459"/>
      <c r="X1" s="459"/>
      <c r="Y1" s="459"/>
      <c r="Z1" s="459"/>
      <c r="AA1" s="459"/>
      <c r="AB1" s="461" t="s">
        <v>14</v>
      </c>
      <c r="AC1" s="461"/>
      <c r="AD1" s="461"/>
      <c r="AE1" s="461"/>
      <c r="AF1" s="462"/>
      <c r="AG1" s="463" t="s">
        <v>15</v>
      </c>
      <c r="AH1" s="464"/>
      <c r="AI1" s="464"/>
      <c r="AJ1" s="464"/>
      <c r="AK1" s="464"/>
      <c r="AL1" s="464"/>
      <c r="AM1" s="464"/>
      <c r="AN1" s="465"/>
      <c r="AO1" s="466" t="s">
        <v>16</v>
      </c>
      <c r="AP1" s="466"/>
      <c r="AQ1" s="466"/>
      <c r="AR1" s="466"/>
      <c r="AS1" s="466"/>
      <c r="AT1" s="466"/>
      <c r="AU1" s="466"/>
      <c r="AV1" s="455" t="s">
        <v>17</v>
      </c>
      <c r="AW1" s="455"/>
      <c r="AX1" s="455"/>
      <c r="AY1" s="455"/>
    </row>
    <row r="2" spans="1:78" ht="104" x14ac:dyDescent="0.3">
      <c r="A2" s="200" t="s">
        <v>256</v>
      </c>
      <c r="B2" s="183" t="s">
        <v>2</v>
      </c>
      <c r="C2" s="183" t="s">
        <v>1</v>
      </c>
      <c r="D2" s="183" t="s">
        <v>450</v>
      </c>
      <c r="E2" s="184" t="s">
        <v>485</v>
      </c>
      <c r="F2" s="184" t="s">
        <v>18</v>
      </c>
      <c r="G2" s="184" t="s">
        <v>19</v>
      </c>
      <c r="H2" s="184" t="s">
        <v>6</v>
      </c>
      <c r="I2" s="184" t="s">
        <v>20</v>
      </c>
      <c r="J2" s="185" t="s">
        <v>21</v>
      </c>
      <c r="K2" s="184" t="s">
        <v>4</v>
      </c>
      <c r="L2" s="183" t="s">
        <v>7</v>
      </c>
      <c r="M2" s="186" t="s">
        <v>22</v>
      </c>
      <c r="N2" s="184" t="s">
        <v>23</v>
      </c>
      <c r="O2" s="184" t="s">
        <v>24</v>
      </c>
      <c r="P2" s="184" t="s">
        <v>25</v>
      </c>
      <c r="Q2" s="187" t="s">
        <v>26</v>
      </c>
      <c r="R2" s="185" t="s">
        <v>21</v>
      </c>
      <c r="S2" s="185" t="s">
        <v>27</v>
      </c>
      <c r="T2" s="185" t="s">
        <v>28</v>
      </c>
      <c r="U2" s="188" t="s">
        <v>29</v>
      </c>
      <c r="V2" s="184" t="s">
        <v>30</v>
      </c>
      <c r="W2" s="185" t="s">
        <v>31</v>
      </c>
      <c r="X2" s="204" t="s">
        <v>297</v>
      </c>
      <c r="Y2" s="189" t="s">
        <v>113</v>
      </c>
      <c r="Z2" s="185" t="s">
        <v>32</v>
      </c>
      <c r="AA2" s="185" t="s">
        <v>33</v>
      </c>
      <c r="AB2" s="185" t="s">
        <v>34</v>
      </c>
      <c r="AC2" s="190" t="s">
        <v>35</v>
      </c>
      <c r="AD2" s="191" t="s">
        <v>36</v>
      </c>
      <c r="AE2" s="191" t="s">
        <v>37</v>
      </c>
      <c r="AF2" s="192" t="s">
        <v>38</v>
      </c>
      <c r="AG2" s="192" t="s">
        <v>26</v>
      </c>
      <c r="AH2" s="192" t="s">
        <v>21</v>
      </c>
      <c r="AI2" s="184" t="s">
        <v>4</v>
      </c>
      <c r="AJ2" s="183" t="s">
        <v>7</v>
      </c>
      <c r="AK2" s="184" t="s">
        <v>9</v>
      </c>
      <c r="AL2" s="184" t="s">
        <v>23</v>
      </c>
      <c r="AM2" s="184" t="s">
        <v>30</v>
      </c>
      <c r="AN2" s="184" t="s">
        <v>39</v>
      </c>
      <c r="AO2" s="191" t="s">
        <v>40</v>
      </c>
      <c r="AP2" s="191" t="s">
        <v>41</v>
      </c>
      <c r="AQ2" s="191" t="s">
        <v>42</v>
      </c>
      <c r="AR2" s="191" t="s">
        <v>15</v>
      </c>
      <c r="AS2" s="191" t="s">
        <v>43</v>
      </c>
      <c r="AT2" s="191" t="s">
        <v>44</v>
      </c>
      <c r="AU2" s="191" t="s">
        <v>45</v>
      </c>
      <c r="AV2" s="193" t="s">
        <v>46</v>
      </c>
      <c r="AW2" s="193" t="s">
        <v>47</v>
      </c>
      <c r="AX2" s="193" t="s">
        <v>48</v>
      </c>
      <c r="AY2" s="193" t="s">
        <v>49</v>
      </c>
      <c r="AZ2" s="194" t="s">
        <v>50</v>
      </c>
      <c r="BB2" s="23" t="s">
        <v>51</v>
      </c>
      <c r="BC2" s="23" t="s">
        <v>74</v>
      </c>
      <c r="BD2" s="23" t="s">
        <v>75</v>
      </c>
      <c r="BE2" s="23" t="s">
        <v>76</v>
      </c>
      <c r="BF2" s="23" t="s">
        <v>77</v>
      </c>
      <c r="BG2" s="23"/>
      <c r="BH2" s="23" t="s">
        <v>85</v>
      </c>
      <c r="BI2" s="23" t="s">
        <v>86</v>
      </c>
      <c r="BJ2" s="23" t="s">
        <v>87</v>
      </c>
      <c r="BK2" s="23" t="s">
        <v>78</v>
      </c>
      <c r="BL2" s="23" t="s">
        <v>79</v>
      </c>
      <c r="BM2" s="23" t="s">
        <v>80</v>
      </c>
      <c r="BN2" s="23" t="s">
        <v>88</v>
      </c>
      <c r="BO2" s="23" t="s">
        <v>89</v>
      </c>
      <c r="BP2" s="23" t="s">
        <v>90</v>
      </c>
      <c r="BQ2" s="23" t="s">
        <v>91</v>
      </c>
      <c r="BR2" s="23" t="s">
        <v>92</v>
      </c>
      <c r="BS2" s="24" t="s">
        <v>58</v>
      </c>
      <c r="BT2" s="24"/>
      <c r="BU2" s="23" t="s">
        <v>91</v>
      </c>
      <c r="BV2" s="23" t="s">
        <v>90</v>
      </c>
      <c r="BW2" s="23" t="s">
        <v>93</v>
      </c>
      <c r="BX2" s="23" t="s">
        <v>94</v>
      </c>
      <c r="BY2" s="23" t="s">
        <v>95</v>
      </c>
      <c r="BZ2" s="23" t="s">
        <v>96</v>
      </c>
    </row>
    <row r="3" spans="1:78" ht="39" x14ac:dyDescent="0.3">
      <c r="A3" s="195" t="s">
        <v>248</v>
      </c>
      <c r="B3" s="32" t="s">
        <v>575</v>
      </c>
      <c r="C3" s="373" t="s">
        <v>292</v>
      </c>
      <c r="D3" s="175" t="s">
        <v>405</v>
      </c>
      <c r="E3" s="175"/>
      <c r="F3" s="33" t="s">
        <v>56</v>
      </c>
      <c r="G3" s="34" t="s">
        <v>57</v>
      </c>
      <c r="H3" s="33" t="s">
        <v>3</v>
      </c>
      <c r="I3" s="33" t="s">
        <v>53</v>
      </c>
      <c r="J3" s="31" t="str">
        <f>IF(H3="Rack","No of Racks",(IF(H3="Space","Sq Ft","U Space")))</f>
        <v>Sq Ft</v>
      </c>
      <c r="K3" s="33">
        <v>560</v>
      </c>
      <c r="L3" s="33">
        <v>560</v>
      </c>
      <c r="M3" s="35">
        <v>0</v>
      </c>
      <c r="N3" s="33">
        <v>560</v>
      </c>
      <c r="O3" s="33"/>
      <c r="P3" s="426">
        <v>511700</v>
      </c>
      <c r="Q3" s="43" t="str">
        <f>F3</f>
        <v>Subscribed</v>
      </c>
      <c r="R3" s="33" t="s">
        <v>58</v>
      </c>
      <c r="S3" s="34">
        <v>216</v>
      </c>
      <c r="T3" s="65">
        <f>Y3</f>
        <v>88.336309523809518</v>
      </c>
      <c r="U3" s="46">
        <f>S3-T3</f>
        <v>127.66369047619048</v>
      </c>
      <c r="V3" s="34"/>
      <c r="W3" s="34">
        <f>IF(U3&lt;=0,0,(IF(Q3="Rated",(U3+V3)*#REF!,(U3+V3))))</f>
        <v>127.66369047619048</v>
      </c>
      <c r="X3" s="34">
        <f>IF(Q3="Rated",S3*#REF!,S3)</f>
        <v>216</v>
      </c>
      <c r="Y3" s="65">
        <f>AF3/28/24</f>
        <v>88.336309523809518</v>
      </c>
      <c r="Z3" s="34">
        <f>IF((U3*-1)&gt;0, (U3*-1), 0)</f>
        <v>0</v>
      </c>
      <c r="AA3" s="34"/>
      <c r="AB3" s="48" t="str">
        <f>G3</f>
        <v>Metered</v>
      </c>
      <c r="AC3" s="34"/>
      <c r="AD3" s="34"/>
      <c r="AE3" s="49"/>
      <c r="AF3" s="362">
        <v>59362</v>
      </c>
      <c r="AG3" s="50"/>
      <c r="AH3" s="51" t="str">
        <f>IF(AG3="No of Seats","No of Seats",(IF(AG3="Space","Sq Ft","")))</f>
        <v/>
      </c>
      <c r="AI3" s="34"/>
      <c r="AJ3" s="34"/>
      <c r="AK3" s="34"/>
      <c r="AL3" s="34"/>
      <c r="AM3" s="34"/>
      <c r="AN3" s="42"/>
      <c r="AO3" s="52"/>
      <c r="AP3" s="52"/>
      <c r="AQ3" s="53"/>
      <c r="AR3" s="52"/>
      <c r="AS3" s="54"/>
      <c r="AT3" s="55"/>
      <c r="AU3" s="55"/>
      <c r="AV3" s="134"/>
      <c r="AW3" s="63"/>
      <c r="AX3" s="64"/>
      <c r="AY3" s="63"/>
      <c r="AZ3" s="196"/>
      <c r="BB3" s="25"/>
      <c r="BC3" s="25"/>
      <c r="BD3" s="25"/>
      <c r="BE3" s="25"/>
      <c r="BF3" s="25"/>
      <c r="BG3" s="25"/>
      <c r="BH3" s="26"/>
      <c r="BI3" s="26"/>
      <c r="BJ3" s="26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</row>
    <row r="4" spans="1:78" s="16" customFormat="1" ht="26" x14ac:dyDescent="0.3">
      <c r="A4" s="195" t="s">
        <v>248</v>
      </c>
      <c r="B4" s="32" t="s">
        <v>576</v>
      </c>
      <c r="C4" s="373" t="s">
        <v>489</v>
      </c>
      <c r="D4" s="279" t="s">
        <v>405</v>
      </c>
      <c r="E4" s="279"/>
      <c r="F4" s="33" t="s">
        <v>56</v>
      </c>
      <c r="G4" s="34" t="s">
        <v>57</v>
      </c>
      <c r="H4" s="33" t="s">
        <v>3</v>
      </c>
      <c r="I4" s="33" t="s">
        <v>53</v>
      </c>
      <c r="J4" s="31" t="str">
        <f>IF(H4="Rack","No of Racks",(IF(H4="Space","Sq Ft","U Space")))</f>
        <v>Sq Ft</v>
      </c>
      <c r="K4" s="33">
        <v>256</v>
      </c>
      <c r="L4" s="33">
        <v>256</v>
      </c>
      <c r="M4" s="35">
        <v>0</v>
      </c>
      <c r="N4" s="33">
        <v>256</v>
      </c>
      <c r="O4" s="33"/>
      <c r="P4" s="426">
        <v>767000</v>
      </c>
      <c r="Q4" s="43" t="str">
        <f>F4</f>
        <v>Subscribed</v>
      </c>
      <c r="R4" s="33" t="s">
        <v>58</v>
      </c>
      <c r="S4" s="34">
        <v>100</v>
      </c>
      <c r="T4" s="65">
        <f>Y4</f>
        <v>13.47172619047619</v>
      </c>
      <c r="U4" s="46">
        <f>S4-T4</f>
        <v>86.52827380952381</v>
      </c>
      <c r="V4" s="34"/>
      <c r="W4" s="34">
        <f>IF(U4&lt;=0,0,(IF(Q4="Rated",(U4+V4)*#REF!,(U4+V4))))</f>
        <v>86.52827380952381</v>
      </c>
      <c r="X4" s="34">
        <f>IF(Q4="Rated",S4*#REF!,S4)</f>
        <v>100</v>
      </c>
      <c r="Y4" s="65">
        <f>AF4/28/24</f>
        <v>13.47172619047619</v>
      </c>
      <c r="Z4" s="34">
        <f>IF((U4*-1)&gt;0, (U4*-1), 0)</f>
        <v>0</v>
      </c>
      <c r="AA4" s="34"/>
      <c r="AB4" s="48" t="str">
        <f>G4</f>
        <v>Metered</v>
      </c>
      <c r="AC4" s="33"/>
      <c r="AD4" s="34"/>
      <c r="AE4" s="49"/>
      <c r="AF4" s="362">
        <v>9053</v>
      </c>
      <c r="AG4" s="50"/>
      <c r="AH4" s="51" t="str">
        <f>IF(AG4="No of Seats","No of Seats",(IF(AG4="Space","Sq Ft","")))</f>
        <v/>
      </c>
      <c r="AI4" s="34"/>
      <c r="AJ4" s="34"/>
      <c r="AK4" s="34"/>
      <c r="AL4" s="33"/>
      <c r="AM4" s="33"/>
      <c r="AN4" s="42"/>
      <c r="AO4" s="52"/>
      <c r="AP4" s="52"/>
      <c r="AQ4" s="53"/>
      <c r="AR4" s="52"/>
      <c r="AS4" s="54"/>
      <c r="AT4" s="55"/>
      <c r="AU4" s="55"/>
      <c r="AV4" s="134"/>
      <c r="AW4" s="63"/>
      <c r="AX4" s="64"/>
      <c r="AY4" s="63"/>
      <c r="AZ4" s="196"/>
      <c r="BB4" s="25"/>
      <c r="BC4" s="25"/>
      <c r="BD4" s="25"/>
      <c r="BE4" s="25"/>
      <c r="BF4" s="25"/>
      <c r="BG4" s="25"/>
      <c r="BH4" s="26"/>
      <c r="BI4" s="26"/>
      <c r="BJ4" s="26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</row>
    <row r="5" spans="1:78" s="16" customFormat="1" x14ac:dyDescent="0.3">
      <c r="A5" s="195"/>
      <c r="B5" s="32" t="s">
        <v>490</v>
      </c>
      <c r="C5" s="373" t="s">
        <v>310</v>
      </c>
      <c r="D5" s="279" t="s">
        <v>405</v>
      </c>
      <c r="E5" s="279"/>
      <c r="F5" s="33" t="s">
        <v>56</v>
      </c>
      <c r="G5" s="34" t="s">
        <v>57</v>
      </c>
      <c r="H5" s="33" t="s">
        <v>3</v>
      </c>
      <c r="I5" s="33" t="s">
        <v>53</v>
      </c>
      <c r="J5" s="31" t="str">
        <f>IF(H5="Rack","No of Racks",(IF(H5="Space","Sq Ft","U Space")))</f>
        <v>Sq Ft</v>
      </c>
      <c r="K5" s="33">
        <v>432</v>
      </c>
      <c r="L5" s="33">
        <v>288</v>
      </c>
      <c r="M5" s="35">
        <v>144</v>
      </c>
      <c r="N5" s="33">
        <v>288</v>
      </c>
      <c r="O5" s="33"/>
      <c r="P5" s="426"/>
      <c r="Q5" s="43" t="str">
        <f>F5</f>
        <v>Subscribed</v>
      </c>
      <c r="R5" s="33" t="s">
        <v>58</v>
      </c>
      <c r="S5" s="34">
        <v>72</v>
      </c>
      <c r="T5" s="65">
        <f>Y5</f>
        <v>0</v>
      </c>
      <c r="U5" s="46">
        <f>S5-T5</f>
        <v>72</v>
      </c>
      <c r="V5" s="34"/>
      <c r="W5" s="34">
        <f>IF(U5&lt;=0,0,(IF(Q5="Rated",(U5+V5)*#REF!,(U5+V5))))</f>
        <v>72</v>
      </c>
      <c r="X5" s="34">
        <f>IF(Q5="Rated",S5*#REF!,S5)</f>
        <v>72</v>
      </c>
      <c r="Y5" s="65">
        <f>AF5/28/24</f>
        <v>0</v>
      </c>
      <c r="Z5" s="34">
        <f>IF((U5*-1)&gt;0, (U5*-1), 0)</f>
        <v>0</v>
      </c>
      <c r="AA5" s="34"/>
      <c r="AB5" s="48" t="s">
        <v>57</v>
      </c>
      <c r="AC5" s="33"/>
      <c r="AD5" s="34"/>
      <c r="AE5" s="49"/>
      <c r="AF5" s="362">
        <v>0</v>
      </c>
      <c r="AG5" s="50"/>
      <c r="AH5" s="51"/>
      <c r="AI5" s="34"/>
      <c r="AJ5" s="34"/>
      <c r="AK5" s="34"/>
      <c r="AL5" s="33"/>
      <c r="AM5" s="33"/>
      <c r="AN5" s="42"/>
      <c r="AO5" s="52"/>
      <c r="AP5" s="52"/>
      <c r="AQ5" s="53"/>
      <c r="AR5" s="52"/>
      <c r="AS5" s="54"/>
      <c r="AT5" s="55"/>
      <c r="AU5" s="55"/>
      <c r="AV5" s="134"/>
      <c r="AW5" s="63"/>
      <c r="AX5" s="64"/>
      <c r="AY5" s="63"/>
      <c r="AZ5" s="196"/>
      <c r="BB5" s="59"/>
      <c r="BC5" s="59"/>
      <c r="BD5" s="59"/>
      <c r="BE5" s="59"/>
      <c r="BF5" s="59"/>
      <c r="BG5" s="59"/>
      <c r="BH5" s="60"/>
      <c r="BI5" s="60"/>
      <c r="BJ5" s="60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</row>
    <row r="6" spans="1:78" s="16" customFormat="1" x14ac:dyDescent="0.3">
      <c r="A6" s="195" t="s">
        <v>248</v>
      </c>
      <c r="B6" s="32" t="s">
        <v>491</v>
      </c>
      <c r="C6" s="373" t="s">
        <v>310</v>
      </c>
      <c r="D6" s="279" t="s">
        <v>405</v>
      </c>
      <c r="E6" s="279"/>
      <c r="F6" s="33" t="s">
        <v>56</v>
      </c>
      <c r="G6" s="34" t="s">
        <v>57</v>
      </c>
      <c r="H6" s="33" t="s">
        <v>3</v>
      </c>
      <c r="I6" s="33" t="s">
        <v>53</v>
      </c>
      <c r="J6" s="31" t="str">
        <f>IF(H6="Rack","No of Racks",(IF(H6="Space","Sq Ft","U Space")))</f>
        <v>Sq Ft</v>
      </c>
      <c r="K6" s="33">
        <v>5612</v>
      </c>
      <c r="L6" s="33">
        <v>0</v>
      </c>
      <c r="M6" s="35">
        <f>K6-L6</f>
        <v>5612</v>
      </c>
      <c r="N6" s="33">
        <v>0</v>
      </c>
      <c r="O6" s="33"/>
      <c r="P6" s="426">
        <v>2769200</v>
      </c>
      <c r="Q6" s="43" t="str">
        <f>F6</f>
        <v>Subscribed</v>
      </c>
      <c r="R6" s="33" t="s">
        <v>58</v>
      </c>
      <c r="S6" s="34">
        <v>578</v>
      </c>
      <c r="T6" s="65">
        <f>Y6</f>
        <v>583.6603720238096</v>
      </c>
      <c r="U6" s="46">
        <f>S6-T6</f>
        <v>-5.6603720238096003</v>
      </c>
      <c r="V6" s="34"/>
      <c r="W6" s="34">
        <f>IF(U6&lt;=0,0,(IF(Q6="Rated",(U6+V6)*#REF!,(U6+V6))))</f>
        <v>0</v>
      </c>
      <c r="X6" s="34">
        <f>IF(Q6="Rated",S6*#REF!,S6)</f>
        <v>578</v>
      </c>
      <c r="Y6" s="65">
        <f>AF6/28/24</f>
        <v>583.6603720238096</v>
      </c>
      <c r="Z6" s="34">
        <f>IF((U6*-1)&gt;0, (U6*-1), 0)</f>
        <v>5.6603720238096003</v>
      </c>
      <c r="AA6" s="34"/>
      <c r="AB6" s="48" t="str">
        <f>G6</f>
        <v>Metered</v>
      </c>
      <c r="AC6" s="33"/>
      <c r="AD6" s="34"/>
      <c r="AE6" s="49"/>
      <c r="AF6" s="362">
        <v>392219.77</v>
      </c>
      <c r="AG6" s="50"/>
      <c r="AH6" s="51" t="str">
        <f>IF(AG6="No of Seats","No of Seats",(IF(AG6="Space","Sq Ft","")))</f>
        <v/>
      </c>
      <c r="AI6" s="34"/>
      <c r="AJ6" s="34"/>
      <c r="AK6" s="34"/>
      <c r="AL6" s="33"/>
      <c r="AM6" s="33"/>
      <c r="AN6" s="42"/>
      <c r="AO6" s="52"/>
      <c r="AP6" s="52"/>
      <c r="AQ6" s="53"/>
      <c r="AR6" s="52"/>
      <c r="AS6" s="54"/>
      <c r="AT6" s="55"/>
      <c r="AU6" s="55"/>
      <c r="AV6" s="134"/>
      <c r="AW6" s="63"/>
      <c r="AX6" s="64"/>
      <c r="AY6" s="63"/>
      <c r="AZ6" s="197"/>
      <c r="BB6" s="25"/>
      <c r="BC6" s="25"/>
      <c r="BD6" s="25"/>
      <c r="BE6" s="25"/>
      <c r="BF6" s="25"/>
      <c r="BG6" s="25"/>
      <c r="BH6" s="26"/>
      <c r="BI6" s="26"/>
      <c r="BJ6" s="26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</row>
    <row r="7" spans="1:78" s="16" customFormat="1" x14ac:dyDescent="0.3">
      <c r="A7" s="195"/>
      <c r="B7" s="32" t="s">
        <v>578</v>
      </c>
      <c r="C7" s="373" t="s">
        <v>514</v>
      </c>
      <c r="D7" s="279" t="s">
        <v>405</v>
      </c>
      <c r="E7" s="279"/>
      <c r="F7" s="33" t="s">
        <v>56</v>
      </c>
      <c r="G7" s="288" t="s">
        <v>57</v>
      </c>
      <c r="H7" s="287" t="s">
        <v>8</v>
      </c>
      <c r="I7" s="287" t="s">
        <v>61</v>
      </c>
      <c r="J7" s="289" t="s">
        <v>499</v>
      </c>
      <c r="K7" s="287">
        <v>2</v>
      </c>
      <c r="L7" s="33">
        <v>2</v>
      </c>
      <c r="M7" s="35">
        <v>0</v>
      </c>
      <c r="N7" s="33">
        <v>2</v>
      </c>
      <c r="O7" s="33"/>
      <c r="P7" s="426">
        <v>205833</v>
      </c>
      <c r="Q7" s="43" t="str">
        <f t="shared" ref="Q7" si="0">F7</f>
        <v>Subscribed</v>
      </c>
      <c r="R7" s="33" t="s">
        <v>58</v>
      </c>
      <c r="S7" s="34">
        <v>24</v>
      </c>
      <c r="T7" s="65">
        <f>Y7</f>
        <v>10.052083333333334</v>
      </c>
      <c r="U7" s="46">
        <f>S7-T7</f>
        <v>13.947916666666666</v>
      </c>
      <c r="V7" s="34"/>
      <c r="W7" s="34">
        <f>IF(U7&lt;=0,0,(IF(Q7="Rated",(U7+V7)*#REF!,(U7+V7))))</f>
        <v>13.947916666666666</v>
      </c>
      <c r="X7" s="34">
        <f>IF(Q7="Rated",S7*#REF!,S7)</f>
        <v>24</v>
      </c>
      <c r="Y7" s="65">
        <f>AF7/28/24</f>
        <v>10.052083333333334</v>
      </c>
      <c r="Z7" s="34">
        <f>IF((U7*-1)&gt;0, (U7*-1), 0)</f>
        <v>0</v>
      </c>
      <c r="AA7" s="34"/>
      <c r="AB7" s="48" t="s">
        <v>57</v>
      </c>
      <c r="AC7" s="33"/>
      <c r="AD7" s="34"/>
      <c r="AE7" s="49"/>
      <c r="AF7" s="362">
        <v>6755</v>
      </c>
      <c r="AG7" s="50"/>
      <c r="AH7" s="51"/>
      <c r="AI7" s="34"/>
      <c r="AJ7" s="34"/>
      <c r="AK7" s="34"/>
      <c r="AL7" s="33"/>
      <c r="AM7" s="33"/>
      <c r="AN7" s="42"/>
      <c r="AO7" s="52"/>
      <c r="AP7" s="52"/>
      <c r="AQ7" s="53"/>
      <c r="AR7" s="52"/>
      <c r="AS7" s="54"/>
      <c r="AT7" s="55"/>
      <c r="AU7" s="55"/>
      <c r="AV7" s="134"/>
      <c r="AW7" s="63"/>
      <c r="AX7" s="64"/>
      <c r="AY7" s="63"/>
      <c r="AZ7" s="197"/>
      <c r="BB7" s="71"/>
      <c r="BC7" s="71"/>
      <c r="BD7" s="71"/>
      <c r="BE7" s="71"/>
      <c r="BF7" s="71"/>
      <c r="BG7" s="71"/>
      <c r="BH7" s="72"/>
      <c r="BI7" s="72"/>
      <c r="BJ7" s="72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</row>
    <row r="8" spans="1:78" s="220" customFormat="1" ht="13.5" thickBot="1" x14ac:dyDescent="0.35">
      <c r="A8" s="205"/>
      <c r="B8" s="206" t="s">
        <v>488</v>
      </c>
      <c r="C8" s="207"/>
      <c r="D8" s="207"/>
      <c r="E8" s="207"/>
      <c r="F8" s="208"/>
      <c r="G8" s="264"/>
      <c r="H8" s="264"/>
      <c r="I8" s="264"/>
      <c r="J8" s="264"/>
      <c r="K8" s="265"/>
      <c r="L8" s="207"/>
      <c r="M8" s="209"/>
      <c r="N8" s="207"/>
      <c r="O8" s="207"/>
      <c r="P8" s="207"/>
      <c r="Q8" s="210"/>
      <c r="R8" s="207"/>
      <c r="S8" s="211">
        <f>SUM(S3:S7)</f>
        <v>990</v>
      </c>
      <c r="T8" s="211">
        <f>SUM(T3:T7)</f>
        <v>695.52049107142864</v>
      </c>
      <c r="U8" s="212"/>
      <c r="V8" s="211"/>
      <c r="W8" s="211">
        <f>SUM(W3:W7)</f>
        <v>300.13988095238096</v>
      </c>
      <c r="X8" s="211">
        <f>SUM(X3:X7)</f>
        <v>990</v>
      </c>
      <c r="Y8" s="211">
        <f>SUM(Y3:Y7)</f>
        <v>695.52049107142864</v>
      </c>
      <c r="Z8" s="211"/>
      <c r="AA8" s="213"/>
      <c r="AB8" s="213"/>
      <c r="AC8" s="211"/>
      <c r="AD8" s="211"/>
      <c r="AE8" s="211"/>
      <c r="AF8" s="211"/>
      <c r="AG8" s="214"/>
      <c r="AH8" s="215"/>
      <c r="AI8" s="211"/>
      <c r="AJ8" s="211"/>
      <c r="AK8" s="211"/>
      <c r="AL8" s="211"/>
      <c r="AM8" s="211"/>
      <c r="AN8" s="211"/>
      <c r="AO8" s="216"/>
      <c r="AP8" s="216"/>
      <c r="AQ8" s="216"/>
      <c r="AR8" s="216"/>
      <c r="AS8" s="216"/>
      <c r="AT8" s="211"/>
      <c r="AU8" s="208"/>
      <c r="AV8" s="217"/>
      <c r="AW8" s="217"/>
      <c r="AX8" s="218"/>
      <c r="AY8" s="217"/>
      <c r="AZ8" s="219"/>
      <c r="BZ8" s="221"/>
    </row>
    <row r="9" spans="1:78" s="257" customFormat="1" x14ac:dyDescent="0.3">
      <c r="A9" s="244"/>
      <c r="B9" s="245"/>
      <c r="C9" s="245"/>
      <c r="D9" s="328"/>
      <c r="E9" s="328"/>
      <c r="F9" s="260"/>
      <c r="G9" s="269" t="s">
        <v>8</v>
      </c>
      <c r="H9" s="270">
        <f>COUNTIF(H3:H7,"=Rack")</f>
        <v>1</v>
      </c>
      <c r="I9" s="270"/>
      <c r="J9" s="270" t="s">
        <v>298</v>
      </c>
      <c r="K9" s="271">
        <f>SUMIF(H3:H7,"Rack",K3:K7)</f>
        <v>2</v>
      </c>
      <c r="L9" s="262"/>
      <c r="M9" s="246"/>
      <c r="N9" s="245"/>
      <c r="O9" s="245"/>
      <c r="P9" s="245"/>
      <c r="Q9" s="247"/>
      <c r="R9" s="245"/>
      <c r="S9" s="248"/>
      <c r="T9" s="248"/>
      <c r="U9" s="249"/>
      <c r="V9" s="248"/>
      <c r="W9" s="248"/>
      <c r="X9" s="248"/>
      <c r="Y9" s="248"/>
      <c r="Z9" s="248"/>
      <c r="AA9" s="250"/>
      <c r="AB9" s="250"/>
      <c r="AC9" s="248"/>
      <c r="AD9" s="248"/>
      <c r="AE9" s="248"/>
      <c r="AF9" s="248"/>
      <c r="AG9" s="251"/>
      <c r="AH9" s="252"/>
      <c r="AI9" s="248"/>
      <c r="AJ9" s="248"/>
      <c r="AK9" s="248"/>
      <c r="AL9" s="248"/>
      <c r="AM9" s="248"/>
      <c r="AN9" s="248"/>
      <c r="AO9" s="253"/>
      <c r="AP9" s="253"/>
      <c r="AQ9" s="253"/>
      <c r="AR9" s="253"/>
      <c r="AS9" s="253"/>
      <c r="AT9" s="248"/>
      <c r="AU9" s="150"/>
      <c r="AV9" s="254"/>
      <c r="AW9" s="254"/>
      <c r="AX9" s="255"/>
      <c r="AY9" s="254"/>
      <c r="AZ9" s="256"/>
      <c r="BZ9" s="258"/>
    </row>
    <row r="10" spans="1:78" s="257" customFormat="1" x14ac:dyDescent="0.3">
      <c r="A10" s="244"/>
      <c r="B10" s="245"/>
      <c r="C10" s="245"/>
      <c r="D10" s="328"/>
      <c r="E10" s="328"/>
      <c r="F10" s="260"/>
      <c r="G10" s="272" t="s">
        <v>3</v>
      </c>
      <c r="H10" s="259">
        <f>COUNTIF(H3:H7,"=Space")</f>
        <v>4</v>
      </c>
      <c r="I10" s="259"/>
      <c r="J10" s="259" t="s">
        <v>299</v>
      </c>
      <c r="K10" s="273">
        <f>SUMIF(H3:H7,"Space",K3:K7)/21</f>
        <v>326.66666666666669</v>
      </c>
      <c r="L10" s="262"/>
      <c r="M10" s="246"/>
      <c r="N10" s="245"/>
      <c r="O10" s="245"/>
      <c r="P10" s="245"/>
      <c r="Q10" s="247"/>
      <c r="R10" s="245"/>
      <c r="S10" s="248"/>
      <c r="T10" s="248"/>
      <c r="U10" s="249"/>
      <c r="V10" s="248"/>
      <c r="W10" s="248"/>
      <c r="X10" s="248"/>
      <c r="Y10" s="248"/>
      <c r="Z10" s="248"/>
      <c r="AA10" s="250"/>
      <c r="AB10" s="250"/>
      <c r="AC10" s="248"/>
      <c r="AD10" s="248"/>
      <c r="AE10" s="248"/>
      <c r="AF10" s="248"/>
      <c r="AG10" s="251"/>
      <c r="AH10" s="252"/>
      <c r="AI10" s="248"/>
      <c r="AJ10" s="248"/>
      <c r="AK10" s="248"/>
      <c r="AL10" s="248"/>
      <c r="AM10" s="248"/>
      <c r="AN10" s="248"/>
      <c r="AO10" s="253"/>
      <c r="AP10" s="253"/>
      <c r="AQ10" s="253"/>
      <c r="AR10" s="253"/>
      <c r="AS10" s="253"/>
      <c r="AT10" s="248"/>
      <c r="AU10" s="150"/>
      <c r="AV10" s="254"/>
      <c r="AW10" s="254"/>
      <c r="AX10" s="255"/>
      <c r="AY10" s="254"/>
      <c r="AZ10" s="256"/>
      <c r="BZ10" s="258"/>
    </row>
    <row r="11" spans="1:78" s="257" customFormat="1" x14ac:dyDescent="0.3">
      <c r="A11" s="244"/>
      <c r="B11" s="245"/>
      <c r="C11" s="245"/>
      <c r="D11" s="328"/>
      <c r="E11" s="328"/>
      <c r="F11" s="260"/>
      <c r="G11" s="272" t="s">
        <v>60</v>
      </c>
      <c r="H11" s="259">
        <f>COUNTIF(H3:H7,"=U space")</f>
        <v>0</v>
      </c>
      <c r="I11" s="259"/>
      <c r="J11" s="259" t="s">
        <v>60</v>
      </c>
      <c r="K11" s="273">
        <v>0</v>
      </c>
      <c r="L11" s="262"/>
      <c r="M11" s="246"/>
      <c r="N11" s="245"/>
      <c r="O11" s="245"/>
      <c r="P11" s="245"/>
      <c r="Q11" s="247"/>
      <c r="R11" s="245"/>
      <c r="S11" s="248"/>
      <c r="T11" s="248"/>
      <c r="U11" s="249"/>
      <c r="V11" s="248"/>
      <c r="W11" s="248"/>
      <c r="X11" s="248"/>
      <c r="Y11" s="248"/>
      <c r="Z11" s="248"/>
      <c r="AA11" s="250"/>
      <c r="AB11" s="250"/>
      <c r="AC11" s="248"/>
      <c r="AD11" s="248"/>
      <c r="AE11" s="248"/>
      <c r="AF11" s="248"/>
      <c r="AG11" s="251"/>
      <c r="AH11" s="252"/>
      <c r="AI11" s="248"/>
      <c r="AJ11" s="248"/>
      <c r="AK11" s="248"/>
      <c r="AL11" s="248"/>
      <c r="AM11" s="248"/>
      <c r="AN11" s="248"/>
      <c r="AO11" s="253"/>
      <c r="AP11" s="253"/>
      <c r="AQ11" s="253"/>
      <c r="AR11" s="253"/>
      <c r="AS11" s="253"/>
      <c r="AT11" s="248"/>
      <c r="AU11" s="150"/>
      <c r="AV11" s="254"/>
      <c r="AW11" s="254"/>
      <c r="AX11" s="255"/>
      <c r="AY11" s="254"/>
      <c r="AZ11" s="256"/>
      <c r="BZ11" s="258"/>
    </row>
    <row r="12" spans="1:78" ht="13.5" thickBot="1" x14ac:dyDescent="0.35">
      <c r="A12" s="244"/>
      <c r="B12" s="150"/>
      <c r="C12" s="70"/>
      <c r="D12" s="261"/>
      <c r="E12" s="261"/>
      <c r="F12" s="261"/>
      <c r="G12" s="275"/>
      <c r="H12" s="276"/>
      <c r="I12" s="276"/>
      <c r="J12" s="277" t="s">
        <v>0</v>
      </c>
      <c r="K12" s="278">
        <f>SUM(K9:K11)</f>
        <v>328.66666666666669</v>
      </c>
      <c r="L12" s="263"/>
      <c r="M12" s="151"/>
      <c r="N12" s="152"/>
      <c r="O12" s="152"/>
      <c r="P12" s="153"/>
      <c r="Q12" s="152"/>
      <c r="R12" s="152"/>
      <c r="S12" s="154"/>
      <c r="T12" s="70"/>
      <c r="U12" s="151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155"/>
      <c r="AG12" s="155"/>
      <c r="AH12" s="155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85"/>
      <c r="AW12" s="85"/>
      <c r="AX12" s="85"/>
      <c r="AY12" s="85"/>
      <c r="AZ12" s="89"/>
    </row>
    <row r="13" spans="1:78" s="16" customFormat="1" x14ac:dyDescent="0.3">
      <c r="A13" s="195"/>
      <c r="B13" s="32" t="s">
        <v>551</v>
      </c>
      <c r="C13" s="373" t="s">
        <v>550</v>
      </c>
      <c r="D13" s="279" t="s">
        <v>405</v>
      </c>
      <c r="E13" s="279"/>
      <c r="F13" s="33" t="s">
        <v>56</v>
      </c>
      <c r="G13" s="288" t="s">
        <v>57</v>
      </c>
      <c r="H13" s="287" t="s">
        <v>8</v>
      </c>
      <c r="I13" s="287" t="s">
        <v>61</v>
      </c>
      <c r="J13" s="289" t="s">
        <v>499</v>
      </c>
      <c r="K13" s="287">
        <v>319</v>
      </c>
      <c r="L13" s="33">
        <v>53</v>
      </c>
      <c r="M13" s="35">
        <v>266</v>
      </c>
      <c r="N13" s="33">
        <v>53</v>
      </c>
      <c r="O13" s="33"/>
      <c r="P13" s="361"/>
      <c r="Q13" s="43" t="str">
        <f t="shared" ref="Q13" si="1">F13</f>
        <v>Subscribed</v>
      </c>
      <c r="R13" s="33" t="s">
        <v>58</v>
      </c>
      <c r="S13" s="34">
        <v>2160</v>
      </c>
      <c r="T13" s="65">
        <f>Y13</f>
        <v>360.56845238095235</v>
      </c>
      <c r="U13" s="46">
        <f>S13-T13</f>
        <v>1799.4315476190477</v>
      </c>
      <c r="V13" s="34"/>
      <c r="W13" s="34">
        <f>IF(U13&lt;=0,0,(IF(Q13="Rated",(U13+V13)*#REF!,(U13+V13))))</f>
        <v>1799.4315476190477</v>
      </c>
      <c r="X13" s="34">
        <f>IF(Q13="Rated",S13*#REF!,S13)</f>
        <v>2160</v>
      </c>
      <c r="Y13" s="65">
        <f>AF13/28/24</f>
        <v>360.56845238095235</v>
      </c>
      <c r="Z13" s="34">
        <f t="shared" ref="Z13" si="2">IF((U13*-1)&gt;0, (U13*-1), 0)</f>
        <v>0</v>
      </c>
      <c r="AA13" s="34"/>
      <c r="AB13" s="48" t="s">
        <v>57</v>
      </c>
      <c r="AC13" s="33"/>
      <c r="AD13" s="34"/>
      <c r="AE13" s="49"/>
      <c r="AF13" s="362">
        <v>242302</v>
      </c>
      <c r="AG13" s="50"/>
      <c r="AH13" s="51"/>
      <c r="AI13" s="34"/>
      <c r="AJ13" s="34"/>
      <c r="AK13" s="34"/>
      <c r="AL13" s="33"/>
      <c r="AM13" s="33"/>
      <c r="AN13" s="42"/>
      <c r="AO13" s="52"/>
      <c r="AP13" s="52"/>
      <c r="AQ13" s="53"/>
      <c r="AR13" s="52"/>
      <c r="AS13" s="54"/>
      <c r="AT13" s="55"/>
      <c r="AU13" s="55"/>
      <c r="AV13" s="134"/>
      <c r="AW13" s="63"/>
      <c r="AX13" s="64"/>
      <c r="AY13" s="63"/>
      <c r="AZ13" s="197"/>
      <c r="BB13" s="71"/>
      <c r="BC13" s="71"/>
      <c r="BD13" s="71"/>
      <c r="BE13" s="71"/>
      <c r="BF13" s="71"/>
      <c r="BG13" s="71"/>
      <c r="BH13" s="72"/>
      <c r="BI13" s="72"/>
      <c r="BJ13" s="72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</row>
    <row r="14" spans="1:78" s="220" customFormat="1" ht="13.5" thickBot="1" x14ac:dyDescent="0.35">
      <c r="A14" s="205"/>
      <c r="B14" s="206" t="s">
        <v>549</v>
      </c>
      <c r="C14" s="207"/>
      <c r="D14" s="207"/>
      <c r="E14" s="207"/>
      <c r="F14" s="208"/>
      <c r="G14" s="264"/>
      <c r="H14" s="264"/>
      <c r="I14" s="264"/>
      <c r="J14" s="264"/>
      <c r="K14" s="265"/>
      <c r="L14" s="207"/>
      <c r="M14" s="209"/>
      <c r="N14" s="207"/>
      <c r="O14" s="207"/>
      <c r="P14" s="207"/>
      <c r="Q14" s="210"/>
      <c r="R14" s="207"/>
      <c r="S14" s="211">
        <f>SUM(S13:S13)</f>
        <v>2160</v>
      </c>
      <c r="T14" s="211">
        <f>SUM(T13:T13)</f>
        <v>360.56845238095235</v>
      </c>
      <c r="U14" s="212"/>
      <c r="V14" s="211"/>
      <c r="W14" s="211">
        <f>SUM(W13:W13)</f>
        <v>1799.4315476190477</v>
      </c>
      <c r="X14" s="211">
        <f>SUM(X13:X13)</f>
        <v>2160</v>
      </c>
      <c r="Y14" s="211">
        <f>SUM(Y13:Y13)</f>
        <v>360.56845238095235</v>
      </c>
      <c r="Z14" s="211"/>
      <c r="AA14" s="213"/>
      <c r="AB14" s="213"/>
      <c r="AC14" s="211"/>
      <c r="AD14" s="211"/>
      <c r="AE14" s="211"/>
      <c r="AF14" s="211"/>
      <c r="AG14" s="214"/>
      <c r="AH14" s="215"/>
      <c r="AI14" s="211"/>
      <c r="AJ14" s="211"/>
      <c r="AK14" s="211"/>
      <c r="AL14" s="211"/>
      <c r="AM14" s="211"/>
      <c r="AN14" s="211"/>
      <c r="AO14" s="216"/>
      <c r="AP14" s="216"/>
      <c r="AQ14" s="216"/>
      <c r="AR14" s="216"/>
      <c r="AS14" s="216"/>
      <c r="AT14" s="211"/>
      <c r="AU14" s="208"/>
      <c r="AV14" s="217"/>
      <c r="AW14" s="217"/>
      <c r="AX14" s="218"/>
      <c r="AY14" s="217"/>
      <c r="AZ14" s="219"/>
      <c r="BZ14" s="221"/>
    </row>
    <row r="15" spans="1:78" s="257" customFormat="1" x14ac:dyDescent="0.3">
      <c r="A15" s="244"/>
      <c r="B15" s="245"/>
      <c r="C15" s="245"/>
      <c r="D15" s="328"/>
      <c r="E15" s="328"/>
      <c r="F15" s="260"/>
      <c r="G15" s="269" t="s">
        <v>8</v>
      </c>
      <c r="H15" s="270">
        <f>COUNTIF(H13:H13,"=Rack")</f>
        <v>1</v>
      </c>
      <c r="I15" s="270"/>
      <c r="J15" s="270" t="s">
        <v>298</v>
      </c>
      <c r="K15" s="271">
        <f>SUMIF(H13:H13,"Rack",K13:K13)</f>
        <v>319</v>
      </c>
      <c r="L15" s="262"/>
      <c r="M15" s="246"/>
      <c r="N15" s="245"/>
      <c r="O15" s="245"/>
      <c r="P15" s="245"/>
      <c r="Q15" s="247"/>
      <c r="R15" s="245"/>
      <c r="S15" s="248"/>
      <c r="T15" s="248"/>
      <c r="U15" s="249"/>
      <c r="V15" s="248"/>
      <c r="W15" s="248"/>
      <c r="X15" s="248"/>
      <c r="Y15" s="248"/>
      <c r="Z15" s="248"/>
      <c r="AA15" s="250"/>
      <c r="AB15" s="250"/>
      <c r="AC15" s="248"/>
      <c r="AD15" s="248"/>
      <c r="AE15" s="248"/>
      <c r="AF15" s="248"/>
      <c r="AG15" s="251"/>
      <c r="AH15" s="252"/>
      <c r="AI15" s="248"/>
      <c r="AJ15" s="248"/>
      <c r="AK15" s="248"/>
      <c r="AL15" s="248"/>
      <c r="AM15" s="248"/>
      <c r="AN15" s="248"/>
      <c r="AO15" s="253"/>
      <c r="AP15" s="253"/>
      <c r="AQ15" s="253"/>
      <c r="AR15" s="253"/>
      <c r="AS15" s="253"/>
      <c r="AT15" s="248"/>
      <c r="AU15" s="150"/>
      <c r="AV15" s="254"/>
      <c r="AW15" s="254"/>
      <c r="AX15" s="255"/>
      <c r="AY15" s="254"/>
      <c r="AZ15" s="256"/>
      <c r="BZ15" s="258"/>
    </row>
    <row r="16" spans="1:78" s="257" customFormat="1" x14ac:dyDescent="0.3">
      <c r="A16" s="244"/>
      <c r="B16" s="245"/>
      <c r="C16" s="245"/>
      <c r="D16" s="328"/>
      <c r="E16" s="328"/>
      <c r="F16" s="260"/>
      <c r="G16" s="272" t="s">
        <v>3</v>
      </c>
      <c r="H16" s="259">
        <f>COUNTIF(H13:H13,"=Space")</f>
        <v>0</v>
      </c>
      <c r="I16" s="259"/>
      <c r="J16" s="259" t="s">
        <v>299</v>
      </c>
      <c r="K16" s="273">
        <f>SUMIF(H13:H13,"Space",K13:K13)/21</f>
        <v>0</v>
      </c>
      <c r="L16" s="262"/>
      <c r="M16" s="246"/>
      <c r="N16" s="245"/>
      <c r="O16" s="245"/>
      <c r="P16" s="245"/>
      <c r="Q16" s="247"/>
      <c r="R16" s="245"/>
      <c r="S16" s="248"/>
      <c r="T16" s="248"/>
      <c r="U16" s="249"/>
      <c r="V16" s="248"/>
      <c r="W16" s="248"/>
      <c r="X16" s="248"/>
      <c r="Y16" s="248"/>
      <c r="Z16" s="248"/>
      <c r="AA16" s="250"/>
      <c r="AB16" s="250"/>
      <c r="AC16" s="248"/>
      <c r="AD16" s="248"/>
      <c r="AE16" s="248"/>
      <c r="AF16" s="248"/>
      <c r="AG16" s="251"/>
      <c r="AH16" s="252"/>
      <c r="AI16" s="248"/>
      <c r="AJ16" s="248"/>
      <c r="AK16" s="248"/>
      <c r="AL16" s="248"/>
      <c r="AM16" s="248"/>
      <c r="AN16" s="248"/>
      <c r="AO16" s="253"/>
      <c r="AP16" s="253"/>
      <c r="AQ16" s="253"/>
      <c r="AR16" s="253"/>
      <c r="AS16" s="253"/>
      <c r="AT16" s="248"/>
      <c r="AU16" s="150"/>
      <c r="AV16" s="254"/>
      <c r="AW16" s="254"/>
      <c r="AX16" s="255"/>
      <c r="AY16" s="254"/>
      <c r="AZ16" s="256"/>
      <c r="BZ16" s="258"/>
    </row>
    <row r="17" spans="1:78" s="257" customFormat="1" x14ac:dyDescent="0.3">
      <c r="A17" s="244"/>
      <c r="B17" s="245"/>
      <c r="C17" s="245"/>
      <c r="D17" s="328"/>
      <c r="E17" s="328"/>
      <c r="F17" s="260"/>
      <c r="G17" s="272" t="s">
        <v>60</v>
      </c>
      <c r="H17" s="259">
        <f>COUNTIF(H13:H13,"=U space")</f>
        <v>0</v>
      </c>
      <c r="I17" s="259"/>
      <c r="J17" s="259" t="s">
        <v>60</v>
      </c>
      <c r="K17" s="273">
        <v>0</v>
      </c>
      <c r="L17" s="262"/>
      <c r="M17" s="246"/>
      <c r="N17" s="245"/>
      <c r="O17" s="245"/>
      <c r="P17" s="245"/>
      <c r="Q17" s="247"/>
      <c r="R17" s="245"/>
      <c r="S17" s="248"/>
      <c r="T17" s="248"/>
      <c r="U17" s="249"/>
      <c r="V17" s="248"/>
      <c r="W17" s="248"/>
      <c r="X17" s="248"/>
      <c r="Y17" s="248"/>
      <c r="Z17" s="248"/>
      <c r="AA17" s="250"/>
      <c r="AB17" s="250"/>
      <c r="AC17" s="248"/>
      <c r="AD17" s="248"/>
      <c r="AE17" s="248"/>
      <c r="AF17" s="248"/>
      <c r="AG17" s="251"/>
      <c r="AH17" s="252"/>
      <c r="AI17" s="248"/>
      <c r="AJ17" s="248"/>
      <c r="AK17" s="248"/>
      <c r="AL17" s="248"/>
      <c r="AM17" s="248"/>
      <c r="AN17" s="248"/>
      <c r="AO17" s="253"/>
      <c r="AP17" s="253"/>
      <c r="AQ17" s="253"/>
      <c r="AR17" s="253"/>
      <c r="AS17" s="253"/>
      <c r="AT17" s="248"/>
      <c r="AU17" s="150"/>
      <c r="AV17" s="254"/>
      <c r="AW17" s="254"/>
      <c r="AX17" s="255"/>
      <c r="AY17" s="254"/>
      <c r="AZ17" s="256"/>
      <c r="BZ17" s="258"/>
    </row>
    <row r="18" spans="1:78" ht="13.5" thickBot="1" x14ac:dyDescent="0.35">
      <c r="A18" s="244"/>
      <c r="B18" s="150"/>
      <c r="C18" s="70"/>
      <c r="D18" s="261"/>
      <c r="E18" s="261"/>
      <c r="F18" s="261"/>
      <c r="G18" s="275"/>
      <c r="H18" s="276"/>
      <c r="I18" s="276"/>
      <c r="J18" s="277" t="s">
        <v>0</v>
      </c>
      <c r="K18" s="278">
        <f>SUM(K15:K17)</f>
        <v>319</v>
      </c>
      <c r="L18" s="263"/>
      <c r="M18" s="151"/>
      <c r="N18" s="152"/>
      <c r="O18" s="152"/>
      <c r="P18" s="153"/>
      <c r="Q18" s="152"/>
      <c r="R18" s="152"/>
      <c r="S18" s="154"/>
      <c r="T18" s="70"/>
      <c r="U18" s="151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155"/>
      <c r="AG18" s="155"/>
      <c r="AH18" s="155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85"/>
      <c r="AW18" s="85"/>
      <c r="AX18" s="85"/>
      <c r="AY18" s="85"/>
      <c r="AZ18" s="89"/>
    </row>
    <row r="19" spans="1:78" s="220" customFormat="1" x14ac:dyDescent="0.3">
      <c r="A19" s="205"/>
      <c r="B19" s="206" t="s">
        <v>567</v>
      </c>
      <c r="C19" s="207"/>
      <c r="D19" s="207"/>
      <c r="E19" s="207"/>
      <c r="F19" s="208"/>
      <c r="G19" s="264"/>
      <c r="H19" s="264"/>
      <c r="I19" s="264"/>
      <c r="J19" s="264"/>
      <c r="K19" s="265"/>
      <c r="L19" s="207"/>
      <c r="M19" s="209"/>
      <c r="N19" s="207"/>
      <c r="O19" s="207"/>
      <c r="P19" s="207"/>
      <c r="Q19" s="210"/>
      <c r="R19" s="207"/>
      <c r="S19" s="211">
        <f>SUM(S20:S25)</f>
        <v>87</v>
      </c>
      <c r="T19" s="211">
        <f>SUM(T20:T25)</f>
        <v>43.21875</v>
      </c>
      <c r="U19" s="212"/>
      <c r="V19" s="211"/>
      <c r="W19" s="211">
        <f>SUM(W20:W25)</f>
        <v>43.78125</v>
      </c>
      <c r="X19" s="211">
        <f>SUM(X20:X25)</f>
        <v>87</v>
      </c>
      <c r="Y19" s="211">
        <f>SUM(Y20:Y25)</f>
        <v>43.21875</v>
      </c>
      <c r="Z19" s="211"/>
      <c r="AA19" s="213"/>
      <c r="AB19" s="213"/>
      <c r="AC19" s="211"/>
      <c r="AD19" s="211"/>
      <c r="AE19" s="211"/>
      <c r="AF19" s="211"/>
      <c r="AG19" s="214"/>
      <c r="AH19" s="215"/>
      <c r="AI19" s="211"/>
      <c r="AJ19" s="211"/>
      <c r="AK19" s="211"/>
      <c r="AL19" s="211"/>
      <c r="AM19" s="211"/>
      <c r="AN19" s="211"/>
      <c r="AO19" s="216"/>
      <c r="AP19" s="216"/>
      <c r="AQ19" s="216"/>
      <c r="AR19" s="216"/>
      <c r="AS19" s="216"/>
      <c r="AT19" s="211"/>
      <c r="AU19" s="208"/>
      <c r="AV19" s="217"/>
      <c r="AW19" s="217"/>
      <c r="AX19" s="218"/>
      <c r="AY19" s="217"/>
      <c r="AZ19" s="219"/>
      <c r="BZ19" s="221"/>
    </row>
    <row r="20" spans="1:78" x14ac:dyDescent="0.3">
      <c r="A20" s="195" t="s">
        <v>248</v>
      </c>
      <c r="B20" s="32" t="s">
        <v>571</v>
      </c>
      <c r="C20" s="373" t="s">
        <v>568</v>
      </c>
      <c r="D20" s="175" t="s">
        <v>405</v>
      </c>
      <c r="E20" s="175"/>
      <c r="F20" s="33" t="s">
        <v>56</v>
      </c>
      <c r="G20" s="34" t="s">
        <v>57</v>
      </c>
      <c r="H20" s="33" t="s">
        <v>3</v>
      </c>
      <c r="I20" s="33" t="s">
        <v>53</v>
      </c>
      <c r="J20" s="31" t="str">
        <f t="shared" ref="J20" si="3">IF(H20="Rack","No of Racks",(IF(H20="Space","Sq Ft","U Space")))</f>
        <v>Sq Ft</v>
      </c>
      <c r="K20" s="33">
        <v>280</v>
      </c>
      <c r="L20" s="33">
        <v>280</v>
      </c>
      <c r="M20" s="35">
        <v>0</v>
      </c>
      <c r="N20" s="33">
        <v>280</v>
      </c>
      <c r="O20" s="33"/>
      <c r="P20" s="426">
        <v>725000</v>
      </c>
      <c r="Q20" s="43" t="str">
        <f t="shared" ref="Q20:Q21" si="4">F20</f>
        <v>Subscribed</v>
      </c>
      <c r="R20" s="33" t="s">
        <v>58</v>
      </c>
      <c r="S20" s="34">
        <v>30</v>
      </c>
      <c r="T20" s="65">
        <f>Y20</f>
        <v>22.592261904761902</v>
      </c>
      <c r="U20" s="46">
        <f>S20-T20</f>
        <v>7.4077380952380985</v>
      </c>
      <c r="V20" s="34"/>
      <c r="W20" s="34">
        <f>IF(U20&lt;=0,0,(IF(Q20="Rated",(U20+V20)*#REF!,(U20+V20))))</f>
        <v>7.4077380952380985</v>
      </c>
      <c r="X20" s="34">
        <f>IF(Q20="Rated",S20*#REF!,S20)</f>
        <v>30</v>
      </c>
      <c r="Y20" s="65">
        <f>AF20/28/24</f>
        <v>22.592261904761902</v>
      </c>
      <c r="Z20" s="34">
        <f t="shared" ref="Z20:Z22" si="5">IF((U20*-1)&gt;0, (U20*-1), 0)</f>
        <v>0</v>
      </c>
      <c r="AA20" s="34"/>
      <c r="AB20" s="48" t="str">
        <f>G20</f>
        <v>Metered</v>
      </c>
      <c r="AC20" s="34"/>
      <c r="AD20" s="34"/>
      <c r="AE20" s="49"/>
      <c r="AF20" s="362">
        <v>15182</v>
      </c>
      <c r="AG20" s="50"/>
      <c r="AH20" s="51" t="str">
        <f t="shared" ref="AH20:AH21" si="6">IF(AG20="No of Seats","No of Seats",(IF(AG20="Space","Sq Ft","")))</f>
        <v/>
      </c>
      <c r="AI20" s="34"/>
      <c r="AJ20" s="34"/>
      <c r="AK20" s="34"/>
      <c r="AL20" s="34"/>
      <c r="AM20" s="34"/>
      <c r="AN20" s="42"/>
      <c r="AO20" s="52"/>
      <c r="AP20" s="52"/>
      <c r="AQ20" s="53"/>
      <c r="AR20" s="52"/>
      <c r="AS20" s="54"/>
      <c r="AT20" s="55"/>
      <c r="AU20" s="55"/>
      <c r="AV20" s="134"/>
      <c r="AW20" s="63"/>
      <c r="AX20" s="64"/>
      <c r="AY20" s="63"/>
      <c r="AZ20" s="196"/>
      <c r="BB20" s="25"/>
      <c r="BC20" s="25"/>
      <c r="BD20" s="25"/>
      <c r="BE20" s="25"/>
      <c r="BF20" s="25"/>
      <c r="BG20" s="25"/>
      <c r="BH20" s="26"/>
      <c r="BI20" s="26"/>
      <c r="BJ20" s="26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</row>
    <row r="21" spans="1:78" s="16" customFormat="1" x14ac:dyDescent="0.3">
      <c r="A21" s="195" t="s">
        <v>248</v>
      </c>
      <c r="B21" s="74" t="s">
        <v>570</v>
      </c>
      <c r="C21" s="373" t="s">
        <v>569</v>
      </c>
      <c r="D21" s="279" t="s">
        <v>405</v>
      </c>
      <c r="E21" s="279"/>
      <c r="F21" s="33" t="s">
        <v>56</v>
      </c>
      <c r="G21" s="34" t="s">
        <v>57</v>
      </c>
      <c r="H21" s="33" t="s">
        <v>8</v>
      </c>
      <c r="I21" s="33" t="s">
        <v>61</v>
      </c>
      <c r="J21" s="31" t="s">
        <v>8</v>
      </c>
      <c r="K21" s="33">
        <v>2</v>
      </c>
      <c r="L21" s="33">
        <v>2</v>
      </c>
      <c r="M21" s="35">
        <v>0</v>
      </c>
      <c r="N21" s="33">
        <v>2</v>
      </c>
      <c r="O21" s="33"/>
      <c r="P21" s="426">
        <v>26666</v>
      </c>
      <c r="Q21" s="43" t="str">
        <f t="shared" si="4"/>
        <v>Subscribed</v>
      </c>
      <c r="R21" s="33" t="s">
        <v>58</v>
      </c>
      <c r="S21" s="34">
        <v>12</v>
      </c>
      <c r="T21" s="65">
        <f>Y21</f>
        <v>3.1130952380952377</v>
      </c>
      <c r="U21" s="46">
        <f t="shared" ref="U21" si="7">S21-T21</f>
        <v>8.8869047619047628</v>
      </c>
      <c r="V21" s="34"/>
      <c r="W21" s="34">
        <f>IF(U21&lt;=0,0,(IF(Q21="Rated",(U21+V21)*#REF!,(U21+V21))))</f>
        <v>8.8869047619047628</v>
      </c>
      <c r="X21" s="34">
        <f>IF(Q21="Rated",S21*#REF!,S21)</f>
        <v>12</v>
      </c>
      <c r="Y21" s="65">
        <f>AF21/28/24</f>
        <v>3.1130952380952377</v>
      </c>
      <c r="Z21" s="34">
        <f t="shared" si="5"/>
        <v>0</v>
      </c>
      <c r="AA21" s="34"/>
      <c r="AB21" s="48" t="str">
        <f t="shared" ref="AB21:AB22" si="8">G21</f>
        <v>Metered</v>
      </c>
      <c r="AC21" s="33"/>
      <c r="AD21" s="34"/>
      <c r="AE21" s="49"/>
      <c r="AF21" s="362">
        <v>2092</v>
      </c>
      <c r="AG21" s="50"/>
      <c r="AH21" s="51" t="str">
        <f t="shared" si="6"/>
        <v/>
      </c>
      <c r="AI21" s="34"/>
      <c r="AJ21" s="34"/>
      <c r="AK21" s="34"/>
      <c r="AL21" s="33"/>
      <c r="AM21" s="33"/>
      <c r="AN21" s="42"/>
      <c r="AO21" s="52"/>
      <c r="AP21" s="52"/>
      <c r="AQ21" s="53"/>
      <c r="AR21" s="52"/>
      <c r="AS21" s="54"/>
      <c r="AT21" s="55"/>
      <c r="AU21" s="55"/>
      <c r="AV21" s="134"/>
      <c r="AW21" s="63"/>
      <c r="AX21" s="64"/>
      <c r="AY21" s="63"/>
      <c r="AZ21" s="196"/>
      <c r="BB21" s="25"/>
      <c r="BC21" s="25"/>
      <c r="BD21" s="25"/>
      <c r="BE21" s="25"/>
      <c r="BF21" s="25"/>
      <c r="BG21" s="25"/>
      <c r="BH21" s="26"/>
      <c r="BI21" s="26"/>
      <c r="BJ21" s="26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</row>
    <row r="22" spans="1:78" s="16" customFormat="1" x14ac:dyDescent="0.3">
      <c r="A22" s="195"/>
      <c r="B22" s="360" t="s">
        <v>579</v>
      </c>
      <c r="C22" s="373" t="s">
        <v>498</v>
      </c>
      <c r="D22" s="279" t="s">
        <v>405</v>
      </c>
      <c r="E22" s="279"/>
      <c r="F22" s="33" t="s">
        <v>56</v>
      </c>
      <c r="G22" s="34" t="s">
        <v>52</v>
      </c>
      <c r="H22" s="33" t="s">
        <v>8</v>
      </c>
      <c r="I22" s="33" t="s">
        <v>61</v>
      </c>
      <c r="J22" s="31" t="s">
        <v>8</v>
      </c>
      <c r="K22" s="33">
        <v>5</v>
      </c>
      <c r="L22" s="33">
        <v>5</v>
      </c>
      <c r="M22" s="35">
        <v>0</v>
      </c>
      <c r="N22" s="33">
        <v>5</v>
      </c>
      <c r="O22" s="33"/>
      <c r="P22" s="426">
        <v>157500</v>
      </c>
      <c r="Q22" s="43" t="s">
        <v>56</v>
      </c>
      <c r="R22" s="33" t="s">
        <v>58</v>
      </c>
      <c r="S22" s="34">
        <v>45</v>
      </c>
      <c r="T22" s="65">
        <f>Y22</f>
        <v>17.513392857142858</v>
      </c>
      <c r="U22" s="46">
        <f t="shared" ref="U22" si="9">S22-T22</f>
        <v>27.486607142857142</v>
      </c>
      <c r="V22" s="34"/>
      <c r="W22" s="34">
        <f>IF(U22&lt;=0,0,(IF(Q22="Rated",(U22+V22)*#REF!,(U22+V22))))</f>
        <v>27.486607142857142</v>
      </c>
      <c r="X22" s="34">
        <f>IF(Q22="Rated",S22*#REF!,S22)</f>
        <v>45</v>
      </c>
      <c r="Y22" s="65">
        <f>AF22/28/24</f>
        <v>17.513392857142858</v>
      </c>
      <c r="Z22" s="34">
        <f t="shared" si="5"/>
        <v>0</v>
      </c>
      <c r="AA22" s="34"/>
      <c r="AB22" s="48" t="str">
        <f t="shared" si="8"/>
        <v>Bundled</v>
      </c>
      <c r="AC22" s="33"/>
      <c r="AD22" s="34"/>
      <c r="AE22" s="49"/>
      <c r="AF22" s="362">
        <v>11769</v>
      </c>
      <c r="AG22" s="50"/>
      <c r="AH22" s="51"/>
      <c r="AI22" s="34"/>
      <c r="AJ22" s="34"/>
      <c r="AK22" s="34"/>
      <c r="AL22" s="33"/>
      <c r="AM22" s="33"/>
      <c r="AN22" s="42"/>
      <c r="AO22" s="52"/>
      <c r="AP22" s="52"/>
      <c r="AQ22" s="53"/>
      <c r="AR22" s="52"/>
      <c r="AS22" s="54"/>
      <c r="AT22" s="55"/>
      <c r="AU22" s="55"/>
      <c r="AV22" s="134"/>
      <c r="AW22" s="63"/>
      <c r="AX22" s="64"/>
      <c r="AY22" s="63"/>
      <c r="AZ22" s="196"/>
      <c r="BB22" s="59"/>
      <c r="BC22" s="59"/>
      <c r="BD22" s="59"/>
      <c r="BE22" s="59"/>
      <c r="BF22" s="59"/>
      <c r="BG22" s="59"/>
      <c r="BH22" s="60"/>
      <c r="BI22" s="60"/>
      <c r="BJ22" s="60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</row>
    <row r="23" spans="1:78" s="16" customFormat="1" x14ac:dyDescent="0.3">
      <c r="A23" s="195"/>
      <c r="B23" s="32"/>
      <c r="C23" s="373"/>
      <c r="D23" s="279"/>
      <c r="E23" s="279"/>
      <c r="F23" s="33"/>
      <c r="G23" s="34"/>
      <c r="H23" s="33"/>
      <c r="I23" s="33"/>
      <c r="J23" s="31"/>
      <c r="K23" s="33"/>
      <c r="L23" s="33"/>
      <c r="M23" s="35"/>
      <c r="N23" s="33"/>
      <c r="O23" s="33"/>
      <c r="P23" s="361"/>
      <c r="Q23" s="43"/>
      <c r="R23" s="33"/>
      <c r="S23" s="34"/>
      <c r="T23" s="65"/>
      <c r="U23" s="46"/>
      <c r="V23" s="34"/>
      <c r="W23" s="34"/>
      <c r="X23" s="34"/>
      <c r="Y23" s="65"/>
      <c r="Z23" s="34"/>
      <c r="AA23" s="34"/>
      <c r="AB23" s="48"/>
      <c r="AC23" s="33"/>
      <c r="AD23" s="34"/>
      <c r="AE23" s="49"/>
      <c r="AF23" s="362"/>
      <c r="AG23" s="50"/>
      <c r="AH23" s="51"/>
      <c r="AI23" s="34"/>
      <c r="AJ23" s="34"/>
      <c r="AK23" s="34"/>
      <c r="AL23" s="33"/>
      <c r="AM23" s="33"/>
      <c r="AN23" s="42"/>
      <c r="AO23" s="52"/>
      <c r="AP23" s="52"/>
      <c r="AQ23" s="53"/>
      <c r="AR23" s="52"/>
      <c r="AS23" s="54"/>
      <c r="AT23" s="55"/>
      <c r="AU23" s="55"/>
      <c r="AV23" s="134"/>
      <c r="AW23" s="63"/>
      <c r="AX23" s="64"/>
      <c r="AY23" s="63"/>
      <c r="AZ23" s="197"/>
      <c r="BB23" s="25"/>
      <c r="BC23" s="25"/>
      <c r="BD23" s="25"/>
      <c r="BE23" s="25"/>
      <c r="BF23" s="25"/>
      <c r="BG23" s="25"/>
      <c r="BH23" s="26"/>
      <c r="BI23" s="26"/>
      <c r="BJ23" s="26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</row>
    <row r="24" spans="1:78" s="16" customFormat="1" x14ac:dyDescent="0.3">
      <c r="A24" s="195"/>
      <c r="B24" s="32"/>
      <c r="C24" s="373"/>
      <c r="D24" s="279"/>
      <c r="E24" s="279"/>
      <c r="F24" s="33"/>
      <c r="G24" s="288"/>
      <c r="H24" s="287"/>
      <c r="I24" s="287"/>
      <c r="J24" s="289"/>
      <c r="K24" s="287"/>
      <c r="L24" s="33"/>
      <c r="M24" s="35"/>
      <c r="N24" s="33"/>
      <c r="O24" s="33"/>
      <c r="P24" s="361"/>
      <c r="Q24" s="43"/>
      <c r="R24" s="33"/>
      <c r="S24" s="34"/>
      <c r="T24" s="65"/>
      <c r="U24" s="46"/>
      <c r="V24" s="34"/>
      <c r="W24" s="34"/>
      <c r="X24" s="34"/>
      <c r="Y24" s="65"/>
      <c r="Z24" s="34"/>
      <c r="AA24" s="34"/>
      <c r="AB24" s="48"/>
      <c r="AC24" s="33"/>
      <c r="AD24" s="34"/>
      <c r="AE24" s="49"/>
      <c r="AF24" s="362"/>
      <c r="AG24" s="50"/>
      <c r="AH24" s="51"/>
      <c r="AI24" s="34"/>
      <c r="AJ24" s="34"/>
      <c r="AK24" s="34"/>
      <c r="AL24" s="33"/>
      <c r="AM24" s="33"/>
      <c r="AN24" s="42"/>
      <c r="AO24" s="52"/>
      <c r="AP24" s="52"/>
      <c r="AQ24" s="53"/>
      <c r="AR24" s="52"/>
      <c r="AS24" s="54"/>
      <c r="AT24" s="55"/>
      <c r="AU24" s="55"/>
      <c r="AV24" s="134"/>
      <c r="AW24" s="63"/>
      <c r="AX24" s="64"/>
      <c r="AY24" s="63"/>
      <c r="AZ24" s="197"/>
      <c r="BB24" s="71"/>
      <c r="BC24" s="71"/>
      <c r="BD24" s="71"/>
      <c r="BE24" s="71"/>
      <c r="BF24" s="71"/>
      <c r="BG24" s="71"/>
      <c r="BH24" s="72"/>
      <c r="BI24" s="72"/>
      <c r="BJ24" s="72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</row>
    <row r="25" spans="1:78" s="16" customFormat="1" ht="13.5" thickBot="1" x14ac:dyDescent="0.35">
      <c r="A25" s="195"/>
      <c r="B25" s="32"/>
      <c r="C25" s="373"/>
      <c r="D25" s="279"/>
      <c r="E25" s="279"/>
      <c r="F25" s="33"/>
      <c r="G25" s="288"/>
      <c r="H25" s="287"/>
      <c r="I25" s="287"/>
      <c r="J25" s="289"/>
      <c r="K25" s="287"/>
      <c r="L25" s="33"/>
      <c r="M25" s="35"/>
      <c r="N25" s="33"/>
      <c r="O25" s="33"/>
      <c r="P25" s="361"/>
      <c r="Q25" s="43"/>
      <c r="R25" s="33"/>
      <c r="S25" s="34"/>
      <c r="T25" s="65"/>
      <c r="U25" s="46"/>
      <c r="V25" s="34"/>
      <c r="W25" s="34"/>
      <c r="X25" s="34"/>
      <c r="Y25" s="65"/>
      <c r="Z25" s="34"/>
      <c r="AA25" s="34"/>
      <c r="AB25" s="48"/>
      <c r="AC25" s="33"/>
      <c r="AD25" s="34"/>
      <c r="AE25" s="49"/>
      <c r="AF25" s="362"/>
      <c r="AG25" s="50"/>
      <c r="AH25" s="51"/>
      <c r="AI25" s="34"/>
      <c r="AJ25" s="34"/>
      <c r="AK25" s="34"/>
      <c r="AL25" s="33"/>
      <c r="AM25" s="33"/>
      <c r="AN25" s="42"/>
      <c r="AO25" s="52"/>
      <c r="AP25" s="52"/>
      <c r="AQ25" s="53"/>
      <c r="AR25" s="52"/>
      <c r="AS25" s="54"/>
      <c r="AT25" s="55"/>
      <c r="AU25" s="55"/>
      <c r="AV25" s="134"/>
      <c r="AW25" s="63"/>
      <c r="AX25" s="64"/>
      <c r="AY25" s="63"/>
      <c r="AZ25" s="197"/>
      <c r="BB25" s="71"/>
      <c r="BC25" s="71"/>
      <c r="BD25" s="71"/>
      <c r="BE25" s="71"/>
      <c r="BF25" s="71"/>
      <c r="BG25" s="71"/>
      <c r="BH25" s="72"/>
      <c r="BI25" s="72"/>
      <c r="BJ25" s="72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</row>
    <row r="26" spans="1:78" s="257" customFormat="1" x14ac:dyDescent="0.3">
      <c r="A26" s="244"/>
      <c r="B26" s="245"/>
      <c r="C26" s="245"/>
      <c r="D26" s="328"/>
      <c r="E26" s="328"/>
      <c r="F26" s="260"/>
      <c r="G26" s="269" t="s">
        <v>8</v>
      </c>
      <c r="H26" s="270">
        <f>COUNTIF(H20:H25,"=Rack")</f>
        <v>2</v>
      </c>
      <c r="I26" s="270"/>
      <c r="J26" s="270" t="s">
        <v>298</v>
      </c>
      <c r="K26" s="271">
        <f>SUMIF(H20:H25,"Rack",K20:K25)</f>
        <v>7</v>
      </c>
      <c r="L26" s="262"/>
      <c r="M26" s="246"/>
      <c r="N26" s="245"/>
      <c r="O26" s="245"/>
      <c r="P26" s="245"/>
      <c r="Q26" s="247"/>
      <c r="R26" s="245"/>
      <c r="S26" s="248"/>
      <c r="T26" s="248"/>
      <c r="U26" s="249"/>
      <c r="V26" s="248"/>
      <c r="W26" s="248"/>
      <c r="X26" s="248"/>
      <c r="Y26" s="248"/>
      <c r="Z26" s="248"/>
      <c r="AA26" s="250"/>
      <c r="AB26" s="250"/>
      <c r="AC26" s="248"/>
      <c r="AD26" s="248"/>
      <c r="AE26" s="248"/>
      <c r="AF26" s="248"/>
      <c r="AG26" s="251"/>
      <c r="AH26" s="252"/>
      <c r="AI26" s="248"/>
      <c r="AJ26" s="248"/>
      <c r="AK26" s="248"/>
      <c r="AL26" s="248"/>
      <c r="AM26" s="248"/>
      <c r="AN26" s="248"/>
      <c r="AO26" s="253"/>
      <c r="AP26" s="253"/>
      <c r="AQ26" s="253"/>
      <c r="AR26" s="253"/>
      <c r="AS26" s="253"/>
      <c r="AT26" s="248"/>
      <c r="AU26" s="150"/>
      <c r="AV26" s="254"/>
      <c r="AW26" s="254"/>
      <c r="AX26" s="255"/>
      <c r="AY26" s="254"/>
      <c r="AZ26" s="256"/>
      <c r="BZ26" s="258"/>
    </row>
    <row r="27" spans="1:78" s="257" customFormat="1" x14ac:dyDescent="0.3">
      <c r="A27" s="244"/>
      <c r="B27" s="245"/>
      <c r="C27" s="245"/>
      <c r="D27" s="328"/>
      <c r="E27" s="328"/>
      <c r="F27" s="260"/>
      <c r="G27" s="272" t="s">
        <v>3</v>
      </c>
      <c r="H27" s="259">
        <f>COUNTIF(H20:H25,"=Space")</f>
        <v>1</v>
      </c>
      <c r="I27" s="259"/>
      <c r="J27" s="259" t="s">
        <v>299</v>
      </c>
      <c r="K27" s="273">
        <f>SUMIF(H20:H25,"Space",K20:K25)/21</f>
        <v>13.333333333333334</v>
      </c>
      <c r="L27" s="262"/>
      <c r="M27" s="246"/>
      <c r="N27" s="245"/>
      <c r="O27" s="245"/>
      <c r="P27" s="245"/>
      <c r="Q27" s="247"/>
      <c r="R27" s="245"/>
      <c r="S27" s="248"/>
      <c r="T27" s="248"/>
      <c r="U27" s="249"/>
      <c r="V27" s="248"/>
      <c r="W27" s="248"/>
      <c r="X27" s="248"/>
      <c r="Y27" s="248"/>
      <c r="Z27" s="248"/>
      <c r="AA27" s="250"/>
      <c r="AB27" s="250"/>
      <c r="AC27" s="248"/>
      <c r="AD27" s="248"/>
      <c r="AE27" s="248"/>
      <c r="AF27" s="248"/>
      <c r="AG27" s="251"/>
      <c r="AH27" s="252"/>
      <c r="AI27" s="248"/>
      <c r="AJ27" s="248"/>
      <c r="AK27" s="248"/>
      <c r="AL27" s="248"/>
      <c r="AM27" s="248"/>
      <c r="AN27" s="248"/>
      <c r="AO27" s="253"/>
      <c r="AP27" s="253"/>
      <c r="AQ27" s="253"/>
      <c r="AR27" s="253"/>
      <c r="AS27" s="253"/>
      <c r="AT27" s="248"/>
      <c r="AU27" s="150"/>
      <c r="AV27" s="254"/>
      <c r="AW27" s="254"/>
      <c r="AX27" s="255"/>
      <c r="AY27" s="254"/>
      <c r="AZ27" s="256"/>
      <c r="BZ27" s="258"/>
    </row>
    <row r="28" spans="1:78" s="257" customFormat="1" x14ac:dyDescent="0.3">
      <c r="A28" s="244"/>
      <c r="B28" s="245"/>
      <c r="C28" s="245"/>
      <c r="D28" s="328"/>
      <c r="E28" s="328"/>
      <c r="F28" s="260"/>
      <c r="G28" s="272" t="s">
        <v>60</v>
      </c>
      <c r="H28" s="259">
        <f>COUNTIF(H20:H25,"=U space")</f>
        <v>0</v>
      </c>
      <c r="I28" s="259"/>
      <c r="J28" s="259" t="s">
        <v>60</v>
      </c>
      <c r="K28" s="273">
        <v>0</v>
      </c>
      <c r="L28" s="262"/>
      <c r="M28" s="246"/>
      <c r="N28" s="245"/>
      <c r="O28" s="245"/>
      <c r="P28" s="453"/>
      <c r="Q28" s="247"/>
      <c r="R28" s="245"/>
      <c r="S28" s="248"/>
      <c r="T28" s="248"/>
      <c r="U28" s="249"/>
      <c r="V28" s="248"/>
      <c r="W28" s="248"/>
      <c r="X28" s="248"/>
      <c r="Y28" s="248"/>
      <c r="Z28" s="248"/>
      <c r="AA28" s="250"/>
      <c r="AB28" s="250"/>
      <c r="AC28" s="248"/>
      <c r="AD28" s="248"/>
      <c r="AE28" s="248"/>
      <c r="AF28" s="248"/>
      <c r="AG28" s="251"/>
      <c r="AH28" s="252"/>
      <c r="AI28" s="248"/>
      <c r="AJ28" s="248"/>
      <c r="AK28" s="248"/>
      <c r="AL28" s="248"/>
      <c r="AM28" s="248"/>
      <c r="AN28" s="248"/>
      <c r="AO28" s="253"/>
      <c r="AP28" s="253"/>
      <c r="AQ28" s="253"/>
      <c r="AR28" s="253"/>
      <c r="AS28" s="253"/>
      <c r="AT28" s="248"/>
      <c r="AU28" s="150"/>
      <c r="AV28" s="254"/>
      <c r="AW28" s="254"/>
      <c r="AX28" s="255"/>
      <c r="AY28" s="254"/>
      <c r="AZ28" s="256"/>
      <c r="BZ28" s="258"/>
    </row>
    <row r="29" spans="1:78" ht="13.5" thickBot="1" x14ac:dyDescent="0.35">
      <c r="A29" s="244"/>
      <c r="B29" s="150"/>
      <c r="C29" s="70"/>
      <c r="D29" s="261"/>
      <c r="E29" s="261"/>
      <c r="F29" s="261"/>
      <c r="G29" s="275"/>
      <c r="H29" s="276"/>
      <c r="I29" s="276"/>
      <c r="J29" s="277" t="s">
        <v>0</v>
      </c>
      <c r="K29" s="278">
        <f>SUM(K26:K28)</f>
        <v>20.333333333333336</v>
      </c>
      <c r="L29" s="263"/>
      <c r="M29" s="151"/>
      <c r="N29" s="152"/>
      <c r="O29" s="152"/>
      <c r="P29" s="153"/>
      <c r="Q29" s="152"/>
      <c r="R29" s="152"/>
      <c r="S29" s="154"/>
      <c r="T29" s="70"/>
      <c r="U29" s="151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155"/>
      <c r="AG29" s="155"/>
      <c r="AH29" s="155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85"/>
      <c r="AW29" s="85"/>
      <c r="AX29" s="85"/>
      <c r="AY29" s="85"/>
      <c r="AZ29" s="89"/>
    </row>
  </sheetData>
  <mergeCells count="7">
    <mergeCell ref="AV1:AY1"/>
    <mergeCell ref="F1:G1"/>
    <mergeCell ref="H1:P1"/>
    <mergeCell ref="Q1:AA1"/>
    <mergeCell ref="AB1:AF1"/>
    <mergeCell ref="AG1:AN1"/>
    <mergeCell ref="AO1:AU1"/>
  </mergeCells>
  <conditionalFormatting sqref="BD23:BG29 BD6:BG19">
    <cfRule type="cellIs" dxfId="14" priority="42" operator="lessThan">
      <formula>#REF!</formula>
    </cfRule>
    <cfRule type="cellIs" dxfId="13" priority="43" operator="between">
      <formula>#REF!</formula>
      <formula>#REF!</formula>
    </cfRule>
    <cfRule type="cellIs" dxfId="12" priority="44" operator="between">
      <formula>#REF!</formula>
      <formula>#REF!</formula>
    </cfRule>
  </conditionalFormatting>
  <conditionalFormatting sqref="BD14:BG19 BD26:BG29">
    <cfRule type="cellIs" dxfId="11" priority="19" operator="greaterThan">
      <formula>#REF!</formula>
    </cfRule>
    <cfRule type="cellIs" dxfId="10" priority="20" operator="between">
      <formula>#REF!</formula>
      <formula>#REF!</formula>
    </cfRule>
  </conditionalFormatting>
  <conditionalFormatting sqref="BE3:BG5 BD4:BD5">
    <cfRule type="cellIs" dxfId="9" priority="127" operator="lessThan">
      <formula>#REF!</formula>
    </cfRule>
    <cfRule type="cellIs" dxfId="8" priority="128" operator="between">
      <formula>#REF!</formula>
      <formula>#REF!</formula>
    </cfRule>
    <cfRule type="cellIs" dxfId="7" priority="129" operator="between">
      <formula>#REF!</formula>
      <formula>#REF!</formula>
    </cfRule>
  </conditionalFormatting>
  <conditionalFormatting sqref="BE3:BG6 BD4:BD6 BD7:BG13">
    <cfRule type="cellIs" dxfId="6" priority="130" operator="greaterThan">
      <formula>#REF!</formula>
    </cfRule>
    <cfRule type="cellIs" dxfId="5" priority="131" operator="between">
      <formula>#REF!</formula>
      <formula>#REF!</formula>
    </cfRule>
  </conditionalFormatting>
  <conditionalFormatting sqref="BE20:BG22 BD21:BD22">
    <cfRule type="cellIs" dxfId="4" priority="5" operator="lessThan">
      <formula>#REF!</formula>
    </cfRule>
    <cfRule type="cellIs" dxfId="3" priority="6" operator="between">
      <formula>#REF!</formula>
      <formula>#REF!</formula>
    </cfRule>
    <cfRule type="cellIs" dxfId="2" priority="7" operator="between">
      <formula>#REF!</formula>
      <formula>#REF!</formula>
    </cfRule>
  </conditionalFormatting>
  <conditionalFormatting sqref="BE20:BG25 BD21:BD25">
    <cfRule type="cellIs" dxfId="1" priority="8" operator="greaterThan">
      <formula>#REF!</formula>
    </cfRule>
    <cfRule type="cellIs" dxfId="0" priority="9" operator="between">
      <formula>#REF!</formula>
      <formula>#REF!</formula>
    </cfRule>
  </conditionalFormatting>
  <conditionalFormatting sqref="BX3:BZ5">
    <cfRule type="colorScale" priority="20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6:BZ7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13:BZ1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0:BZ2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3:BZ2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G13:AG17 AG19:AG28 AG3:AG6 AG7:AG11" xr:uid="{2E0ECCD7-FC5F-4415-A146-D161148D3FE0}">
      <formula1>"No of Seats, Space"</formula1>
    </dataValidation>
    <dataValidation type="list" allowBlank="1" showInputMessage="1" showErrorMessage="1" sqref="F13 F20:F25 F3:F6 F7" xr:uid="{BADE2676-0DCD-4394-B2A7-9D532CF2E016}">
      <formula1>"Rated, Subscribed"</formula1>
    </dataValidation>
    <dataValidation type="list" allowBlank="1" showInputMessage="1" showErrorMessage="1" sqref="AU13 AU20:AU25 AU3:AU6 AU7" xr:uid="{B361C8C8-E448-4433-80DA-F845EBC6FF63}">
      <formula1>"Qtrly Adv, Qtry Ars, Monthly Adv, Monthly Ars"</formula1>
    </dataValidation>
    <dataValidation type="list" allowBlank="1" showInputMessage="1" showErrorMessage="1" sqref="R13 R20:R25 R3:R6 R7" xr:uid="{876F9D1F-4790-43D6-8A25-8F8877C473EA}">
      <formula1>"KW, KVA"</formula1>
    </dataValidation>
    <dataValidation type="list" allowBlank="1" showInputMessage="1" showErrorMessage="1" sqref="G13 G20:G25 G3:G6 G7" xr:uid="{D5007E4C-7042-4E2D-80FF-632CFC0855C1}">
      <formula1>"Bundled, Metered"</formula1>
    </dataValidation>
    <dataValidation type="list" allowBlank="1" showInputMessage="1" showErrorMessage="1" promptTitle="Rack, U Space, Cage" sqref="I13 I20:I25 I3:I6 I7" xr:uid="{E59F4775-1FCE-4B4B-B832-BE06D07AEB4D}">
      <formula1>"Caged, Uncaged"</formula1>
    </dataValidation>
    <dataValidation type="list" allowBlank="1" showInputMessage="1" showErrorMessage="1" sqref="AD13 AD20:AD25 AD3:AD6 AD7" xr:uid="{6A3AEF82-FA96-472C-8A5B-6A0F7411D0AA}">
      <formula1>"Fixed, Variable"</formula1>
    </dataValidation>
    <dataValidation type="list" allowBlank="1" showInputMessage="1" showErrorMessage="1" promptTitle="Rack, U Space, Cage" sqref="H13 H20:H25 H3:H6 H7" xr:uid="{44367A32-BF2C-4212-8CB2-2E252445E179}">
      <formula1>"Space, Rack, U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Terminated</vt:lpstr>
      <vt:lpstr>Noida-01</vt:lpstr>
      <vt:lpstr>Noida-02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</dc:creator>
  <cp:lastModifiedBy>Ramesh Chandra Bhatt</cp:lastModifiedBy>
  <cp:lastPrinted>2026-03-08T11:15:50Z</cp:lastPrinted>
  <dcterms:created xsi:type="dcterms:W3CDTF">2008-09-01T12:11:01Z</dcterms:created>
  <dcterms:modified xsi:type="dcterms:W3CDTF">2026-03-08T11:23:22Z</dcterms:modified>
</cp:coreProperties>
</file>