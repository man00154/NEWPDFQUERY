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12"/>
  <workbookPr/>
  <xr:revisionPtr revIDLastSave="0" documentId="11_947F8F6893AFB55DD8CDCE186ABCC550D5766A55" xr6:coauthVersionLast="47" xr6:coauthVersionMax="47" xr10:uidLastSave="{00000000-0000-0000-0000-000000000000}"/>
  <bookViews>
    <workbookView xWindow="0" yWindow="0" windowWidth="19200" windowHeight="80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K17" i="1"/>
  <c r="G17" i="1"/>
  <c r="K16" i="1"/>
  <c r="G16" i="1"/>
  <c r="G15" i="1"/>
  <c r="K13" i="1"/>
  <c r="G13" i="1"/>
  <c r="K12" i="1"/>
  <c r="G12" i="1"/>
  <c r="K11" i="1"/>
  <c r="G11" i="1"/>
  <c r="K9" i="1"/>
  <c r="G9" i="1"/>
  <c r="K8" i="1"/>
  <c r="G8" i="1"/>
  <c r="K5" i="1"/>
  <c r="I5" i="1"/>
  <c r="H5" i="1"/>
  <c r="G5" i="1"/>
  <c r="G4" i="1"/>
  <c r="G3" i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G1" authorId="0" shapeId="0" xr:uid="{00000000-0006-0000-0000-000001000000}">
      <text>
        <r>
          <rPr>
            <b/>
            <sz val="9"/>
            <rFont val="Tahoma"/>
            <charset val="134"/>
          </rPr>
          <t>Author:</t>
        </r>
        <r>
          <rPr>
            <sz val="9"/>
            <rFont val="Tahoma"/>
            <charset val="134"/>
          </rPr>
          <t xml:space="preserve">
Formula added</t>
        </r>
      </text>
    </comment>
  </commentList>
</comments>
</file>

<file path=xl/sharedStrings.xml><?xml version="1.0" encoding="utf-8"?>
<sst xmlns="http://schemas.openxmlformats.org/spreadsheetml/2006/main" count="103" uniqueCount="35">
  <si>
    <t>Floor / Module</t>
  </si>
  <si>
    <t>Customer Name</t>
  </si>
  <si>
    <t>Power Subscription Model (Rated/Subscribed)</t>
  </si>
  <si>
    <t>Power Usage Model (Bundled / Metered)</t>
  </si>
  <si>
    <t>Subscription Mode</t>
  </si>
  <si>
    <t>Caged /Uncaged</t>
  </si>
  <si>
    <t>UoM</t>
  </si>
  <si>
    <t>Subscription(No. of Racks)</t>
  </si>
  <si>
    <t>In Use(No. of Racks)</t>
  </si>
  <si>
    <t xml:space="preserve">Total Capacity Purchased (KW) </t>
  </si>
  <si>
    <t>Capacity in Use (KW)</t>
  </si>
  <si>
    <t>T4 L1</t>
  </si>
  <si>
    <t>BOM79</t>
  </si>
  <si>
    <t>Subscribed</t>
  </si>
  <si>
    <t>Metered</t>
  </si>
  <si>
    <t>Rack</t>
  </si>
  <si>
    <t>Uncaged</t>
  </si>
  <si>
    <t>KW</t>
  </si>
  <si>
    <t>T4 L2</t>
  </si>
  <si>
    <t>MOTMOT</t>
  </si>
  <si>
    <t>T4 L3</t>
  </si>
  <si>
    <t>T4 L4</t>
  </si>
  <si>
    <t>MULTIPLE-CUSTOMER</t>
  </si>
  <si>
    <t>BOM33</t>
  </si>
  <si>
    <t>Caged</t>
  </si>
  <si>
    <t>Optiver</t>
  </si>
  <si>
    <t>T4 L4-SH N-W Area</t>
  </si>
  <si>
    <t>Surat Co bank</t>
  </si>
  <si>
    <t>Nainital Bank</t>
  </si>
  <si>
    <t>Sarvatra</t>
  </si>
  <si>
    <t>T4 L4-SH N-E Area</t>
  </si>
  <si>
    <t>Instant Pay</t>
  </si>
  <si>
    <t>Nielto</t>
  </si>
  <si>
    <t>CSB</t>
  </si>
  <si>
    <t>MANAPPURAM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</si>
</sst>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409]0.00"/>
  </numFmts>
  <fonts count="9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 tint="4.9989318521683403E-2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0"/>
      <name val="Calibri"/>
      <charset val="134"/>
      <scheme val="minor"/>
    </font>
    <font>
      <sz val="10"/>
      <color indexed="8"/>
      <name val="Calibri"/>
      <charset val="134"/>
    </font>
    <font>
      <b/>
      <sz val="9"/>
      <name val="Tahoma"/>
      <charset val="134"/>
    </font>
    <font>
      <sz val="9"/>
      <name val="Tahoma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-0.249977111117893"/>
        <bgColor rgb="FF0066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6" fillId="0" borderId="0"/>
    <xf numFmtId="0" fontId="6" fillId="0" borderId="0"/>
  </cellStyleXfs>
  <cellXfs count="20">
    <xf numFmtId="0" fontId="0" fillId="0" borderId="0" xfId="0"/>
    <xf numFmtId="0" fontId="1" fillId="2" borderId="1" xfId="1" applyFont="1" applyFill="1" applyBorder="1" applyAlignment="1">
      <alignment horizontal="center" vertical="center"/>
    </xf>
    <xf numFmtId="0" fontId="1" fillId="0" borderId="1" xfId="1" applyFont="1" applyBorder="1" applyAlignment="1">
      <alignment horizontal="center" vertical="center" wrapText="1"/>
    </xf>
    <xf numFmtId="2" fontId="2" fillId="2" borderId="1" xfId="1" applyNumberFormat="1" applyFont="1" applyFill="1" applyBorder="1" applyAlignment="1">
      <alignment horizontal="center" vertical="center" wrapText="1"/>
    </xf>
    <xf numFmtId="0" fontId="1" fillId="2" borderId="1" xfId="1" applyFont="1" applyFill="1" applyBorder="1" applyAlignment="1">
      <alignment horizontal="center" vertical="center" wrapText="1"/>
    </xf>
    <xf numFmtId="0" fontId="3" fillId="3" borderId="1" xfId="2" applyFont="1" applyFill="1" applyBorder="1" applyAlignment="1">
      <alignment horizontal="left" vertical="center" wrapText="1"/>
    </xf>
    <xf numFmtId="0" fontId="4" fillId="3" borderId="1" xfId="2" applyFont="1" applyFill="1" applyBorder="1" applyAlignment="1">
      <alignment horizontal="center" vertical="center" wrapText="1"/>
    </xf>
    <xf numFmtId="2" fontId="4" fillId="3" borderId="1" xfId="2" applyNumberFormat="1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left" vertical="center"/>
    </xf>
    <xf numFmtId="0" fontId="4" fillId="4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vertical="center"/>
    </xf>
    <xf numFmtId="2" fontId="2" fillId="0" borderId="1" xfId="1" applyNumberFormat="1" applyFont="1" applyBorder="1" applyAlignment="1">
      <alignment horizontal="center" vertical="center" wrapText="1"/>
    </xf>
    <xf numFmtId="168" fontId="5" fillId="5" borderId="1" xfId="2" applyNumberFormat="1" applyFont="1" applyFill="1" applyBorder="1" applyAlignment="1">
      <alignment horizontal="center" vertical="center" wrapText="1"/>
    </xf>
    <xf numFmtId="168" fontId="5" fillId="3" borderId="1" xfId="2" applyNumberFormat="1" applyFont="1" applyFill="1" applyBorder="1" applyAlignment="1">
      <alignment horizontal="center" vertical="center" wrapText="1"/>
    </xf>
    <xf numFmtId="2" fontId="4" fillId="4" borderId="1" xfId="1" applyNumberFormat="1" applyFont="1" applyFill="1" applyBorder="1" applyAlignment="1">
      <alignment vertical="center"/>
    </xf>
    <xf numFmtId="2" fontId="4" fillId="4" borderId="1" xfId="1" applyNumberFormat="1" applyFont="1" applyFill="1" applyBorder="1" applyAlignment="1">
      <alignment horizontal="center" vertical="center"/>
    </xf>
    <xf numFmtId="168" fontId="5" fillId="4" borderId="1" xfId="1" applyNumberFormat="1" applyFont="1" applyFill="1" applyBorder="1" applyAlignment="1">
      <alignment vertical="center"/>
    </xf>
    <xf numFmtId="1" fontId="4" fillId="0" borderId="1" xfId="2" applyNumberFormat="1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</cellXfs>
  <cellStyles count="3">
    <cellStyle name="Excel Built-in Normal 1" xfId="1" xr:uid="{00000000-0005-0000-0000-000031000000}"/>
    <cellStyle name="Excel Built-in Normal 1 1 1 1 1" xfId="2" xr:uid="{00000000-0005-0000-0000-000032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topLeftCell="A3" zoomScale="80" zoomScaleNormal="80" workbookViewId="0">
      <selection activeCell="N12" sqref="N12"/>
    </sheetView>
  </sheetViews>
  <sheetFormatPr defaultColWidth="9" defaultRowHeight="14.45"/>
  <cols>
    <col min="1" max="1" width="13.375" customWidth="1"/>
    <col min="2" max="2" width="14.5" customWidth="1"/>
    <col min="3" max="3" width="16.875" customWidth="1"/>
    <col min="4" max="4" width="13.5" customWidth="1"/>
    <col min="5" max="5" width="8.5" customWidth="1"/>
    <col min="6" max="6" width="13.125" customWidth="1"/>
    <col min="7" max="7" width="15" customWidth="1"/>
    <col min="8" max="8" width="20.625" customWidth="1"/>
    <col min="9" max="9" width="15" customWidth="1"/>
    <col min="10" max="10" width="10" customWidth="1"/>
    <col min="11" max="11" width="11.875" customWidth="1"/>
    <col min="12" max="12" width="13" customWidth="1"/>
  </cols>
  <sheetData>
    <row r="1" spans="1:12" ht="57.9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6</v>
      </c>
      <c r="K1" s="12" t="s">
        <v>9</v>
      </c>
      <c r="L1" s="3" t="s">
        <v>10</v>
      </c>
    </row>
    <row r="2" spans="1:12">
      <c r="A2" s="5" t="s">
        <v>11</v>
      </c>
      <c r="B2" s="6" t="s">
        <v>12</v>
      </c>
      <c r="C2" s="6" t="s">
        <v>13</v>
      </c>
      <c r="D2" s="7" t="s">
        <v>14</v>
      </c>
      <c r="E2" s="6" t="s">
        <v>15</v>
      </c>
      <c r="F2" s="6" t="s">
        <v>16</v>
      </c>
      <c r="G2" s="8" t="str">
        <f>IF(E2="Rack","No of Racks",(IF(E2="Space","Sq Ft","U Space")))</f>
        <v>No of Racks</v>
      </c>
      <c r="H2" s="6">
        <v>238</v>
      </c>
      <c r="I2" s="13">
        <v>140</v>
      </c>
      <c r="J2" s="6" t="s">
        <v>17</v>
      </c>
      <c r="K2" s="6">
        <v>2520</v>
      </c>
      <c r="L2" s="13">
        <v>727.26809139784905</v>
      </c>
    </row>
    <row r="3" spans="1:12" ht="29.1">
      <c r="A3" s="5" t="s">
        <v>18</v>
      </c>
      <c r="B3" s="6" t="s">
        <v>19</v>
      </c>
      <c r="C3" s="6" t="s">
        <v>13</v>
      </c>
      <c r="D3" s="7" t="s">
        <v>14</v>
      </c>
      <c r="E3" s="6" t="s">
        <v>15</v>
      </c>
      <c r="F3" s="6" t="s">
        <v>16</v>
      </c>
      <c r="G3" s="8" t="str">
        <f>IF(E3="Rack","No of Racks",(IF(E3="Space","Sq Ft","U Space")))</f>
        <v>No of Racks</v>
      </c>
      <c r="H3" s="6">
        <v>236</v>
      </c>
      <c r="I3" s="13">
        <v>103</v>
      </c>
      <c r="J3" s="6" t="s">
        <v>17</v>
      </c>
      <c r="K3" s="6">
        <v>2515</v>
      </c>
      <c r="L3" s="13">
        <v>398.64</v>
      </c>
    </row>
    <row r="4" spans="1:12" ht="29.1">
      <c r="A4" s="5" t="s">
        <v>20</v>
      </c>
      <c r="B4" s="6" t="s">
        <v>19</v>
      </c>
      <c r="C4" s="6" t="s">
        <v>13</v>
      </c>
      <c r="D4" s="7" t="s">
        <v>14</v>
      </c>
      <c r="E4" s="6" t="s">
        <v>15</v>
      </c>
      <c r="F4" s="6" t="s">
        <v>16</v>
      </c>
      <c r="G4" s="8" t="str">
        <f>IF(E4="Rack","No of Racks",(IF(E4="Space","Sq Ft","U Space")))</f>
        <v>No of Racks</v>
      </c>
      <c r="H4" s="6">
        <v>234</v>
      </c>
      <c r="I4" s="13">
        <v>81</v>
      </c>
      <c r="J4" s="6" t="s">
        <v>17</v>
      </c>
      <c r="K4" s="6">
        <v>2515</v>
      </c>
      <c r="L4" s="13">
        <v>303.04000000000002</v>
      </c>
    </row>
    <row r="5" spans="1:12" ht="29.1">
      <c r="A5" s="5" t="s">
        <v>21</v>
      </c>
      <c r="B5" s="6" t="s">
        <v>22</v>
      </c>
      <c r="C5" s="6" t="s">
        <v>13</v>
      </c>
      <c r="D5" s="7" t="s">
        <v>14</v>
      </c>
      <c r="E5" s="6" t="s">
        <v>15</v>
      </c>
      <c r="F5" s="6" t="s">
        <v>16</v>
      </c>
      <c r="G5" s="8" t="str">
        <f>IF(E5="Rack","No of Racks",(IF(E5="Space","Sq Ft","U Space")))</f>
        <v>No of Racks</v>
      </c>
      <c r="H5" s="6">
        <f>SUM(H8:H18)</f>
        <v>60</v>
      </c>
      <c r="I5" s="13">
        <f>SUM(I8:I18)</f>
        <v>34</v>
      </c>
      <c r="J5" s="6" t="s">
        <v>17</v>
      </c>
      <c r="K5" s="6">
        <f>SUM(K8:K18)</f>
        <v>450.66</v>
      </c>
      <c r="L5" s="13">
        <v>110</v>
      </c>
    </row>
    <row r="6" spans="1:12">
      <c r="A6" s="5"/>
      <c r="B6" s="6"/>
      <c r="C6" s="6"/>
      <c r="D6" s="7"/>
      <c r="E6" s="6"/>
      <c r="F6" s="6"/>
      <c r="G6" s="8"/>
      <c r="H6" s="6"/>
      <c r="I6" s="6"/>
      <c r="J6" s="6"/>
      <c r="K6" s="6"/>
      <c r="L6" s="14">
        <v>0</v>
      </c>
    </row>
    <row r="7" spans="1:12">
      <c r="A7" s="9"/>
      <c r="B7" s="10"/>
      <c r="C7" s="11"/>
      <c r="D7" s="11"/>
      <c r="E7" s="11"/>
      <c r="F7" s="11"/>
      <c r="G7" s="11"/>
      <c r="H7" s="11"/>
      <c r="I7" s="11"/>
      <c r="J7" s="15"/>
      <c r="K7" s="16"/>
      <c r="L7" s="17"/>
    </row>
    <row r="8" spans="1:12" ht="29.1">
      <c r="A8" s="5" t="s">
        <v>21</v>
      </c>
      <c r="B8" s="6" t="s">
        <v>23</v>
      </c>
      <c r="C8" s="6" t="s">
        <v>13</v>
      </c>
      <c r="D8" s="7" t="s">
        <v>14</v>
      </c>
      <c r="E8" s="6" t="s">
        <v>15</v>
      </c>
      <c r="F8" s="6" t="s">
        <v>24</v>
      </c>
      <c r="G8" s="8" t="str">
        <f>IF(E8="Rack","No of Racks",(IF(E8="Space","Sq Ft","U Space")))</f>
        <v>No of Racks</v>
      </c>
      <c r="H8" s="6">
        <v>30</v>
      </c>
      <c r="I8" s="13">
        <v>6</v>
      </c>
      <c r="J8" s="6" t="s">
        <v>17</v>
      </c>
      <c r="K8" s="18">
        <f>H8*6.67</f>
        <v>200.1</v>
      </c>
      <c r="L8" s="13">
        <v>40</v>
      </c>
    </row>
    <row r="9" spans="1:12" ht="29.1">
      <c r="A9" s="5" t="s">
        <v>21</v>
      </c>
      <c r="B9" s="6" t="s">
        <v>25</v>
      </c>
      <c r="C9" s="6" t="s">
        <v>13</v>
      </c>
      <c r="D9" s="7" t="s">
        <v>14</v>
      </c>
      <c r="E9" s="6" t="s">
        <v>15</v>
      </c>
      <c r="F9" s="6" t="s">
        <v>24</v>
      </c>
      <c r="G9" s="8" t="str">
        <f t="shared" ref="G9:G18" si="0">IF(E9="Rack","No of Racks",(IF(E9="Space","Sq Ft","U Space")))</f>
        <v>No of Racks</v>
      </c>
      <c r="H9" s="6">
        <v>16</v>
      </c>
      <c r="I9" s="13">
        <v>16</v>
      </c>
      <c r="J9" s="6" t="s">
        <v>17</v>
      </c>
      <c r="K9" s="18">
        <f>H9*10.66</f>
        <v>170.56</v>
      </c>
      <c r="L9" s="13">
        <v>53</v>
      </c>
    </row>
    <row r="10" spans="1:12">
      <c r="A10" s="9"/>
      <c r="B10" s="9"/>
      <c r="C10" s="11"/>
      <c r="D10" s="11"/>
      <c r="E10" s="11"/>
      <c r="F10" s="11"/>
      <c r="G10" s="11"/>
      <c r="H10" s="11"/>
      <c r="I10" s="11"/>
      <c r="J10" s="15"/>
      <c r="K10" s="16"/>
      <c r="L10" s="17"/>
    </row>
    <row r="11" spans="1:12" ht="29.1">
      <c r="A11" s="5" t="s">
        <v>26</v>
      </c>
      <c r="B11" s="6" t="s">
        <v>27</v>
      </c>
      <c r="C11" s="6" t="s">
        <v>13</v>
      </c>
      <c r="D11" s="7" t="s">
        <v>14</v>
      </c>
      <c r="E11" s="6" t="s">
        <v>15</v>
      </c>
      <c r="F11" s="6" t="s">
        <v>16</v>
      </c>
      <c r="G11" s="8" t="str">
        <f t="shared" ref="G11" si="1">IF(E11="Rack","No of Racks",(IF(E11="Space","Sq Ft","U Space")))</f>
        <v>No of Racks</v>
      </c>
      <c r="H11" s="6">
        <v>1</v>
      </c>
      <c r="I11" s="13">
        <v>1</v>
      </c>
      <c r="J11" s="6" t="s">
        <v>17</v>
      </c>
      <c r="K11" s="19">
        <f>SUM(H11*3)</f>
        <v>3</v>
      </c>
      <c r="L11" s="13">
        <v>1.0080376344085999</v>
      </c>
    </row>
    <row r="12" spans="1:12" ht="29.1">
      <c r="A12" s="5" t="s">
        <v>26</v>
      </c>
      <c r="B12" s="6" t="s">
        <v>28</v>
      </c>
      <c r="C12" s="6" t="s">
        <v>13</v>
      </c>
      <c r="D12" s="7" t="s">
        <v>14</v>
      </c>
      <c r="E12" s="6" t="s">
        <v>15</v>
      </c>
      <c r="F12" s="6" t="s">
        <v>16</v>
      </c>
      <c r="G12" s="8" t="str">
        <f t="shared" si="0"/>
        <v>No of Racks</v>
      </c>
      <c r="H12" s="6">
        <v>1</v>
      </c>
      <c r="I12" s="13">
        <v>1</v>
      </c>
      <c r="J12" s="6" t="s">
        <v>17</v>
      </c>
      <c r="K12" s="19">
        <f>SUM(H12*4)</f>
        <v>4</v>
      </c>
      <c r="L12" s="13">
        <v>1.64934139784946</v>
      </c>
    </row>
    <row r="13" spans="1:12" ht="29.1">
      <c r="A13" s="5" t="s">
        <v>26</v>
      </c>
      <c r="B13" s="6" t="s">
        <v>29</v>
      </c>
      <c r="C13" s="6" t="s">
        <v>13</v>
      </c>
      <c r="D13" s="7" t="s">
        <v>14</v>
      </c>
      <c r="E13" s="6" t="s">
        <v>15</v>
      </c>
      <c r="F13" s="6" t="s">
        <v>16</v>
      </c>
      <c r="G13" s="8" t="str">
        <f t="shared" si="0"/>
        <v>No of Racks</v>
      </c>
      <c r="H13" s="6">
        <v>4</v>
      </c>
      <c r="I13" s="13">
        <v>3</v>
      </c>
      <c r="J13" s="6" t="s">
        <v>17</v>
      </c>
      <c r="K13" s="19">
        <f>H13*4</f>
        <v>16</v>
      </c>
      <c r="L13" s="13">
        <v>8.6151881720430108</v>
      </c>
    </row>
    <row r="14" spans="1:12">
      <c r="A14" s="9"/>
      <c r="B14" s="9"/>
      <c r="C14" s="11"/>
      <c r="D14" s="11"/>
      <c r="E14" s="11"/>
      <c r="F14" s="11"/>
      <c r="G14" s="11"/>
      <c r="H14" s="11"/>
      <c r="I14" s="11"/>
      <c r="J14" s="15"/>
      <c r="K14" s="16"/>
      <c r="L14" s="17"/>
    </row>
    <row r="15" spans="1:12" ht="29.1">
      <c r="A15" s="5" t="s">
        <v>30</v>
      </c>
      <c r="B15" s="6" t="s">
        <v>31</v>
      </c>
      <c r="C15" s="6" t="s">
        <v>13</v>
      </c>
      <c r="D15" s="7" t="s">
        <v>14</v>
      </c>
      <c r="E15" s="6" t="s">
        <v>15</v>
      </c>
      <c r="F15" s="6" t="s">
        <v>16</v>
      </c>
      <c r="G15" s="8" t="str">
        <f t="shared" ref="G15" si="2">IF(E15="Rack","No of Racks",(IF(E15="Space","Sq Ft","U Space")))</f>
        <v>No of Racks</v>
      </c>
      <c r="H15" s="6">
        <v>1</v>
      </c>
      <c r="I15" s="13">
        <v>1</v>
      </c>
      <c r="J15" s="6" t="s">
        <v>17</v>
      </c>
      <c r="K15" s="19">
        <v>3</v>
      </c>
      <c r="L15" s="13">
        <v>0.28670698924731203</v>
      </c>
    </row>
    <row r="16" spans="1:12" ht="29.1">
      <c r="A16" s="5" t="s">
        <v>30</v>
      </c>
      <c r="B16" s="6" t="s">
        <v>32</v>
      </c>
      <c r="C16" s="6" t="s">
        <v>13</v>
      </c>
      <c r="D16" s="7" t="s">
        <v>14</v>
      </c>
      <c r="E16" s="6" t="s">
        <v>15</v>
      </c>
      <c r="F16" s="6" t="s">
        <v>16</v>
      </c>
      <c r="G16" s="8" t="str">
        <f t="shared" si="0"/>
        <v>No of Racks</v>
      </c>
      <c r="H16" s="6">
        <v>1</v>
      </c>
      <c r="I16" s="13">
        <v>1</v>
      </c>
      <c r="J16" s="6" t="s">
        <v>17</v>
      </c>
      <c r="K16" s="19">
        <f>SUM(H16*7)</f>
        <v>7</v>
      </c>
      <c r="L16" s="13">
        <v>1.21720430107527</v>
      </c>
    </row>
    <row r="17" spans="1:12" ht="29.1">
      <c r="A17" s="5" t="s">
        <v>30</v>
      </c>
      <c r="B17" s="6" t="s">
        <v>33</v>
      </c>
      <c r="C17" s="6" t="s">
        <v>13</v>
      </c>
      <c r="D17" s="7" t="s">
        <v>14</v>
      </c>
      <c r="E17" s="6" t="s">
        <v>15</v>
      </c>
      <c r="F17" s="6" t="s">
        <v>24</v>
      </c>
      <c r="G17" s="8" t="str">
        <f t="shared" si="0"/>
        <v>No of Racks</v>
      </c>
      <c r="H17" s="6">
        <v>5</v>
      </c>
      <c r="I17" s="13">
        <v>4</v>
      </c>
      <c r="J17" s="6" t="s">
        <v>17</v>
      </c>
      <c r="K17" s="19">
        <f>SUM(H17*9)</f>
        <v>45</v>
      </c>
      <c r="L17" s="13">
        <v>4.40938172043011</v>
      </c>
    </row>
    <row r="18" spans="1:12" ht="29.1">
      <c r="A18" s="5" t="s">
        <v>30</v>
      </c>
      <c r="B18" s="6" t="s">
        <v>34</v>
      </c>
      <c r="C18" s="6" t="s">
        <v>13</v>
      </c>
      <c r="D18" s="7" t="s">
        <v>14</v>
      </c>
      <c r="E18" s="6" t="s">
        <v>15</v>
      </c>
      <c r="F18" s="6" t="s">
        <v>24</v>
      </c>
      <c r="G18" s="8" t="str">
        <f t="shared" si="0"/>
        <v>No of Racks</v>
      </c>
      <c r="H18" s="6">
        <v>1</v>
      </c>
      <c r="I18" s="13">
        <v>1</v>
      </c>
      <c r="J18" s="6" t="s">
        <v>17</v>
      </c>
      <c r="K18" s="19">
        <v>2</v>
      </c>
      <c r="L18" s="13">
        <v>0.55403225806451595</v>
      </c>
    </row>
  </sheetData>
  <dataValidations count="5">
    <dataValidation type="list" allowBlank="1" showInputMessage="1" showErrorMessage="1" sqref="C2:C6 C8:C9 C11:C13 C15:C18" xr:uid="{00000000-0002-0000-0000-000000000000}">
      <formula1>"Rated, Subscribed"</formula1>
    </dataValidation>
    <dataValidation type="list" allowBlank="1" showInputMessage="1" showErrorMessage="1" sqref="D2:D6 D8:D9 D11:D13 D15:D18" xr:uid="{00000000-0002-0000-0000-000001000000}">
      <formula1>"Bundled, Metered"</formula1>
    </dataValidation>
    <dataValidation type="list" allowBlank="1" showInputMessage="1" showErrorMessage="1" promptTitle="Rack, U Space, Cage" sqref="E2:E6 E8:E9 E11:E13 E15:E18" xr:uid="{00000000-0002-0000-0000-000002000000}">
      <formula1>"Space, Rack, U space"</formula1>
    </dataValidation>
    <dataValidation type="list" allowBlank="1" showInputMessage="1" showErrorMessage="1" promptTitle="Rack, U Space, Cage" sqref="F2:F6 F8:F9 F11:F13 F15:F18" xr:uid="{00000000-0002-0000-0000-000003000000}">
      <formula1>"Caged, Uncaged"</formula1>
    </dataValidation>
    <dataValidation type="list" allowBlank="1" showInputMessage="1" showErrorMessage="1" sqref="J4:J6 J8:J9 J11:J13 J15:J18" xr:uid="{00000000-0002-0000-0000-000004000000}">
      <formula1>"KW, KVA"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Shivam Sinha</cp:lastModifiedBy>
  <cp:revision/>
  <dcterms:created xsi:type="dcterms:W3CDTF">2006-09-16T00:00:00Z</dcterms:created>
  <dcterms:modified xsi:type="dcterms:W3CDTF">2026-03-18T06:39:27Z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FFDFA199989D4EAFAC1D35FE58EEE28F_12</vt:lpwstr>
  </property>
  <property fmtid="{D5CDD505-2E9C-101B-9397-08002B2CF9AE}" pid="3" name="KSOProductBuildVer">
    <vt:lpwstr>1033-12.2.0.23196</vt:lpwstr>
  </property>
</Properties>
</file>